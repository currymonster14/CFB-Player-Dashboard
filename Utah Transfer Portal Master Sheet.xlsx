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Sheet'!$A$1:$Z$141</definedName>
    <definedName hidden="1" localSheetId="3" name="_xlnm._FilterDatabase">'WR Sheet'!$A$1:$Z$262</definedName>
    <definedName hidden="1" localSheetId="4" name="_xlnm._FilterDatabase">'TE Sheet'!$A$1:$AB$37</definedName>
    <definedName hidden="1" localSheetId="5" name="_xlnm._FilterDatabase">'OT Sheet'!$A$2:$X$70</definedName>
    <definedName hidden="1" localSheetId="6" name="_xlnm._FilterDatabase">'IOL Sheet'!$A$2:$W$81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Tj6aG+wfHGUVDmeaqrRgdpwGVlwbC0Tg3GcmZO/wPn8="/>
    </ext>
  </extLst>
</workbook>
</file>

<file path=xl/sharedStrings.xml><?xml version="1.0" encoding="utf-8"?>
<sst xmlns="http://schemas.openxmlformats.org/spreadsheetml/2006/main" count="5223" uniqueCount="1689">
  <si>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</si>
  <si>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</si>
  <si>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</si>
  <si>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</si>
  <si>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</si>
  <si>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</si>
  <si>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</si>
  <si>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</si>
  <si>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</si>
  <si>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</si>
  <si>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</si>
  <si>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</si>
  <si>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</si>
  <si>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</si>
  <si>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</si>
  <si>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</si>
  <si>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</si>
  <si>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</si>
  <si>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</si>
  <si>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</si>
  <si>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</si>
  <si>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</si>
  <si>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</si>
  <si>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</si>
  <si>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</si>
  <si>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</si>
  <si>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</si>
  <si>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</si>
  <si>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</si>
  <si>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</si>
  <si>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</si>
  <si>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</si>
  <si>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</si>
  <si>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</si>
  <si>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</si>
  <si>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</si>
  <si>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</si>
  <si>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</si>
  <si>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</si>
  <si>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</si>
  <si>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</si>
  <si>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</si>
  <si>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</si>
  <si>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</si>
  <si>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</si>
  <si>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</si>
  <si>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</si>
  <si>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</si>
  <si>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</si>
  <si>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</si>
  <si>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</si>
  <si>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</si>
  <si>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</si>
  <si>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</si>
  <si>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</si>
  <si>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</si>
  <si>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</si>
  <si>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</si>
  <si>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</si>
  <si>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</si>
  <si>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</si>
  <si>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</si>
  <si>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</si>
  <si>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</si>
  <si>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</si>
  <si>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</si>
  <si>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</si>
  <si>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</si>
  <si>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</si>
  <si>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</si>
  <si>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</si>
  <si>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</si>
  <si>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</si>
  <si>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</si>
  <si>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</si>
  <si>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</si>
  <si>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</si>
  <si>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</si>
  <si>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</si>
  <si>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</si>
  <si>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</si>
  <si>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</si>
  <si>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</si>
  <si>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</si>
  <si>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</si>
  <si>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</si>
  <si>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</si>
  <si>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</si>
  <si>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</si>
  <si>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</si>
  <si>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</si>
  <si>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</si>
  <si>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</si>
  <si>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</si>
  <si>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</si>
  <si>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</si>
  <si>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</si>
  <si>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</si>
  <si>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</si>
  <si>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</si>
  <si>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</si>
  <si>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</si>
  <si>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</si>
  <si>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</si>
  <si>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</si>
  <si>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</si>
  <si>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</si>
  <si>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</si>
  <si>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</si>
  <si>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</si>
  <si>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</si>
  <si>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</si>
  <si>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</si>
  <si>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</si>
  <si>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</si>
  <si>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</si>
  <si>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</si>
  <si>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</si>
  <si>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</si>
  <si>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</si>
  <si>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</si>
  <si>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</si>
  <si>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</si>
  <si>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</si>
  <si>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</si>
  <si>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</si>
  <si>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</si>
  <si>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</si>
  <si>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</si>
  <si>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</si>
  <si>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</si>
  <si>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</si>
  <si>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</si>
  <si>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</si>
  <si>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</si>
  <si>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</si>
  <si>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</si>
  <si>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</si>
  <si>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</si>
  <si>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</si>
  <si>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</si>
  <si>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</si>
  <si>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</si>
  <si>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</si>
  <si>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</si>
  <si>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</si>
  <si>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</si>
  <si>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</si>
  <si>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</si>
  <si>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</si>
  <si>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</si>
  <si>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</si>
  <si>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</si>
  <si>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</si>
  <si>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</si>
  <si>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</si>
  <si>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</si>
  <si>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</si>
  <si>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</si>
  <si>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</si>
  <si>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</si>
  <si>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</si>
  <si>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</si>
  <si>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</si>
  <si>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</si>
  <si>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</si>
  <si>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</si>
  <si>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</si>
  <si>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</si>
  <si>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</si>
  <si>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</si>
  <si>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</si>
  <si>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</si>
  <si>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</si>
  <si>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</si>
  <si>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</si>
  <si>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</si>
  <si>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</si>
  <si>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</si>
  <si>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</si>
  <si>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</si>
  <si>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</si>
  <si>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</si>
  <si>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</si>
  <si>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</si>
  <si>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</si>
  <si>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</si>
  <si>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</si>
  <si>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</si>
  <si>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</si>
  <si>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</si>
  <si>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</si>
  <si>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</si>
  <si>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</si>
  <si>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</si>
  <si>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</si>
  <si>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</si>
  <si>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</si>
  <si>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</si>
  <si>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</si>
  <si>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</si>
  <si>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</si>
  <si>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</si>
  <si>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</si>
  <si>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</si>
  <si>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</si>
  <si>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</si>
  <si>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</si>
  <si>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</si>
  <si>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</si>
  <si>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</si>
  <si>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</si>
  <si>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</si>
  <si>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</si>
  <si>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</si>
  <si>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</si>
  <si>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</si>
  <si>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</si>
  <si>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</si>
  <si>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</si>
  <si>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</si>
  <si>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</si>
  <si>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</si>
  <si>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</si>
  <si>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</si>
  <si>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</si>
  <si>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</si>
  <si>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</si>
  <si>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</si>
  <si>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</si>
  <si>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</si>
  <si>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</si>
  <si>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</si>
  <si>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</si>
  <si>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</si>
  <si>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</si>
  <si>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</si>
  <si>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</si>
  <si>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</si>
  <si>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</si>
  <si>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</si>
  <si>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</si>
  <si>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</si>
  <si>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</si>
  <si>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</si>
  <si>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</si>
  <si>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</si>
  <si>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</si>
  <si>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</si>
  <si>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</si>
  <si>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</si>
  <si>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</si>
  <si>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</si>
  <si>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</si>
  <si>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</si>
  <si>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</si>
  <si>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</si>
  <si>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</si>
  <si>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</si>
  <si>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</si>
  <si>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</si>
  <si>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</si>
  <si>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</si>
  <si>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</si>
  <si>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</si>
  <si>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</si>
  <si>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</si>
  <si>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</si>
  <si>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</si>
  <si>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</si>
  <si>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</si>
  <si>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</si>
  <si>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</si>
  <si>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</si>
  <si>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</si>
  <si>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</si>
  <si>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</si>
  <si>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</si>
  <si>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</si>
  <si>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</si>
  <si>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</si>
  <si>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</si>
  <si>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</si>
  <si>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</si>
  <si>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</si>
  <si>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</si>
  <si>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</si>
  <si>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</si>
  <si>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</si>
  <si>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</si>
  <si>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</si>
  <si>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</si>
  <si>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</si>
  <si>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</si>
  <si>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</si>
  <si>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</si>
  <si>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</si>
  <si>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</si>
  <si>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</si>
  <si>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</si>
  <si>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</si>
  <si>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</si>
  <si>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</si>
  <si>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</si>
  <si>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</si>
  <si>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</si>
  <si>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</si>
  <si>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</si>
  <si>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</si>
  <si>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</si>
  <si>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</si>
  <si>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</si>
  <si>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</si>
  <si>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</si>
  <si>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</si>
  <si>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</si>
  <si>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</si>
  <si>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</si>
  <si>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</si>
  <si>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</si>
  <si>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</si>
  <si>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</si>
  <si>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</si>
  <si>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</si>
  <si>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</si>
  <si>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</si>
  <si>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</si>
  <si>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</si>
  <si>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</si>
  <si>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</si>
  <si>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</si>
  <si>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</si>
  <si>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</si>
  <si>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</si>
  <si>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</si>
  <si>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</si>
  <si>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</si>
  <si>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</si>
  <si>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</si>
  <si>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</si>
  <si>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</si>
  <si>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</si>
  <si>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</si>
  <si>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</si>
  <si>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</si>
  <si>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</si>
  <si>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</si>
  <si>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</si>
  <si>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</si>
  <si>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</si>
  <si>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</si>
  <si>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</si>
  <si>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</si>
  <si>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</si>
  <si>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</si>
  <si>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</si>
  <si>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</si>
  <si>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</si>
  <si>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</si>
  <si>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</si>
  <si>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</si>
  <si>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</si>
  <si>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</si>
  <si>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</si>
  <si>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</si>
  <si>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</si>
  <si>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</si>
  <si>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</si>
  <si>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</si>
  <si>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</si>
  <si>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</si>
  <si>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</si>
  <si>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</si>
  <si>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</si>
  <si>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</si>
  <si>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</si>
  <si>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</si>
  <si>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</si>
  <si>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</si>
  <si>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</si>
  <si>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</si>
  <si>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</si>
  <si>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</si>
  <si>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</si>
  <si>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</si>
  <si>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</si>
  <si>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</si>
  <si>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</si>
  <si>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</si>
  <si>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</si>
  <si>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</si>
  <si>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</si>
  <si>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</si>
  <si>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</si>
  <si>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</si>
  <si>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</si>
  <si>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</si>
  <si>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</si>
  <si>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</si>
  <si>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</si>
  <si>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</si>
  <si>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</si>
  <si>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</si>
  <si>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</si>
  <si>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</si>
  <si>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</si>
  <si>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</si>
  <si>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</si>
  <si>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</si>
  <si>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</si>
  <si>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</si>
  <si>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</si>
  <si>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</si>
  <si>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</si>
  <si>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</si>
  <si>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</si>
  <si>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</si>
  <si>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</si>
  <si>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</si>
  <si>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</si>
  <si>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</si>
  <si>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</si>
  <si>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</si>
  <si>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</si>
  <si>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</si>
  <si>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</si>
  <si>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</si>
  <si>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</si>
  <si>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</si>
  <si>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</si>
  <si>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</si>
  <si>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</si>
  <si>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</si>
  <si>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</si>
  <si>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</si>
  <si>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</si>
  <si>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</si>
  <si>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</si>
  <si>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</si>
  <si>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</si>
  <si>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</si>
  <si>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</si>
  <si>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</si>
  <si>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</si>
  <si>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</si>
  <si>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</si>
  <si>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</si>
  <si>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</si>
  <si>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</si>
  <si>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</si>
  <si>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</si>
  <si>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</si>
  <si>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</si>
  <si>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</si>
  <si>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</si>
  <si>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</si>
  <si>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</si>
  <si>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</si>
  <si>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</si>
  <si>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</si>
  <si>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</si>
  <si>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</si>
  <si>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</si>
  <si>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</si>
  <si>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</si>
  <si>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</si>
  <si>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</si>
  <si>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</si>
  <si>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</si>
  <si>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</si>
  <si>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</si>
  <si>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</si>
  <si>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</si>
  <si>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</si>
  <si>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</si>
  <si>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</si>
  <si>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</si>
  <si>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</si>
  <si>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</si>
  <si>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</si>
  <si>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</si>
  <si>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</si>
  <si>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</si>
  <si>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</si>
  <si>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</si>
  <si>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</si>
  <si>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</si>
  <si>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</si>
  <si>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</si>
  <si>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</si>
  <si>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</si>
  <si>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</si>
  <si>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</si>
  <si>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</si>
  <si>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</si>
  <si>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</si>
  <si>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</si>
  <si>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</si>
  <si>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</si>
  <si>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</si>
  <si>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</si>
  <si>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</si>
  <si>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</si>
  <si>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</si>
  <si>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</si>
  <si>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</si>
  <si>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</si>
  <si>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</si>
  <si>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</si>
  <si>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</si>
  <si>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</si>
  <si>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</si>
  <si>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</si>
  <si>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</si>
  <si>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</si>
  <si>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</si>
  <si>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</si>
  <si>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</si>
  <si>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</si>
  <si>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</si>
  <si>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</si>
  <si>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</si>
  <si>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</si>
  <si>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</si>
  <si>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</si>
  <si>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</si>
  <si>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</si>
  <si>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</si>
  <si>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</si>
  <si>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</si>
  <si>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</si>
  <si>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</si>
  <si>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</si>
  <si>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</si>
  <si>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</si>
  <si>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</si>
  <si>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</si>
  <si>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</si>
  <si>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</si>
  <si>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</si>
  <si>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</si>
  <si>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</si>
  <si>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</si>
  <si>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</si>
  <si>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</si>
  <si>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</si>
  <si>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</si>
  <si>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</si>
  <si>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</si>
  <si>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</si>
  <si>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</si>
  <si>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</si>
  <si>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</si>
  <si>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</si>
  <si>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</si>
  <si>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</si>
  <si>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</si>
  <si>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</si>
  <si>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</si>
  <si>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</si>
  <si>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</si>
  <si>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</si>
  <si>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</si>
  <si>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</si>
  <si>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</si>
  <si>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</si>
  <si>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</si>
  <si>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</si>
  <si>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</si>
  <si>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</si>
  <si>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</si>
  <si>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</si>
  <si>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</si>
  <si>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</si>
  <si>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</si>
  <si>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</si>
  <si>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</si>
  <si>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</si>
  <si>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</si>
  <si>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</si>
  <si>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</si>
  <si>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</si>
  <si>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</si>
  <si>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</si>
  <si>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</si>
  <si>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</si>
  <si>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</si>
  <si>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</si>
  <si>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</si>
  <si>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</si>
  <si>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</si>
  <si>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</si>
  <si>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</si>
  <si>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</si>
  <si>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</si>
  <si>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</si>
  <si>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</si>
  <si>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</si>
  <si>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</si>
  <si>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</si>
  <si>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</si>
  <si>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</si>
  <si>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</si>
  <si>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</si>
  <si>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</si>
  <si>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</si>
  <si>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</si>
  <si>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</si>
  <si>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</si>
  <si>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</si>
  <si>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</si>
  <si>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</si>
  <si>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</si>
  <si>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</si>
  <si>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</si>
  <si>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</si>
  <si>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</si>
  <si>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</si>
  <si>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</si>
  <si>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</si>
  <si>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</si>
  <si>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</si>
  <si>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</si>
  <si>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</si>
  <si>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</si>
  <si>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</si>
  <si>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</si>
  <si>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</si>
  <si>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</si>
  <si>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</si>
  <si>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</si>
  <si>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</si>
  <si>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</si>
  <si>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</si>
  <si>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</si>
  <si>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</si>
  <si>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</si>
  <si>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</si>
  <si>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</si>
  <si>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</si>
  <si>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</si>
  <si>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</si>
  <si>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</si>
  <si>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</si>
  <si>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</si>
  <si>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</si>
  <si>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</si>
  <si>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</si>
  <si>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</si>
  <si>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</si>
  <si>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</si>
  <si>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</si>
  <si>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</si>
  <si>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</si>
  <si>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</si>
  <si>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</si>
  <si>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</si>
  <si>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</si>
  <si>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</si>
  <si>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</si>
  <si>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</si>
  <si>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</si>
  <si>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</si>
  <si>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</si>
  <si>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</si>
  <si>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</si>
  <si>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</si>
  <si>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</si>
  <si>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</si>
  <si>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</si>
  <si>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</si>
  <si>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</si>
  <si>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</si>
  <si>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</si>
  <si>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</si>
  <si>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</si>
  <si>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</si>
  <si>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</si>
  <si>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</si>
  <si>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</si>
  <si>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</si>
  <si>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</si>
  <si>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</si>
  <si>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</si>
  <si>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</si>
  <si>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</si>
  <si>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</si>
  <si>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</si>
  <si>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</si>
  <si>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</si>
  <si>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</si>
  <si>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</si>
  <si>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</si>
  <si>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</si>
  <si>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</si>
  <si>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</si>
  <si>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</si>
  <si>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</si>
  <si>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</si>
  <si>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</si>
  <si>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</si>
  <si>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</si>
  <si>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</si>
  <si>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</si>
  <si>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</si>
  <si>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</si>
  <si>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</si>
  <si>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</si>
  <si>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</si>
  <si>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</si>
  <si>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</si>
  <si>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</si>
  <si>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</si>
  <si>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</si>
  <si>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</si>
  <si>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</si>
  <si>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</si>
  <si>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</si>
  <si>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</si>
  <si>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</si>
  <si>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</si>
  <si>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</si>
  <si>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</si>
  <si>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</si>
  <si>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</si>
  <si>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</si>
  <si>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</si>
  <si>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</si>
  <si>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</si>
  <si>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</si>
  <si>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</si>
  <si>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</si>
  <si>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</si>
  <si>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</si>
  <si>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</si>
  <si>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</si>
  <si>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</si>
  <si>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</si>
  <si>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</si>
  <si>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</si>
  <si>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</si>
  <si>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</si>
  <si>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</si>
  <si>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</si>
  <si>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</si>
  <si>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</si>
  <si>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</si>
  <si>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</si>
  <si>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</si>
  <si>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</si>
  <si>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</si>
  <si>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</si>
  <si>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</si>
  <si>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</si>
  <si>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</si>
  <si>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</si>
  <si>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</si>
  <si>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</si>
  <si>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</si>
  <si>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</si>
  <si>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</si>
  <si>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</si>
  <si>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</si>
  <si>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</si>
  <si>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</si>
  <si>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</si>
  <si>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</si>
  <si>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</si>
  <si>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</si>
  <si>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</si>
  <si>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</si>
  <si>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</si>
  <si>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</si>
  <si>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</si>
  <si>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</si>
  <si>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</si>
  <si>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</si>
  <si>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</si>
  <si>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</si>
  <si>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</si>
  <si>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</si>
  <si>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</si>
  <si>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</si>
  <si>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</si>
  <si>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</si>
  <si>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</si>
  <si>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</si>
  <si>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</si>
  <si>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</si>
  <si>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</si>
  <si>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</si>
  <si>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</si>
  <si>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</si>
  <si>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</si>
  <si>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</si>
  <si>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</si>
  <si>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</si>
  <si>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</si>
  <si>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</si>
  <si>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</si>
  <si>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</si>
  <si>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</si>
  <si>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</si>
  <si>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</si>
  <si>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</si>
  <si>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</si>
  <si>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</si>
  <si>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</si>
  <si>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</si>
  <si>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</si>
  <si>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</si>
  <si>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</si>
  <si>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</si>
  <si>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</si>
  <si>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</si>
  <si>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</si>
  <si>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</si>
  <si>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</si>
  <si>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</si>
  <si>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</si>
  <si>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</si>
  <si>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</si>
  <si>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</si>
  <si>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</si>
  <si>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</si>
  <si>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</si>
  <si>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</si>
  <si>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</si>
  <si>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</si>
  <si>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</si>
  <si>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</si>
  <si>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</si>
  <si>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</si>
  <si>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</si>
  <si>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</si>
  <si>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</si>
  <si>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</si>
  <si>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</si>
  <si>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</si>
  <si>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</si>
  <si>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</si>
  <si>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</si>
  <si>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</si>
  <si>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</si>
  <si>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</si>
  <si>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</si>
  <si>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</si>
  <si>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</si>
  <si>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</si>
  <si>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</si>
  <si>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</si>
  <si>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</si>
  <si>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</si>
  <si>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</si>
  <si>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</si>
  <si>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</si>
  <si>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</si>
  <si>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</si>
  <si>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</si>
  <si>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</si>
  <si>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</si>
  <si>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</si>
  <si>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</si>
  <si>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</si>
  <si>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</si>
  <si>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</si>
  <si>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</si>
  <si>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</si>
  <si>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</si>
  <si>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</si>
  <si>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</si>
  <si>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</si>
  <si>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</si>
  <si>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</si>
  <si>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</si>
  <si>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</si>
  <si>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</si>
  <si>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</si>
  <si>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</si>
  <si>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</si>
  <si>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</si>
  <si>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</si>
  <si>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</si>
  <si>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</si>
  <si>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</si>
  <si>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</si>
  <si>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</si>
  <si>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</si>
  <si>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</si>
  <si>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</si>
  <si>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</si>
  <si>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</si>
  <si>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</si>
  <si>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</si>
  <si>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</si>
  <si>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</si>
  <si>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</si>
  <si>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</si>
  <si>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</si>
  <si>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</si>
  <si>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</si>
  <si>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</si>
  <si>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</si>
  <si>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</si>
  <si>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</si>
  <si>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</si>
  <si>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</si>
  <si>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</si>
  <si>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</si>
  <si>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</si>
  <si>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</si>
  <si>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</si>
  <si>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</si>
  <si>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</si>
  <si>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</si>
  <si>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</si>
  <si>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</si>
  <si>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</si>
  <si>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</si>
  <si>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</si>
  <si>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</si>
  <si>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</si>
  <si>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</si>
  <si>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</si>
  <si>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</si>
  <si>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</si>
  <si>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</si>
  <si>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</si>
  <si>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</si>
  <si>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</si>
  <si>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</si>
  <si>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</si>
  <si>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</si>
  <si>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</si>
  <si>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</si>
  <si>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</si>
  <si>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</si>
  <si>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</si>
  <si>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</si>
  <si>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</si>
  <si>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</si>
  <si>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</si>
  <si>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</si>
  <si>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</si>
  <si>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</si>
  <si>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</si>
  <si>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</si>
  <si>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</si>
  <si>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</si>
  <si>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</si>
  <si>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</si>
  <si>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</si>
  <si>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</si>
  <si>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</si>
  <si>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</si>
  <si>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</si>
  <si>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</si>
  <si>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</si>
  <si>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</si>
  <si>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</si>
  <si>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</si>
  <si>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</si>
  <si>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</si>
  <si>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</si>
  <si>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</si>
  <si>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</si>
  <si>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</si>
  <si>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</si>
  <si>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</si>
  <si>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</si>
  <si>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</si>
  <si>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</si>
  <si>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</si>
  <si>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</si>
  <si>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</si>
  <si>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</si>
  <si>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</si>
  <si>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</si>
  <si>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</si>
  <si>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</si>
  <si>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</si>
  <si>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</si>
  <si>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</si>
  <si>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</si>
  <si>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</si>
  <si>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</si>
  <si>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</si>
  <si>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</si>
  <si>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</si>
  <si>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</si>
  <si>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</si>
  <si>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</si>
  <si>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</si>
  <si>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</si>
  <si>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</si>
  <si>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</si>
  <si>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</si>
  <si>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</si>
  <si>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</si>
  <si>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</si>
  <si>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</si>
  <si>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</si>
  <si>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</si>
  <si>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</si>
  <si>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</si>
  <si>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</si>
  <si>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</si>
  <si>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</si>
  <si>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</si>
  <si>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</si>
  <si>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</si>
  <si>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</si>
  <si>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</si>
  <si>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</si>
  <si>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</si>
  <si>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</si>
  <si>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</si>
  <si>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</si>
  <si>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</si>
  <si>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</si>
  <si>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</si>
  <si>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</si>
  <si>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</si>
  <si>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</si>
  <si>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</si>
  <si>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</si>
  <si>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</si>
  <si>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</si>
  <si>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</si>
  <si>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</si>
  <si>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</si>
  <si>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</si>
  <si>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</si>
  <si>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</si>
  <si>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</si>
  <si>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</si>
  <si>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</si>
  <si>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</si>
  <si>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</si>
  <si>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</si>
  <si>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</si>
  <si>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</si>
  <si>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</si>
  <si>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</si>
  <si>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</si>
  <si>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</si>
  <si>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</si>
  <si>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</si>
  <si>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</si>
  <si>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</si>
  <si>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</si>
  <si>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</si>
  <si>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</si>
  <si>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</si>
  <si>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</si>
  <si>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</si>
  <si>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</si>
  <si>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</si>
  <si>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</si>
  <si>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</si>
  <si>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</si>
  <si>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</si>
  <si>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</si>
  <si>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</si>
  <si>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</si>
  <si>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</si>
  <si>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</si>
  <si>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</si>
  <si>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</si>
  <si>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</si>
  <si>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</si>
  <si>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</si>
  <si>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</si>
  <si>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</si>
  <si>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</si>
  <si>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</si>
  <si>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</si>
  <si>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</si>
  <si>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</si>
  <si>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</si>
  <si>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</si>
  <si>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</si>
  <si>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</si>
  <si>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</si>
  <si>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</si>
  <si>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</si>
  <si>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</si>
  <si>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</si>
  <si>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</si>
  <si>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</si>
  <si>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</si>
  <si>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</si>
  <si>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</si>
  <si>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</si>
  <si>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</si>
  <si>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</si>
  <si>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</si>
  <si>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</si>
  <si>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</si>
  <si>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</si>
  <si>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</si>
  <si>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</si>
  <si>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</si>
  <si>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</si>
  <si>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</si>
  <si>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</si>
  <si>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</si>
  <si>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</si>
  <si>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Darius Cannon</t>
  </si>
  <si>
    <t>Emanuel Ross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</si>
  <si>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</si>
  <si>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</si>
  <si>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</si>
  <si>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</si>
  <si>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</si>
  <si>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</si>
  <si>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</si>
  <si>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</si>
  <si>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</si>
  <si>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</si>
  <si>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</si>
  <si>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</si>
  <si>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</si>
  <si>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</si>
  <si>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</si>
  <si>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</si>
  <si>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</si>
  <si>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</si>
  <si>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</si>
  <si>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</si>
  <si>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</si>
  <si>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</si>
  <si>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</si>
  <si>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</si>
  <si>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</si>
  <si>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</si>
  <si>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</si>
  <si>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</si>
  <si>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</si>
  <si>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</si>
  <si>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</si>
  <si>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</si>
  <si>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</si>
  <si>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</si>
  <si>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</si>
  <si>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</si>
  <si>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</si>
  <si>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</si>
  <si>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</si>
  <si>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</si>
  <si>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</si>
  <si>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</si>
  <si>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</si>
  <si>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</si>
  <si>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</si>
  <si>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</si>
  <si>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</si>
  <si>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</si>
  <si>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</si>
  <si>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</si>
  <si>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</si>
  <si>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</si>
  <si>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</si>
  <si>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</si>
  <si>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</si>
  <si>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</si>
  <si>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</si>
  <si>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</si>
  <si>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</si>
  <si>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</si>
  <si>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</si>
  <si>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</si>
  <si>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</si>
  <si>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</si>
  <si>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</si>
  <si>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</si>
  <si>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</si>
  <si>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</si>
  <si>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</si>
  <si>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</si>
  <si>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</si>
  <si>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</si>
  <si>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</si>
  <si>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</si>
  <si>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</si>
  <si>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</si>
  <si>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</si>
  <si>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</si>
  <si>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</si>
  <si>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</si>
  <si>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</si>
  <si>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</si>
  <si>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</si>
  <si>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</si>
  <si>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</si>
  <si>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</si>
  <si>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</si>
  <si>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</si>
  <si>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</si>
  <si>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</si>
  <si>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</si>
  <si>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</si>
  <si>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</si>
  <si>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</si>
  <si>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</si>
  <si>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</si>
  <si>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</si>
  <si>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</si>
  <si>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</si>
  <si>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</si>
  <si>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Jordan Dees</t>
  </si>
  <si>
    <t>Jacoby Matthews</t>
  </si>
  <si>
    <t>Rylan Davison</t>
  </si>
  <si>
    <t>Jayshon Platt</t>
  </si>
  <si>
    <t>Aidan Mizell</t>
  </si>
  <si>
    <t>Ryan Ricketti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</si>
  <si>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</si>
  <si>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</si>
  <si>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</si>
  <si>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</si>
  <si>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</si>
  <si>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</si>
  <si>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</si>
  <si>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</si>
  <si>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</si>
  <si>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</si>
  <si>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</si>
  <si>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</si>
  <si>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</si>
  <si>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</si>
  <si>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</si>
  <si>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</si>
  <si>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</si>
  <si>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</si>
  <si>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</si>
  <si>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</si>
  <si>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</si>
  <si>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</si>
  <si>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</si>
  <si>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</si>
  <si>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</si>
  <si>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</si>
  <si>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</si>
  <si>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</si>
  <si>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</si>
  <si>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</si>
  <si>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</si>
  <si>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</si>
  <si>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</si>
  <si>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</si>
  <si>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</si>
  <si>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</si>
  <si>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</si>
  <si>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</si>
  <si>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</si>
  <si>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</si>
  <si>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</si>
  <si>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</si>
  <si>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</si>
  <si>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</si>
  <si>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</si>
  <si>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</si>
  <si>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</si>
  <si>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</si>
  <si>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</si>
  <si>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</si>
  <si>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</si>
  <si>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</si>
  <si>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</si>
  <si>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</si>
  <si>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</si>
  <si>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</si>
  <si>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</si>
  <si>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</si>
  <si>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</si>
  <si>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</si>
  <si>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</si>
  <si>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</si>
  <si>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</si>
  <si>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</si>
  <si>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</si>
  <si>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</si>
  <si>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</si>
  <si>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</si>
  <si>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</si>
  <si>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</si>
  <si>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</si>
  <si>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Hunter Tipton</t>
  </si>
  <si>
    <t>Middle Tennessee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</si>
  <si>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</si>
  <si>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</si>
  <si>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</si>
  <si>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</si>
  <si>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</si>
  <si>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</si>
  <si>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</si>
  <si>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</si>
  <si>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</si>
  <si>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</si>
  <si>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</si>
  <si>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</si>
  <si>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</si>
  <si>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</si>
  <si>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</si>
  <si>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</si>
  <si>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</si>
  <si>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</si>
  <si>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</si>
  <si>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</si>
  <si>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</si>
  <si>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</si>
  <si>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</si>
  <si>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</si>
  <si>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</si>
  <si>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</si>
  <si>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</si>
  <si>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</si>
  <si>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</si>
  <si>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</si>
  <si>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</si>
  <si>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</si>
  <si>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</si>
  <si>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</si>
  <si>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</si>
  <si>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</si>
  <si>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</si>
  <si>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</si>
  <si>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</si>
  <si>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</si>
  <si>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</si>
  <si>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</si>
  <si>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</si>
  <si>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</si>
  <si>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</si>
  <si>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</si>
  <si>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</si>
  <si>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</si>
  <si>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</si>
  <si>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</si>
  <si>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</si>
  <si>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</si>
  <si>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</si>
  <si>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</si>
  <si>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</si>
  <si>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</si>
  <si>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</si>
  <si>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</si>
  <si>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</si>
  <si>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</si>
  <si>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</si>
  <si>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</si>
  <si>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</si>
  <si>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</si>
  <si>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</si>
  <si>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</si>
  <si>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</si>
  <si>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</si>
  <si>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</si>
  <si>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</si>
  <si>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</si>
  <si>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</si>
  <si>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</si>
  <si>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</si>
  <si>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</si>
  <si>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</si>
  <si>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</si>
  <si>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</si>
  <si>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</si>
  <si>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</si>
  <si>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</si>
  <si>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</si>
  <si>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</si>
  <si>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</si>
  <si>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</si>
  <si>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</si>
  <si>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</si>
  <si>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</si>
  <si>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</si>
  <si>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</si>
  <si>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</si>
  <si>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</si>
  <si>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</si>
  <si>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</si>
  <si>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</si>
  <si>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</si>
  <si>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</si>
  <si>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</si>
  <si>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</si>
  <si>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</si>
  <si>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</si>
  <si>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</si>
  <si>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</si>
  <si>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</si>
  <si>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</si>
  <si>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</si>
  <si>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</si>
  <si>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</si>
  <si>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</si>
  <si>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</si>
  <si>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</si>
  <si>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</si>
  <si>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</si>
  <si>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</si>
  <si>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</si>
  <si>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</si>
  <si>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</si>
  <si>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</si>
  <si>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</si>
  <si>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</si>
  <si>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</si>
  <si>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</si>
  <si>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</si>
  <si>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</si>
  <si>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</si>
  <si>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</si>
  <si>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</si>
  <si>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</si>
  <si>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</si>
  <si>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</si>
  <si>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</si>
  <si>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</si>
  <si>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</si>
  <si>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</si>
  <si>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</si>
  <si>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</si>
  <si>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</si>
  <si>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</si>
  <si>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</si>
  <si>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</si>
  <si>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</si>
  <si>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</si>
  <si>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</si>
  <si>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</si>
  <si>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</si>
  <si>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</si>
  <si>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</si>
  <si>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</si>
  <si>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</si>
  <si>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</si>
  <si>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</si>
  <si>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</si>
  <si>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</si>
  <si>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</si>
  <si>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</si>
  <si>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</si>
  <si>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</si>
  <si>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</si>
  <si>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</si>
  <si>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</si>
  <si>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</si>
  <si>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</si>
  <si>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</si>
  <si>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</si>
  <si>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</si>
  <si>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</si>
  <si>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</si>
  <si>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</si>
  <si>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</si>
  <si>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</si>
  <si>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</si>
  <si>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</si>
  <si>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</si>
  <si>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</si>
  <si>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</si>
  <si>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</si>
  <si>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</si>
  <si>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</si>
  <si>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</si>
  <si>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</si>
  <si>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</si>
  <si>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</si>
  <si>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</si>
  <si>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</si>
  <si>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</si>
  <si>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</si>
  <si>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</si>
  <si>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</si>
  <si>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</si>
  <si>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</si>
  <si>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</si>
  <si>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</si>
  <si>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</si>
  <si>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</si>
  <si>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</si>
  <si>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</si>
  <si>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</si>
  <si>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</si>
  <si>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</si>
  <si>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</si>
  <si>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</si>
  <si>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</si>
  <si>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</si>
  <si>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</si>
  <si>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</si>
  <si>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</si>
  <si>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</si>
  <si>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</si>
  <si>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</si>
  <si>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</si>
  <si>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</si>
  <si>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</si>
  <si>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</si>
  <si>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</si>
  <si>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</si>
  <si>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</si>
  <si>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</si>
  <si>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</si>
  <si>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</si>
  <si>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</si>
  <si>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</si>
  <si>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</si>
  <si>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</si>
  <si>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</si>
  <si>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</si>
  <si>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</si>
  <si>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</si>
  <si>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</si>
  <si>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</si>
  <si>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</si>
  <si>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Javan Robinson</t>
  </si>
  <si>
    <t>Jaheim Singletary</t>
  </si>
  <si>
    <t>Keshawn Davila</t>
  </si>
  <si>
    <t>Raion Strader</t>
  </si>
  <si>
    <t>Auburn</t>
  </si>
  <si>
    <t>Isaiah Farris</t>
  </si>
  <si>
    <t>Ashton Cunningham</t>
  </si>
  <si>
    <t>Syair Torrence</t>
  </si>
  <si>
    <t>Max Tucker</t>
  </si>
  <si>
    <t>TJ Green</t>
  </si>
  <si>
    <t>Carter Davis</t>
  </si>
  <si>
    <t>Marquis Cooper</t>
  </si>
  <si>
    <t>Kobi Blackwell</t>
  </si>
  <si>
    <t>Oliver Bridges</t>
  </si>
  <si>
    <t>Keontez Bradley</t>
  </si>
  <si>
    <t>Charles McCartherens</t>
  </si>
  <si>
    <t>Zach Cody</t>
  </si>
  <si>
    <t>CJ Blocker</t>
  </si>
  <si>
    <t>Dylan Phelps</t>
  </si>
  <si>
    <t>Teon Parks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</si>
  <si>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</si>
  <si>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</si>
  <si>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</si>
  <si>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</si>
  <si>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</si>
  <si>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</si>
  <si>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</si>
  <si>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</si>
  <si>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</si>
  <si>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</si>
  <si>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</si>
  <si>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Victor Evans III</t>
  </si>
  <si>
    <t>Mister Clark</t>
  </si>
  <si>
    <t>Tanner Heckel</t>
  </si>
  <si>
    <t>Jaheim Clarke</t>
  </si>
  <si>
    <t>Kaleb Patterson</t>
  </si>
  <si>
    <t>Justin Eaglin</t>
  </si>
  <si>
    <t>DJ Barksdale</t>
  </si>
  <si>
    <t>JeRico Washington Jr.</t>
  </si>
  <si>
    <t>Jaire Rawlison</t>
  </si>
  <si>
    <t>Paul Omodia</t>
  </si>
  <si>
    <t>Lamar</t>
  </si>
  <si>
    <t>Dexter Ricks Jr.</t>
  </si>
  <si>
    <t>Christian Bodnar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</si>
  <si>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</si>
  <si>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</si>
  <si>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</si>
  <si>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</si>
  <si>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</si>
  <si>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</si>
  <si>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</si>
  <si>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</si>
  <si>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</si>
  <si>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</si>
  <si>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</si>
  <si>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</si>
  <si>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</si>
  <si>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</si>
  <si>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</si>
  <si>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Mekhi Toms</t>
  </si>
  <si>
    <t>Joe Hall III</t>
  </si>
  <si>
    <t>Andrew Marshall</t>
  </si>
  <si>
    <t>Donovan Jones</t>
  </si>
  <si>
    <t>Aidan McCowan</t>
  </si>
  <si>
    <t>Christian Gray</t>
  </si>
  <si>
    <t>Leonard Moore</t>
  </si>
  <si>
    <t>Dallas Golden</t>
  </si>
  <si>
    <t>Mark Zackery IV</t>
  </si>
  <si>
    <t>Karson Hobbs</t>
  </si>
  <si>
    <t>CJ Fraser</t>
  </si>
  <si>
    <t>Nehemiah Chandler</t>
  </si>
  <si>
    <t>Chris Peal</t>
  </si>
  <si>
    <t>Davien Kerr</t>
  </si>
  <si>
    <t>Demetres Samuel Jr.</t>
  </si>
  <si>
    <t>Greg Delaine</t>
  </si>
  <si>
    <t>Ibn McDaniels</t>
  </si>
  <si>
    <t>Chris Rhodes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</si>
  <si>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</si>
  <si>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</si>
  <si>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</si>
  <si>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</si>
  <si>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</si>
  <si>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</si>
  <si>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</si>
  <si>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</si>
  <si>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</si>
  <si>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Andre Jordan Jr.</t>
  </si>
  <si>
    <t>Robert Stafford III</t>
  </si>
  <si>
    <t>Osiris Gilbert</t>
  </si>
  <si>
    <t>UCONN</t>
  </si>
  <si>
    <t>Cam Chadwick</t>
  </si>
  <si>
    <t>Davin Martin</t>
  </si>
  <si>
    <t>Kenny Worthy III</t>
  </si>
  <si>
    <t>Rahshawn Clark</t>
  </si>
  <si>
    <t>Dylan Robinson</t>
  </si>
  <si>
    <t>Leroy Bryant</t>
  </si>
  <si>
    <t>Desman Hearns</t>
  </si>
  <si>
    <t>Tyrese Boss</t>
  </si>
  <si>
    <t>Markie Grant</t>
  </si>
  <si>
    <t>Ian Bell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</si>
  <si>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</si>
  <si>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</si>
  <si>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</si>
  <si>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</si>
  <si>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</si>
  <si>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</si>
  <si>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</si>
  <si>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</si>
  <si>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</si>
  <si>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</si>
  <si>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FLORIDA ST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</si>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</sst>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1" numFmtId="0" xfId="0" applyBorder="1" applyFont="1"/>
    <xf borderId="11" fillId="0" fontId="1" numFmtId="2" xfId="0" applyBorder="1" applyFont="1" applyNumberForma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5" fontId="9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2" xfId="0" applyAlignment="1" applyFont="1" applyNumberFormat="1">
      <alignment readingOrder="0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1" si="1">IFERROR((I2*0.35+K2*7+L2*6+J2/25-M2*10-(N2/F2)*50-(O2/G2)*40)/50,0)</f>
        <v>4.974332736</v>
      </c>
      <c r="Q2" s="20">
        <f t="shared" ref="Q2:Q421" si="2">100*(P2-MIN($P$2:$P$690))/(MAX($P$2:$P$690) - MIN($P$2:$P$690))</f>
        <v>66.64624222</v>
      </c>
      <c r="R2" s="21"/>
      <c r="S2" s="20">
        <v>4.974332736341876</v>
      </c>
      <c r="T2" s="22">
        <v>1.41</v>
      </c>
      <c r="U2" s="23">
        <v>5.19</v>
      </c>
      <c r="V2" s="23">
        <v>8.24</v>
      </c>
      <c r="W2" s="18">
        <v>0.9</v>
      </c>
      <c r="X2" s="22">
        <f t="shared" ref="X2:X72" si="3">IFERROR((U2*0.7+T2*0.15+S2*0.15*W7),0)</f>
        <v>4.478727424</v>
      </c>
      <c r="Y2" s="20">
        <f t="shared" ref="Y2:Y421" si="4">100*(X2-MIN($X$2:$X$690))/(MAX($X$2:$X$690) - MIN($X$2:$X$690))</f>
        <v>32.00178636</v>
      </c>
      <c r="Z2" s="20">
        <f t="shared" ref="Z2:Z51" si="5">Y2-Q2</f>
        <v>-34.64445587</v>
      </c>
      <c r="AA2" s="20"/>
      <c r="AB2" s="20">
        <f>IFERROR(__xludf.DUMMYFUNCTION("iferror(PERCENTRANK.INC(FILTER($X$2:$X$421, $U$2:$U$421&lt;3.75), $X2), 1)"),0.995)</f>
        <v>0.995</v>
      </c>
      <c r="AC2" s="20">
        <f>IFERROR(__xludf.DUMMYFUNCTION("iferror(PERCENTRANK.INC(FILTER($X$2:$X$421, $U$2:$U$421&lt;4.25), $X2), 1)"),0.995)</f>
        <v>0.995</v>
      </c>
      <c r="AD2" s="20">
        <f>IFERROR(__xludf.DUMMYFUNCTION("iferror(PERCENTRANK.INC(FILTER($X$2:$X$421, $U$2:$U$421&gt;=4.1), $X2), 0.01)"),1.0)</f>
        <v>1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2">
        <v>1.0</v>
      </c>
      <c r="U3" s="23">
        <v>4.57</v>
      </c>
      <c r="V3" s="23">
        <v>0.09</v>
      </c>
      <c r="W3" s="18">
        <v>1.0</v>
      </c>
      <c r="X3" s="22">
        <f t="shared" si="3"/>
        <v>3.91123905</v>
      </c>
      <c r="Y3" s="20">
        <f t="shared" si="4"/>
        <v>31.34865734</v>
      </c>
      <c r="Z3" s="20">
        <f t="shared" si="5"/>
        <v>-26.02002768</v>
      </c>
      <c r="AA3" s="20"/>
      <c r="AB3" s="20">
        <f>IFERROR(__xludf.DUMMYFUNCTION("iferror(PERCENTRANK.INC(FILTER($X$2:$X$421, $U$2:$U$421&lt;3.75), $X3), 1)"),0.995)</f>
        <v>0.995</v>
      </c>
      <c r="AC3" s="20">
        <f>IFERROR(__xludf.DUMMYFUNCTION("iferror(PERCENTRANK.INC(FILTER($X$2:$X$421, $U$2:$U$421&lt;4.25), $X3), 1)"),0.995)</f>
        <v>0.995</v>
      </c>
      <c r="AD3" s="20">
        <f>IFERROR(__xludf.DUMMYFUNCTION("iferror(PERCENTRANK.INC(FILTER($X$2:$X$421, $U$2:$U$421&gt;=4.1), $X3), 0.01)"),0.615)</f>
        <v>0.615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4.393593897</v>
      </c>
      <c r="Y4" s="20">
        <f t="shared" si="4"/>
        <v>31.90380519</v>
      </c>
      <c r="Z4" s="20">
        <f t="shared" si="5"/>
        <v>-17.55338573</v>
      </c>
      <c r="AA4" s="20"/>
      <c r="AB4" s="20">
        <f>IFERROR(__xludf.DUMMYFUNCTION("iferror(PERCENTRANK.INC(FILTER($X$2:$X$421, $U$2:$U$421&lt;3.75), $X4), 1)"),0.995)</f>
        <v>0.995</v>
      </c>
      <c r="AC4" s="20">
        <f>IFERROR(__xludf.DUMMYFUNCTION("iferror(PERCENTRANK.INC(FILTER($X$2:$X$421, $U$2:$U$421&lt;4.25), $X4), 1)"),0.995)</f>
        <v>0.995</v>
      </c>
      <c r="AD4" s="20">
        <f>IFERROR(__xludf.DUMMYFUNCTION("iferror(PERCENTRANK.INC(FILTER($X$2:$X$421, $U$2:$U$421&gt;=4.1), $X4), 0.01)"),0.923)</f>
        <v>0.923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2">
        <v>1.42</v>
      </c>
      <c r="U5" s="23">
        <v>4.78</v>
      </c>
      <c r="V5" s="23">
        <v>-1.06</v>
      </c>
      <c r="W5" s="18">
        <v>0.95</v>
      </c>
      <c r="X5" s="22">
        <f t="shared" si="3"/>
        <v>3.984461762</v>
      </c>
      <c r="Y5" s="20">
        <f t="shared" si="4"/>
        <v>31.43293022</v>
      </c>
      <c r="Z5" s="20">
        <f t="shared" si="5"/>
        <v>-14.32544304</v>
      </c>
      <c r="AA5" s="20"/>
      <c r="AB5" s="20">
        <f>IFERROR(__xludf.DUMMYFUNCTION("iferror(PERCENTRANK.INC(FILTER($X$2:$X$421, $U$2:$U$421&lt;3.75), $X5), 1)"),0.995)</f>
        <v>0.995</v>
      </c>
      <c r="AC5" s="20">
        <f>IFERROR(__xludf.DUMMYFUNCTION("iferror(PERCENTRANK.INC(FILTER($X$2:$X$421, $U$2:$U$421&lt;4.25), $X5), 1)"),0.995)</f>
        <v>0.995</v>
      </c>
      <c r="AD5" s="20">
        <f>IFERROR(__xludf.DUMMYFUNCTION("iferror(PERCENTRANK.INC(FILTER($X$2:$X$421, $U$2:$U$421&gt;=4.1), $X5), 0.01)"),0.692)</f>
        <v>0.692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2">
        <v>1.21</v>
      </c>
      <c r="U6" s="16">
        <v>4.24</v>
      </c>
      <c r="V6" s="16">
        <v>3.47</v>
      </c>
      <c r="W6" s="26">
        <v>0.9</v>
      </c>
      <c r="X6" s="22">
        <f t="shared" si="3"/>
        <v>3.762844903</v>
      </c>
      <c r="Y6" s="20">
        <f t="shared" si="4"/>
        <v>31.17786878</v>
      </c>
      <c r="Z6" s="20">
        <f t="shared" si="5"/>
        <v>-27.7887336</v>
      </c>
      <c r="AA6" s="20"/>
      <c r="AB6" s="20">
        <f>IFERROR(__xludf.DUMMYFUNCTION("iferror(PERCENTRANK.INC(FILTER($X$2:$X$421, $U$2:$U$421&lt;3.75), $X6), 1)"),0.995)</f>
        <v>0.995</v>
      </c>
      <c r="AC6" s="20">
        <f>IFERROR(__xludf.DUMMYFUNCTION("iferror(PERCENTRANK.INC(FILTER($X$2:$X$421, $U$2:$U$421&lt;4.25), $X6), 1)"),0.995)</f>
        <v>0.995</v>
      </c>
      <c r="AD6" s="20">
        <f>IFERROR(__xludf.DUMMYFUNCTION("iferror(PERCENTRANK.INC(FILTER($X$2:$X$421, $U$2:$U$421&gt;=4.1), $X6), 0.01)"),0.462)</f>
        <v>0.462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9">
        <v>3.0</v>
      </c>
      <c r="U7" s="16">
        <v>4.36</v>
      </c>
      <c r="V7" s="16">
        <v>-4.99</v>
      </c>
      <c r="W7" s="16">
        <v>0.85</v>
      </c>
      <c r="X7" s="22">
        <f t="shared" si="3"/>
        <v>4.040693579</v>
      </c>
      <c r="Y7" s="20">
        <f t="shared" si="4"/>
        <v>31.49764808</v>
      </c>
      <c r="Z7" s="20">
        <f t="shared" si="5"/>
        <v>-23.87238454</v>
      </c>
      <c r="AA7" s="20"/>
      <c r="AB7" s="20">
        <f>IFERROR(__xludf.DUMMYFUNCTION("iferror(PERCENTRANK.INC(FILTER($X$2:$X$421, $U$2:$U$421&lt;3.75), $X7), 1)"),0.995)</f>
        <v>0.995</v>
      </c>
      <c r="AC7" s="20">
        <f>IFERROR(__xludf.DUMMYFUNCTION("iferror(PERCENTRANK.INC(FILTER($X$2:$X$421, $U$2:$U$421&lt;4.25), $X7), 1)"),0.995)</f>
        <v>0.995</v>
      </c>
      <c r="AD7" s="20">
        <f>IFERROR(__xludf.DUMMYFUNCTION("iferror(PERCENTRANK.INC(FILTER($X$2:$X$421, $U$2:$U$421&gt;=4.1), $X7), 0.01)"),0.846)</f>
        <v>0.846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2">
        <v>0.99</v>
      </c>
      <c r="U8" s="23">
        <v>4.1</v>
      </c>
      <c r="V8" s="23">
        <v>1.29</v>
      </c>
      <c r="W8" s="18">
        <v>0.9</v>
      </c>
      <c r="X8" s="22">
        <f t="shared" si="3"/>
        <v>3.605039124</v>
      </c>
      <c r="Y8" s="20">
        <f t="shared" si="4"/>
        <v>30.99624826</v>
      </c>
      <c r="Z8" s="20">
        <f t="shared" si="5"/>
        <v>-23.45631829</v>
      </c>
      <c r="AA8" s="20"/>
      <c r="AB8" s="20">
        <f>IFERROR(__xludf.DUMMYFUNCTION("iferror(PERCENTRANK.INC(FILTER($X$2:$X$421, $U$2:$U$421&lt;3.75), $X8), 1)"),0.995)</f>
        <v>0.995</v>
      </c>
      <c r="AC8" s="20">
        <f>IFERROR(__xludf.DUMMYFUNCTION("iferror(PERCENTRANK.INC(FILTER($X$2:$X$421, $U$2:$U$421&lt;4.25), $X8), 1)"),0.993)</f>
        <v>0.993</v>
      </c>
      <c r="AD8" s="20">
        <f>IFERROR(__xludf.DUMMYFUNCTION("iferror(PERCENTRANK.INC(FILTER($X$2:$X$421, $U$2:$U$421&gt;=4.1), $X8), 0.01)"),0.385)</f>
        <v>0.385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2">
        <v>0.55</v>
      </c>
      <c r="U9" s="16">
        <v>3.82</v>
      </c>
      <c r="V9" s="16">
        <v>-6.42</v>
      </c>
      <c r="W9" s="26">
        <v>0.95</v>
      </c>
      <c r="X9" s="22">
        <f t="shared" si="3"/>
        <v>3.26791894</v>
      </c>
      <c r="Y9" s="20">
        <f t="shared" si="4"/>
        <v>30.6082527</v>
      </c>
      <c r="Z9" s="20">
        <f t="shared" si="5"/>
        <v>-22.44657778</v>
      </c>
      <c r="AA9" s="20"/>
      <c r="AB9" s="20">
        <f>IFERROR(__xludf.DUMMYFUNCTION("iferror(PERCENTRANK.INC(FILTER($X$2:$X$421, $U$2:$U$421&lt;3.75), $X9), 1)"),0.99)</f>
        <v>0.99</v>
      </c>
      <c r="AC9" s="20">
        <f>IFERROR(__xludf.DUMMYFUNCTION("iferror(PERCENTRANK.INC(FILTER($X$2:$X$421, $U$2:$U$421&lt;4.25), $X9), 1)"),0.98)</f>
        <v>0.98</v>
      </c>
      <c r="AD9" s="20">
        <f>IFERROR(__xludf.DUMMYFUNCTION("iferror(PERCENTRANK.INC(FILTER($X$2:$X$421, $U$2:$U$421&gt;=4.1), $X9), 0.01)"),0.196)</f>
        <v>0.196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2">
        <v>1.32</v>
      </c>
      <c r="U10" s="23">
        <v>3.69</v>
      </c>
      <c r="V10" s="23">
        <v>5.45</v>
      </c>
      <c r="W10" s="18">
        <v>0.9</v>
      </c>
      <c r="X10" s="22">
        <f t="shared" si="3"/>
        <v>3.298940987</v>
      </c>
      <c r="Y10" s="20">
        <f t="shared" si="4"/>
        <v>30.64395633</v>
      </c>
      <c r="Z10" s="20">
        <f t="shared" si="5"/>
        <v>-22.96449679</v>
      </c>
      <c r="AA10" s="20"/>
      <c r="AB10" s="20">
        <f>IFERROR(__xludf.DUMMYFUNCTION("iferror(PERCENTRANK.INC(FILTER($X$2:$X$421, $U$2:$U$421&lt;3.75), $X10), 1)"),0.993)</f>
        <v>0.993</v>
      </c>
      <c r="AC10" s="20">
        <f>IFERROR(__xludf.DUMMYFUNCTION("iferror(PERCENTRANK.INC(FILTER($X$2:$X$421, $U$2:$U$421&lt;4.25), $X10), 1)"),0.985)</f>
        <v>0.985</v>
      </c>
      <c r="AD10" s="20">
        <f>IFERROR(__xludf.DUMMYFUNCTION("iferror(PERCENTRANK.INC(FILTER($X$2:$X$421, $U$2:$U$421&gt;=4.1), $X10), 0.01)"),0.209)</f>
        <v>0.209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2">
        <v>0.13</v>
      </c>
      <c r="U11" s="23">
        <v>4.3</v>
      </c>
      <c r="V11" s="23">
        <v>3.82</v>
      </c>
      <c r="W11" s="18">
        <v>0.95</v>
      </c>
      <c r="X11" s="22">
        <f t="shared" si="3"/>
        <v>3.353210258</v>
      </c>
      <c r="Y11" s="20">
        <f t="shared" si="4"/>
        <v>30.70641547</v>
      </c>
      <c r="Z11" s="20">
        <f t="shared" si="5"/>
        <v>-6.414802427</v>
      </c>
      <c r="AA11" s="20"/>
      <c r="AB11" s="20">
        <f>IFERROR(__xludf.DUMMYFUNCTION("iferror(PERCENTRANK.INC(FILTER($X$2:$X$421, $U$2:$U$421&lt;3.75), $X11), 1)"),0.995)</f>
        <v>0.995</v>
      </c>
      <c r="AC11" s="20">
        <f>IFERROR(__xludf.DUMMYFUNCTION("iferror(PERCENTRANK.INC(FILTER($X$2:$X$421, $U$2:$U$421&lt;4.25), $X11), 1)"),0.988)</f>
        <v>0.988</v>
      </c>
      <c r="AD11" s="20">
        <f>IFERROR(__xludf.DUMMYFUNCTION("iferror(PERCENTRANK.INC(FILTER($X$2:$X$421, $U$2:$U$421&gt;=4.1), $X11), 0.01)"),0.308)</f>
        <v>0.308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2">
        <v>-1.0</v>
      </c>
      <c r="U12" s="23">
        <v>4.06</v>
      </c>
      <c r="V12" s="23">
        <v>3.99</v>
      </c>
      <c r="W12" s="18">
        <v>0.9</v>
      </c>
      <c r="X12" s="22">
        <f t="shared" si="3"/>
        <v>3.063489378</v>
      </c>
      <c r="Y12" s="20">
        <f t="shared" si="4"/>
        <v>30.37297232</v>
      </c>
      <c r="Z12" s="20">
        <f t="shared" si="5"/>
        <v>-10.80396634</v>
      </c>
      <c r="AA12" s="20"/>
      <c r="AB12" s="20">
        <f>IFERROR(__xludf.DUMMYFUNCTION("iferror(PERCENTRANK.INC(FILTER($X$2:$X$421, $U$2:$U$421&lt;3.75), $X12), 1)"),0.987)</f>
        <v>0.987</v>
      </c>
      <c r="AC12" s="20">
        <f>IFERROR(__xludf.DUMMYFUNCTION("iferror(PERCENTRANK.INC(FILTER($X$2:$X$421, $U$2:$U$421&lt;4.25), $X12), 1)"),0.975)</f>
        <v>0.975</v>
      </c>
      <c r="AD12" s="20">
        <f>IFERROR(__xludf.DUMMYFUNCTION("iferror(PERCENTRANK.INC(FILTER($X$2:$X$421, $U$2:$U$421&gt;=4.1), $X12), 0.01)"),0.105)</f>
        <v>0.105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2">
        <v>0.46</v>
      </c>
      <c r="U13" s="23">
        <v>4.28</v>
      </c>
      <c r="V13" s="23">
        <v>-0.53</v>
      </c>
      <c r="W13" s="18">
        <v>1.0</v>
      </c>
      <c r="X13" s="22">
        <f t="shared" si="3"/>
        <v>3.353069319</v>
      </c>
      <c r="Y13" s="20">
        <f t="shared" si="4"/>
        <v>30.70625326</v>
      </c>
      <c r="Z13" s="20">
        <f t="shared" si="5"/>
        <v>-3.38959091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1)"),0.988)</f>
        <v>0.988</v>
      </c>
      <c r="AD13" s="20">
        <f>IFERROR(__xludf.DUMMYFUNCTION("iferror(PERCENTRANK.INC(FILTER($X$2:$X$421, $U$2:$U$421&gt;=4.1), $X13), 0.01)"),0.231)</f>
        <v>0.231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2">
        <v>1.8</v>
      </c>
      <c r="U14" s="23">
        <v>4.02</v>
      </c>
      <c r="V14" s="23">
        <v>-5.15</v>
      </c>
      <c r="W14" s="18">
        <v>0.9</v>
      </c>
      <c r="X14" s="22">
        <f t="shared" si="3"/>
        <v>3.449034854</v>
      </c>
      <c r="Y14" s="20">
        <f t="shared" si="4"/>
        <v>30.81670112</v>
      </c>
      <c r="Z14" s="20">
        <f t="shared" si="5"/>
        <v>-9.812346542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1)"),0.99)</f>
        <v>0.99</v>
      </c>
      <c r="AD14" s="20">
        <f>IFERROR(__xludf.DUMMYFUNCTION("iferror(PERCENTRANK.INC(FILTER($X$2:$X$421, $U$2:$U$421&gt;=4.1), $X14), 0.01)"),0.337)</f>
        <v>0.337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2">
        <v>4.98</v>
      </c>
      <c r="U15" s="16">
        <v>4.28</v>
      </c>
      <c r="V15" s="16">
        <v>-0.53</v>
      </c>
      <c r="W15" s="26">
        <v>0.9</v>
      </c>
      <c r="X15" s="22">
        <f t="shared" si="3"/>
        <v>4.022276952</v>
      </c>
      <c r="Y15" s="20">
        <f t="shared" si="4"/>
        <v>31.47645217</v>
      </c>
      <c r="Z15" s="20">
        <f t="shared" si="5"/>
        <v>-0.6253502782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1)"),0.995)</f>
        <v>0.995</v>
      </c>
      <c r="AD15" s="20">
        <f>IFERROR(__xludf.DUMMYFUNCTION("iferror(PERCENTRANK.INC(FILTER($X$2:$X$421, $U$2:$U$421&gt;=4.1), $X15), 0.01)"),0.769)</f>
        <v>0.769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2">
        <v>-3.23</v>
      </c>
      <c r="U16" s="16">
        <v>4.37</v>
      </c>
      <c r="V16" s="16">
        <v>-3.67</v>
      </c>
      <c r="W16" s="26">
        <v>0.9</v>
      </c>
      <c r="X16" s="22">
        <f t="shared" si="3"/>
        <v>2.726850674</v>
      </c>
      <c r="Y16" s="20">
        <f t="shared" si="4"/>
        <v>29.98553089</v>
      </c>
      <c r="Z16" s="20">
        <f t="shared" si="5"/>
        <v>8.090780743</v>
      </c>
      <c r="AA16" s="20"/>
      <c r="AB16" s="20">
        <f>IFERROR(__xludf.DUMMYFUNCTION("iferror(PERCENTRANK.INC(FILTER($X$2:$X$421, $U$2:$U$421&lt;3.75), $X16), 1)"),0.986)</f>
        <v>0.986</v>
      </c>
      <c r="AC16" s="20">
        <f>IFERROR(__xludf.DUMMYFUNCTION("iferror(PERCENTRANK.INC(FILTER($X$2:$X$421, $U$2:$U$421&lt;4.25), $X16), 1)"),0.968)</f>
        <v>0.968</v>
      </c>
      <c r="AD16" s="20">
        <f>IFERROR(__xludf.DUMMYFUNCTION("iferror(PERCENTRANK.INC(FILTER($X$2:$X$421, $U$2:$U$421&gt;=4.1), $X16), 0.01)"),0.0)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2">
        <v>2.63</v>
      </c>
      <c r="U17" s="16">
        <v>3.68</v>
      </c>
      <c r="V17" s="16">
        <v>-5.05</v>
      </c>
      <c r="W17" s="26">
        <v>0.9</v>
      </c>
      <c r="X17" s="22">
        <f t="shared" si="3"/>
        <v>3.332592866</v>
      </c>
      <c r="Y17" s="20">
        <f t="shared" si="4"/>
        <v>30.68268667</v>
      </c>
      <c r="Z17" s="20">
        <f t="shared" si="5"/>
        <v>-9.696630956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$U$2:$U$421&lt;4.25), $X17), 1)"),0.988)</f>
        <v>0.988</v>
      </c>
      <c r="AD17" s="20">
        <f>IFERROR(__xludf.DUMMYFUNCTION("iferror(PERCENTRANK.INC(FILTER($X$2:$X$421, $U$2:$U$421&gt;=4.1), $X17), 0.01)"),0.222)</f>
        <v>0.222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2">
        <v>1.55</v>
      </c>
      <c r="U18" s="23">
        <v>3.63</v>
      </c>
      <c r="V18" s="23">
        <v>-5.91</v>
      </c>
      <c r="W18" s="18">
        <v>0.9</v>
      </c>
      <c r="X18" s="22">
        <f t="shared" si="3"/>
        <v>3.127750961</v>
      </c>
      <c r="Y18" s="20">
        <f t="shared" si="4"/>
        <v>30.44693173</v>
      </c>
      <c r="Z18" s="20">
        <f t="shared" si="5"/>
        <v>-7.684068572</v>
      </c>
      <c r="AA18" s="20"/>
      <c r="AB18" s="20">
        <f>IFERROR(__xludf.DUMMYFUNCTION("iferror(PERCENTRANK.INC(FILTER($X$2:$X$421, $U$2:$U$421&lt;3.75), $X18), 1)"),0.988)</f>
        <v>0.988</v>
      </c>
      <c r="AC18" s="20">
        <f>IFERROR(__xludf.DUMMYFUNCTION("iferror(PERCENTRANK.INC(FILTER($X$2:$X$421, $U$2:$U$421&lt;4.25), $X18), 1)"),0.978)</f>
        <v>0.978</v>
      </c>
      <c r="AD18" s="20">
        <f>IFERROR(__xludf.DUMMYFUNCTION("iferror(PERCENTRANK.INC(FILTER($X$2:$X$421, $U$2:$U$421&gt;=4.1), $X18), 0.01)"),0.136)</f>
        <v>0.136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2">
        <v>-0.81</v>
      </c>
      <c r="U19" s="23">
        <v>3.8</v>
      </c>
      <c r="V19" s="23">
        <v>-0.63</v>
      </c>
      <c r="W19" s="18">
        <v>0.9</v>
      </c>
      <c r="X19" s="22">
        <f t="shared" si="3"/>
        <v>2.824659804</v>
      </c>
      <c r="Y19" s="20">
        <f t="shared" si="4"/>
        <v>30.09810057</v>
      </c>
      <c r="Z19" s="20">
        <f t="shared" si="5"/>
        <v>-3.835654903</v>
      </c>
      <c r="AA19" s="20"/>
      <c r="AB19" s="20">
        <f>IFERROR(__xludf.DUMMYFUNCTION("iferror(PERCENTRANK.INC(FILTER($X$2:$X$421, $U$2:$U$421&lt;3.75), $X19), 1)"),0.987)</f>
        <v>0.987</v>
      </c>
      <c r="AC19" s="20">
        <f>IFERROR(__xludf.DUMMYFUNCTION("iferror(PERCENTRANK.INC(FILTER($X$2:$X$421, $U$2:$U$421&lt;4.25), $X19), 1)"),0.971)</f>
        <v>0.971</v>
      </c>
      <c r="AD19" s="20">
        <f>IFERROR(__xludf.DUMMYFUNCTION("iferror(PERCENTRANK.INC(FILTER($X$2:$X$421, $U$2:$U$421&gt;=4.1), $X19), 0.01)"),0.027)</f>
        <v>0.027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2">
        <v>-0.74</v>
      </c>
      <c r="U20" s="16">
        <v>4.24</v>
      </c>
      <c r="V20" s="16">
        <v>8.95</v>
      </c>
      <c r="W20" s="26">
        <v>0.95</v>
      </c>
      <c r="X20" s="22">
        <f t="shared" si="3"/>
        <v>3.004210953</v>
      </c>
      <c r="Y20" s="20">
        <f t="shared" si="4"/>
        <v>30.30474809</v>
      </c>
      <c r="Z20" s="20">
        <f t="shared" si="5"/>
        <v>8.823319776</v>
      </c>
      <c r="AA20" s="20"/>
      <c r="AB20" s="20">
        <f>IFERROR(__xludf.DUMMYFUNCTION("iferror(PERCENTRANK.INC(FILTER($X$2:$X$421, $U$2:$U$421&lt;3.75), $X20), 1)"),0.987)</f>
        <v>0.987</v>
      </c>
      <c r="AC20" s="20">
        <f>IFERROR(__xludf.DUMMYFUNCTION("iferror(PERCENTRANK.INC(FILTER($X$2:$X$421, $U$2:$U$421&lt;4.25), $X20), 1)"),0.973)</f>
        <v>0.973</v>
      </c>
      <c r="AD20" s="20">
        <f>IFERROR(__xludf.DUMMYFUNCTION("iferror(PERCENTRANK.INC(FILTER($X$2:$X$421, $U$2:$U$421&gt;=4.1), $X20), 0.01)"),0.077)</f>
        <v>0.077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2">
        <v>91.33</v>
      </c>
      <c r="U21" s="23">
        <v>3.7</v>
      </c>
      <c r="V21" s="23">
        <v>-4.2</v>
      </c>
      <c r="W21" s="18">
        <v>0.95</v>
      </c>
      <c r="X21" s="22">
        <f t="shared" si="3"/>
        <v>16.46832399</v>
      </c>
      <c r="Y21" s="20">
        <f t="shared" si="4"/>
        <v>45.80075346</v>
      </c>
      <c r="Z21" s="20">
        <f t="shared" si="5"/>
        <v>22.49611991</v>
      </c>
      <c r="AA21" s="20"/>
      <c r="AB21" s="20">
        <f>IFERROR(__xludf.DUMMYFUNCTION("iferror(PERCENTRANK.INC(FILTER($X$2:$X$421, $U$2:$U$421&lt;3.75), $X21), 1)"),0.998)</f>
        <v>0.998</v>
      </c>
      <c r="AC21" s="20">
        <f>IFERROR(__xludf.DUMMYFUNCTION("iferror(PERCENTRANK.INC(FILTER($X$2:$X$421, $U$2:$U$421&lt;4.25), $X21), 1)"),0.998)</f>
        <v>0.998</v>
      </c>
      <c r="AD21" s="20">
        <f>IFERROR(__xludf.DUMMYFUNCTION("iferror(PERCENTRANK.INC(FILTER($X$2:$X$421, $U$2:$U$421&gt;=4.1), $X21), 0.01)"),0.01)</f>
        <v>0.01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2">
        <v>4.2</v>
      </c>
      <c r="U22" s="16">
        <v>3.43</v>
      </c>
      <c r="V22" s="16">
        <v>8.05</v>
      </c>
      <c r="W22" s="26">
        <v>0.9</v>
      </c>
      <c r="X22" s="22">
        <f t="shared" si="3"/>
        <v>3.27983297</v>
      </c>
      <c r="Y22" s="20">
        <f t="shared" si="4"/>
        <v>30.62196469</v>
      </c>
      <c r="Z22" s="20">
        <f t="shared" si="5"/>
        <v>1.968903314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$U$2:$U$421&lt;4.25), $X22), 1)"),0.983)</f>
        <v>0.983</v>
      </c>
      <c r="AD22" s="20">
        <f>IFERROR(__xludf.DUMMYFUNCTION("iferror(PERCENTRANK.INC(FILTER($X$2:$X$421, $U$2:$U$421&gt;=4.1), $X22), 0.01)"),0.201)</f>
        <v>0.201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2">
        <v>-2.49</v>
      </c>
      <c r="U23" s="23">
        <v>3.58</v>
      </c>
      <c r="V23" s="23">
        <v>5.19</v>
      </c>
      <c r="W23" s="18">
        <v>0.95</v>
      </c>
      <c r="X23" s="22">
        <f t="shared" si="3"/>
        <v>2.245069161</v>
      </c>
      <c r="Y23" s="20">
        <f t="shared" si="4"/>
        <v>29.43104291</v>
      </c>
      <c r="Z23" s="20">
        <f t="shared" si="5"/>
        <v>10.23249323</v>
      </c>
      <c r="AA23" s="20"/>
      <c r="AB23" s="20">
        <f>IFERROR(__xludf.DUMMYFUNCTION("iferror(PERCENTRANK.INC(FILTER($X$2:$X$421, $U$2:$U$421&lt;3.75), $X23), 1)"),0.983)</f>
        <v>0.983</v>
      </c>
      <c r="AC23" s="20">
        <f>IFERROR(__xludf.DUMMYFUNCTION("iferror(PERCENTRANK.INC(FILTER($X$2:$X$421, $U$2:$U$421&lt;4.25), $X23), 1)"),0.963)</f>
        <v>0.963</v>
      </c>
      <c r="AD23" s="20">
        <f>IFERROR(__xludf.DUMMYFUNCTION("iferror(PERCENTRANK.INC(FILTER($X$2:$X$421, $U$2:$U$421&gt;=4.1), $X23), 0.01)"),0.01)</f>
        <v>0.01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2">
        <v>2.69</v>
      </c>
      <c r="U24" s="16"/>
      <c r="V24" s="16"/>
      <c r="W24" s="26">
        <v>0.9</v>
      </c>
      <c r="X24" s="22">
        <f t="shared" si="3"/>
        <v>1.467964639</v>
      </c>
      <c r="Y24" s="20">
        <f t="shared" si="4"/>
        <v>28.53666421</v>
      </c>
      <c r="Z24" s="20">
        <f t="shared" si="5"/>
        <v>-71.46333579</v>
      </c>
      <c r="AA24" s="20"/>
      <c r="AB24" s="20">
        <f>IFERROR(__xludf.DUMMYFUNCTION("iferror(PERCENTRANK.INC(FILTER($X$2:$X$421, $U$2:$U$421&lt;3.75), $X24), 1)"),0.968)</f>
        <v>0.968</v>
      </c>
      <c r="AC24" s="20">
        <f>IFERROR(__xludf.DUMMYFUNCTION("iferror(PERCENTRANK.INC(FILTER($X$2:$X$421, $U$2:$U$421&lt;4.25), $X24), 1)"),0.949)</f>
        <v>0.949</v>
      </c>
      <c r="AD24" s="20">
        <f>IFERROR(__xludf.DUMMYFUNCTION("iferror(PERCENTRANK.INC(FILTER($X$2:$X$421, $U$2:$U$421&gt;=4.1), $X24), 0.01)"),0.01)</f>
        <v>0.01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2">
        <v>1.01</v>
      </c>
      <c r="W25" s="26">
        <v>0.95</v>
      </c>
      <c r="X25" s="22">
        <f t="shared" si="3"/>
        <v>1.150085165</v>
      </c>
      <c r="Y25" s="20">
        <f t="shared" si="4"/>
        <v>28.170813</v>
      </c>
      <c r="Z25" s="20">
        <f t="shared" si="5"/>
        <v>-57.76055208</v>
      </c>
      <c r="AA25" s="20"/>
      <c r="AB25" s="20">
        <f>IFERROR(__xludf.DUMMYFUNCTION("iferror(PERCENTRANK.INC(FILTER($X$2:$X$421, $U$2:$U$421&lt;3.75), $X25), 1)"),0.948)</f>
        <v>0.948</v>
      </c>
      <c r="AC25" s="20">
        <f>IFERROR(__xludf.DUMMYFUNCTION("iferror(PERCENTRANK.INC(FILTER($X$2:$X$421, $U$2:$U$421&lt;4.25), $X25), 1)"),0.929)</f>
        <v>0.929</v>
      </c>
      <c r="AD25" s="20">
        <f>IFERROR(__xludf.DUMMYFUNCTION("iferror(PERCENTRANK.INC(FILTER($X$2:$X$421, $U$2:$U$421&gt;=4.1), $X25), 0.01)"),0.01)</f>
        <v>0.01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2">
        <v>1.04</v>
      </c>
      <c r="U26" s="30"/>
      <c r="V26" s="23"/>
      <c r="W26" s="18">
        <v>1.0</v>
      </c>
      <c r="X26" s="22">
        <f t="shared" si="3"/>
        <v>1.010592795</v>
      </c>
      <c r="Y26" s="20">
        <f t="shared" si="4"/>
        <v>28.0102696</v>
      </c>
      <c r="Z26" s="20">
        <f t="shared" si="5"/>
        <v>-54.17480249</v>
      </c>
      <c r="AA26" s="20"/>
      <c r="AB26" s="20">
        <f>IFERROR(__xludf.DUMMYFUNCTION("iferror(PERCENTRANK.INC(FILTER($X$2:$X$421, $U$2:$U$421&lt;3.75), $X26), 1)"),0.935)</f>
        <v>0.935</v>
      </c>
      <c r="AC26" s="20">
        <f>IFERROR(__xludf.DUMMYFUNCTION("iferror(PERCENTRANK.INC(FILTER($X$2:$X$421, $U$2:$U$421&lt;4.25), $X26), 1)"),0.917)</f>
        <v>0.917</v>
      </c>
      <c r="AD26" s="20">
        <f>IFERROR(__xludf.DUMMYFUNCTION("iferror(PERCENTRANK.INC(FILTER($X$2:$X$421, $U$2:$U$421&gt;=4.1), $X26), 0.01)"),0.01)</f>
        <v>0.01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2">
        <v>1.31</v>
      </c>
      <c r="U27" s="23"/>
      <c r="V27" s="30"/>
      <c r="W27" s="18">
        <v>1.0</v>
      </c>
      <c r="X27" s="22">
        <f t="shared" si="3"/>
        <v>1.042100871</v>
      </c>
      <c r="Y27" s="20">
        <f t="shared" si="4"/>
        <v>28.04653261</v>
      </c>
      <c r="Z27" s="20">
        <f t="shared" si="5"/>
        <v>-53.37526184</v>
      </c>
      <c r="AA27" s="20"/>
      <c r="AB27" s="20">
        <f>IFERROR(__xludf.DUMMYFUNCTION("iferror(PERCENTRANK.INC(FILTER($X$2:$X$421, $U$2:$U$421&lt;3.75), $X27), 1)"),0.943)</f>
        <v>0.943</v>
      </c>
      <c r="AC27" s="20">
        <f>IFERROR(__xludf.DUMMYFUNCTION("iferror(PERCENTRANK.INC(FILTER($X$2:$X$421, $U$2:$U$421&lt;4.25), $X27), 1)"),0.924)</f>
        <v>0.924</v>
      </c>
      <c r="AD27" s="20">
        <f>IFERROR(__xludf.DUMMYFUNCTION("iferror(PERCENTRANK.INC(FILTER($X$2:$X$421, $U$2:$U$421&gt;=4.1), $X27), 0.01)"),0.01)</f>
        <v>0.01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2">
        <v>1.48</v>
      </c>
      <c r="W28" s="26">
        <v>0.9</v>
      </c>
      <c r="X28" s="22">
        <f t="shared" si="3"/>
        <v>1.199124646</v>
      </c>
      <c r="Y28" s="20">
        <f t="shared" si="4"/>
        <v>28.22725312</v>
      </c>
      <c r="Z28" s="20">
        <f t="shared" si="5"/>
        <v>-56.06460739</v>
      </c>
      <c r="AA28" s="20"/>
      <c r="AB28" s="20">
        <f>IFERROR(__xludf.DUMMYFUNCTION("iferror(PERCENTRANK.INC(FILTER($X$2:$X$421, $U$2:$U$421&lt;3.75), $X28), 1)"),0.953)</f>
        <v>0.953</v>
      </c>
      <c r="AC28" s="20">
        <f>IFERROR(__xludf.DUMMYFUNCTION("iferror(PERCENTRANK.INC(FILTER($X$2:$X$421, $U$2:$U$421&lt;4.25), $X28), 1)"),0.934)</f>
        <v>0.934</v>
      </c>
      <c r="AD28" s="20">
        <f>IFERROR(__xludf.DUMMYFUNCTION("iferror(PERCENTRANK.INC(FILTER($X$2:$X$421, $U$2:$U$421&gt;=4.1), $X28), 0.01)"),0.01)</f>
        <v>0.01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2">
        <v>0.85</v>
      </c>
      <c r="U29" s="30"/>
      <c r="V29" s="30"/>
      <c r="W29" s="18">
        <v>0.9</v>
      </c>
      <c r="X29" s="22">
        <f t="shared" si="3"/>
        <v>1.028743081</v>
      </c>
      <c r="Y29" s="20">
        <f t="shared" si="4"/>
        <v>28.03115898</v>
      </c>
      <c r="Z29" s="20">
        <f t="shared" si="5"/>
        <v>-50.46362971</v>
      </c>
      <c r="AA29" s="20"/>
      <c r="AB29" s="20">
        <f>IFERROR(__xludf.DUMMYFUNCTION("iferror(PERCENTRANK.INC(FILTER($X$2:$X$421, $U$2:$U$421&lt;3.75), $X29), 1)"),0.94)</f>
        <v>0.94</v>
      </c>
      <c r="AC29" s="20">
        <f>IFERROR(__xludf.DUMMYFUNCTION("iferror(PERCENTRANK.INC(FILTER($X$2:$X$421, $U$2:$U$421&lt;4.25), $X29), 1)"),0.922)</f>
        <v>0.922</v>
      </c>
      <c r="AD29" s="20">
        <f>IFERROR(__xludf.DUMMYFUNCTION("iferror(PERCENTRANK.INC(FILTER($X$2:$X$421, $U$2:$U$421&gt;=4.1), $X29), 0.01)"),0.01)</f>
        <v>0.01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2">
        <v>1.01</v>
      </c>
      <c r="W30" s="26">
        <v>1.0</v>
      </c>
      <c r="X30" s="22">
        <f t="shared" si="3"/>
        <v>1.051016601</v>
      </c>
      <c r="Y30" s="20">
        <f t="shared" si="4"/>
        <v>28.05679383</v>
      </c>
      <c r="Z30" s="20">
        <f t="shared" si="5"/>
        <v>-53.92292724</v>
      </c>
      <c r="AA30" s="20"/>
      <c r="AB30" s="20">
        <f>IFERROR(__xludf.DUMMYFUNCTION("iferror(PERCENTRANK.INC(FILTER($X$2:$X$421, $U$2:$U$421&lt;3.75), $X30), 1)"),0.945)</f>
        <v>0.945</v>
      </c>
      <c r="AC30" s="20">
        <f>IFERROR(__xludf.DUMMYFUNCTION("iferror(PERCENTRANK.INC(FILTER($X$2:$X$421, $U$2:$U$421&lt;4.25), $X30), 1)"),0.926)</f>
        <v>0.926</v>
      </c>
      <c r="AD30" s="20">
        <f>IFERROR(__xludf.DUMMYFUNCTION("iferror(PERCENTRANK.INC(FILTER($X$2:$X$421, $U$2:$U$421&gt;=4.1), $X30), 0.01)"),0.01)</f>
        <v>0.01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2">
        <v>4.24</v>
      </c>
      <c r="U31" s="30"/>
      <c r="V31" s="30"/>
      <c r="W31" s="18">
        <v>0.9</v>
      </c>
      <c r="X31" s="22">
        <f t="shared" si="3"/>
        <v>1.473648924</v>
      </c>
      <c r="Y31" s="20">
        <f t="shared" si="4"/>
        <v>28.54320632</v>
      </c>
      <c r="Z31" s="20">
        <f t="shared" si="5"/>
        <v>-45.09322321</v>
      </c>
      <c r="AA31" s="20"/>
      <c r="AB31" s="20">
        <f>IFERROR(__xludf.DUMMYFUNCTION("iferror(PERCENTRANK.INC(FILTER($X$2:$X$421, $U$2:$U$421&lt;3.75), $X31), 1)"),0.97)</f>
        <v>0.97</v>
      </c>
      <c r="AC31" s="20">
        <f>IFERROR(__xludf.DUMMYFUNCTION("iferror(PERCENTRANK.INC(FILTER($X$2:$X$421, $U$2:$U$421&lt;4.25), $X31), 1)"),0.951)</f>
        <v>0.951</v>
      </c>
      <c r="AD31" s="20">
        <f>IFERROR(__xludf.DUMMYFUNCTION("iferror(PERCENTRANK.INC(FILTER($X$2:$X$421, $U$2:$U$421&gt;=4.1), $X31), 0.01)"),0.01)</f>
        <v>0.01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2">
        <v>1.46</v>
      </c>
      <c r="U32" s="30"/>
      <c r="V32" s="30"/>
      <c r="W32" s="18">
        <v>0.9</v>
      </c>
      <c r="X32" s="22">
        <f t="shared" si="3"/>
        <v>0.9697849077</v>
      </c>
      <c r="Y32" s="20">
        <f t="shared" si="4"/>
        <v>27.96330332</v>
      </c>
      <c r="Z32" s="20">
        <f t="shared" si="5"/>
        <v>-45.41005773</v>
      </c>
      <c r="AA32" s="20"/>
      <c r="AB32" s="20">
        <f>IFERROR(__xludf.DUMMYFUNCTION("iferror(PERCENTRANK.INC(FILTER($X$2:$X$421, $U$2:$U$421&lt;3.75), $X32), 1)"),0.928)</f>
        <v>0.928</v>
      </c>
      <c r="AC32" s="20">
        <f>IFERROR(__xludf.DUMMYFUNCTION("iferror(PERCENTRANK.INC(FILTER($X$2:$X$421, $U$2:$U$421&lt;4.25), $X32), 1)"),0.909)</f>
        <v>0.909</v>
      </c>
      <c r="AD32" s="20">
        <f>IFERROR(__xludf.DUMMYFUNCTION("iferror(PERCENTRANK.INC(FILTER($X$2:$X$421, $U$2:$U$421&gt;=4.1), $X32), 0.01)"),0.01)</f>
        <v>0.01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2">
        <v>0.95</v>
      </c>
      <c r="U33" s="30"/>
      <c r="V33" s="30"/>
      <c r="W33" s="18">
        <v>1.0</v>
      </c>
      <c r="X33" s="22">
        <f t="shared" si="3"/>
        <v>0.8843783327</v>
      </c>
      <c r="Y33" s="20">
        <f t="shared" si="4"/>
        <v>27.8650079</v>
      </c>
      <c r="Z33" s="20">
        <f t="shared" si="5"/>
        <v>-44.75232038</v>
      </c>
      <c r="AA33" s="20"/>
      <c r="AB33" s="20">
        <f>IFERROR(__xludf.DUMMYFUNCTION("iferror(PERCENTRANK.INC(FILTER($X$2:$X$421, $U$2:$U$421&lt;3.75), $X33), 1)"),0.883)</f>
        <v>0.883</v>
      </c>
      <c r="AC33" s="20">
        <f>IFERROR(__xludf.DUMMYFUNCTION("iferror(PERCENTRANK.INC(FILTER($X$2:$X$421, $U$2:$U$421&lt;4.25), $X33), 1)"),0.865)</f>
        <v>0.865</v>
      </c>
      <c r="AD33" s="20">
        <f>IFERROR(__xludf.DUMMYFUNCTION("iferror(PERCENTRANK.INC(FILTER($X$2:$X$421, $U$2:$U$421&gt;=4.1), $X33), 0.01)"),0.01)</f>
        <v>0.01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2">
        <v>1.01</v>
      </c>
      <c r="U34" s="30"/>
      <c r="V34" s="30"/>
      <c r="W34" s="18">
        <v>1.0</v>
      </c>
      <c r="X34" s="22">
        <f t="shared" si="3"/>
        <v>0.9839689088</v>
      </c>
      <c r="Y34" s="20">
        <f t="shared" si="4"/>
        <v>27.97962786</v>
      </c>
      <c r="Z34" s="20">
        <f t="shared" si="5"/>
        <v>-45.26106762</v>
      </c>
      <c r="AA34" s="20"/>
      <c r="AB34" s="20">
        <f>IFERROR(__xludf.DUMMYFUNCTION("iferror(PERCENTRANK.INC(FILTER($X$2:$X$421, $U$2:$U$421&lt;3.75), $X34), 1)"),0.933)</f>
        <v>0.933</v>
      </c>
      <c r="AC34" s="20">
        <f>IFERROR(__xludf.DUMMYFUNCTION("iferror(PERCENTRANK.INC(FILTER($X$2:$X$421, $U$2:$U$421&lt;4.25), $X34), 1)"),0.914)</f>
        <v>0.914</v>
      </c>
      <c r="AD34" s="20">
        <f>IFERROR(__xludf.DUMMYFUNCTION("iferror(PERCENTRANK.INC(FILTER($X$2:$X$421, $U$2:$U$421&gt;=4.1), $X34), 0.01)"),0.01)</f>
        <v>0.01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2">
        <v>1.0</v>
      </c>
      <c r="U35" s="30"/>
      <c r="V35" s="30"/>
      <c r="W35" s="18">
        <v>0.95</v>
      </c>
      <c r="X35" s="22">
        <f t="shared" si="3"/>
        <v>0.8599311825</v>
      </c>
      <c r="Y35" s="20">
        <f t="shared" si="4"/>
        <v>27.83687139</v>
      </c>
      <c r="Z35" s="20">
        <f t="shared" si="5"/>
        <v>-42.06862967</v>
      </c>
      <c r="AA35" s="20"/>
      <c r="AB35" s="20">
        <f>IFERROR(__xludf.DUMMYFUNCTION("iferror(PERCENTRANK.INC(FILTER($X$2:$X$421, $U$2:$U$421&lt;3.75), $X35), 1)"),0.86)</f>
        <v>0.86</v>
      </c>
      <c r="AC35" s="20">
        <f>IFERROR(__xludf.DUMMYFUNCTION("iferror(PERCENTRANK.INC(FILTER($X$2:$X$421, $U$2:$U$421&lt;4.25), $X35), 1)"),0.843)</f>
        <v>0.843</v>
      </c>
      <c r="AD35" s="20">
        <f>IFERROR(__xludf.DUMMYFUNCTION("iferror(PERCENTRANK.INC(FILTER($X$2:$X$421, $U$2:$U$421&gt;=4.1), $X35), 0.01)"),0.01)</f>
        <v>0.01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2">
        <v>1.39</v>
      </c>
      <c r="U36" s="30"/>
      <c r="V36" s="30"/>
      <c r="W36" s="18">
        <v>1.0</v>
      </c>
      <c r="X36" s="22">
        <f t="shared" si="3"/>
        <v>0.9090030991</v>
      </c>
      <c r="Y36" s="20">
        <f t="shared" si="4"/>
        <v>27.89334883</v>
      </c>
      <c r="Z36" s="20">
        <f t="shared" si="5"/>
        <v>-41.21185133</v>
      </c>
      <c r="AA36" s="20"/>
      <c r="AB36" s="20">
        <f>IFERROR(__xludf.DUMMYFUNCTION("iferror(PERCENTRANK.INC(FILTER($X$2:$X$421, $U$2:$U$421&lt;3.75), $X36), 1)"),0.898)</f>
        <v>0.898</v>
      </c>
      <c r="AC36" s="20">
        <f>IFERROR(__xludf.DUMMYFUNCTION("iferror(PERCENTRANK.INC(FILTER($X$2:$X$421, $U$2:$U$421&lt;4.25), $X36), 1)"),0.88)</f>
        <v>0.88</v>
      </c>
      <c r="AD36" s="20">
        <f>IFERROR(__xludf.DUMMYFUNCTION("iferror(PERCENTRANK.INC(FILTER($X$2:$X$421, $U$2:$U$421&gt;=4.1), $X36), 0.01)"),0.01)</f>
        <v>0.01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2">
        <v>3.1</v>
      </c>
      <c r="W37" s="26">
        <v>0.9</v>
      </c>
      <c r="X37" s="22">
        <f t="shared" si="3"/>
        <v>1.161515392</v>
      </c>
      <c r="Y37" s="20">
        <f t="shared" si="4"/>
        <v>28.18396818</v>
      </c>
      <c r="Z37" s="20">
        <f t="shared" si="5"/>
        <v>-40.58273629</v>
      </c>
      <c r="AA37" s="20"/>
      <c r="AB37" s="20">
        <f>IFERROR(__xludf.DUMMYFUNCTION("iferror(PERCENTRANK.INC(FILTER($X$2:$X$421, $U$2:$U$421&lt;3.75), $X37), 1)"),0.95)</f>
        <v>0.95</v>
      </c>
      <c r="AC37" s="20">
        <f>IFERROR(__xludf.DUMMYFUNCTION("iferror(PERCENTRANK.INC(FILTER($X$2:$X$421, $U$2:$U$421&lt;4.25), $X37), 1)"),0.931)</f>
        <v>0.931</v>
      </c>
      <c r="AD37" s="20">
        <f>IFERROR(__xludf.DUMMYFUNCTION("iferror(PERCENTRANK.INC(FILTER($X$2:$X$421, $U$2:$U$421&gt;=4.1), $X37), 0.01)"),0.01)</f>
        <v>0.01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2">
        <v>0.68</v>
      </c>
      <c r="U38" s="31"/>
      <c r="V38" s="30"/>
      <c r="W38" s="18">
        <v>0.9</v>
      </c>
      <c r="X38" s="22">
        <f t="shared" si="3"/>
        <v>0.8142860245</v>
      </c>
      <c r="Y38" s="20">
        <f t="shared" si="4"/>
        <v>27.78433784</v>
      </c>
      <c r="Z38" s="20">
        <f t="shared" si="5"/>
        <v>-42.32105349</v>
      </c>
      <c r="AA38" s="20"/>
      <c r="AB38" s="20">
        <f>IFERROR(__xludf.DUMMYFUNCTION("iferror(PERCENTRANK.INC(FILTER($X$2:$X$421, $U$2:$U$421&lt;3.75), $X38), 1)"),0.825)</f>
        <v>0.825</v>
      </c>
      <c r="AC38" s="20">
        <f>IFERROR(__xludf.DUMMYFUNCTION("iferror(PERCENTRANK.INC(FILTER($X$2:$X$421, $U$2:$U$421&lt;4.25), $X38), 1)"),0.809)</f>
        <v>0.809</v>
      </c>
      <c r="AD38" s="20">
        <f>IFERROR(__xludf.DUMMYFUNCTION("iferror(PERCENTRANK.INC(FILTER($X$2:$X$421, $U$2:$U$421&gt;=4.1), $X38), 0.01)"),0.01)</f>
        <v>0.01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2">
        <v>1.06</v>
      </c>
      <c r="U39" s="30"/>
      <c r="V39" s="30"/>
      <c r="W39" s="18">
        <v>1.0</v>
      </c>
      <c r="X39" s="22">
        <f t="shared" si="3"/>
        <v>0.8309727567</v>
      </c>
      <c r="Y39" s="20">
        <f t="shared" si="4"/>
        <v>27.80354279</v>
      </c>
      <c r="Z39" s="20">
        <f t="shared" si="5"/>
        <v>-38.87986515</v>
      </c>
      <c r="AA39" s="20"/>
      <c r="AB39" s="20">
        <f>IFERROR(__xludf.DUMMYFUNCTION("iferror(PERCENTRANK.INC(FILTER($X$2:$X$421, $U$2:$U$421&lt;3.75), $X39), 1)"),0.84)</f>
        <v>0.84</v>
      </c>
      <c r="AC39" s="20">
        <f>IFERROR(__xludf.DUMMYFUNCTION("iferror(PERCENTRANK.INC(FILTER($X$2:$X$421, $U$2:$U$421&lt;4.25), $X39), 1)"),0.824)</f>
        <v>0.824</v>
      </c>
      <c r="AD39" s="20">
        <f>IFERROR(__xludf.DUMMYFUNCTION("iferror(PERCENTRANK.INC(FILTER($X$2:$X$421, $U$2:$U$421&gt;=4.1), $X39), 0.01)"),0.01)</f>
        <v>0.01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2">
        <v>1.34</v>
      </c>
      <c r="U40" s="30"/>
      <c r="V40" s="30"/>
      <c r="W40" s="18">
        <v>0.9</v>
      </c>
      <c r="X40" s="22">
        <f t="shared" si="3"/>
        <v>0.9614828434</v>
      </c>
      <c r="Y40" s="20">
        <f t="shared" si="4"/>
        <v>27.95374838</v>
      </c>
      <c r="Z40" s="20">
        <f t="shared" si="5"/>
        <v>-39.78747708</v>
      </c>
      <c r="AA40" s="20"/>
      <c r="AB40" s="20">
        <f>IFERROR(__xludf.DUMMYFUNCTION("iferror(PERCENTRANK.INC(FILTER($X$2:$X$421, $U$2:$U$421&lt;3.75), $X40), 1)"),0.92)</f>
        <v>0.92</v>
      </c>
      <c r="AC40" s="20">
        <f>IFERROR(__xludf.DUMMYFUNCTION("iferror(PERCENTRANK.INC(FILTER($X$2:$X$421, $U$2:$U$421&lt;4.25), $X40), 1)"),0.902)</f>
        <v>0.902</v>
      </c>
      <c r="AD40" s="20">
        <f>IFERROR(__xludf.DUMMYFUNCTION("iferror(PERCENTRANK.INC(FILTER($X$2:$X$421, $U$2:$U$421&gt;=4.1), $X40), 0.01)"),0.01)</f>
        <v>0.01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2">
        <v>1.38</v>
      </c>
      <c r="U41" s="30"/>
      <c r="V41" s="30"/>
      <c r="W41" s="18">
        <v>0.9</v>
      </c>
      <c r="X41" s="22">
        <f t="shared" si="3"/>
        <v>0.8727302098</v>
      </c>
      <c r="Y41" s="20">
        <f t="shared" si="4"/>
        <v>27.85160194</v>
      </c>
      <c r="Z41" s="20">
        <f t="shared" si="5"/>
        <v>-38.30190871</v>
      </c>
      <c r="AA41" s="20"/>
      <c r="AB41" s="20">
        <f>IFERROR(__xludf.DUMMYFUNCTION("iferror(PERCENTRANK.INC(FILTER($X$2:$X$421, $U$2:$U$421&lt;3.75), $X41), 1)"),0.87)</f>
        <v>0.87</v>
      </c>
      <c r="AC41" s="20">
        <f>IFERROR(__xludf.DUMMYFUNCTION("iferror(PERCENTRANK.INC(FILTER($X$2:$X$421, $U$2:$U$421&lt;4.25), $X41), 1)"),0.853)</f>
        <v>0.853</v>
      </c>
      <c r="AD41" s="20">
        <f>IFERROR(__xludf.DUMMYFUNCTION("iferror(PERCENTRANK.INC(FILTER($X$2:$X$421, $U$2:$U$421&gt;=4.1), $X41), 0.01)"),0.01)</f>
        <v>0.01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2">
        <v>1.08</v>
      </c>
      <c r="U42" s="30"/>
      <c r="V42" s="30"/>
      <c r="W42" s="18">
        <v>0.9</v>
      </c>
      <c r="X42" s="22">
        <f t="shared" si="3"/>
        <v>0.8610703797</v>
      </c>
      <c r="Y42" s="20">
        <f t="shared" si="4"/>
        <v>27.8381825</v>
      </c>
      <c r="Z42" s="20">
        <f t="shared" si="5"/>
        <v>-41.14540157</v>
      </c>
      <c r="AA42" s="20"/>
      <c r="AB42" s="20">
        <f>IFERROR(__xludf.DUMMYFUNCTION("iferror(PERCENTRANK.INC(FILTER($X$2:$X$421, $U$2:$U$421&lt;3.75), $X42), 1)"),0.863)</f>
        <v>0.863</v>
      </c>
      <c r="AC42" s="20">
        <f>IFERROR(__xludf.DUMMYFUNCTION("iferror(PERCENTRANK.INC(FILTER($X$2:$X$421, $U$2:$U$421&lt;4.25), $X42), 1)"),0.846)</f>
        <v>0.846</v>
      </c>
      <c r="AD42" s="20">
        <f>IFERROR(__xludf.DUMMYFUNCTION("iferror(PERCENTRANK.INC(FILTER($X$2:$X$421, $U$2:$U$421&gt;=4.1), $X42), 0.01)"),0.01)</f>
        <v>0.01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2">
        <v>0.89</v>
      </c>
      <c r="U43" s="30"/>
      <c r="V43" s="30"/>
      <c r="W43" s="18">
        <v>0.9</v>
      </c>
      <c r="X43" s="22">
        <f t="shared" si="3"/>
        <v>0.8702878752</v>
      </c>
      <c r="Y43" s="20">
        <f t="shared" si="4"/>
        <v>27.84879103</v>
      </c>
      <c r="Z43" s="20">
        <f t="shared" si="5"/>
        <v>-38.08222622</v>
      </c>
      <c r="AA43" s="20"/>
      <c r="AB43" s="20">
        <f>IFERROR(__xludf.DUMMYFUNCTION("iferror(PERCENTRANK.INC(FILTER($X$2:$X$421, $U$2:$U$421&lt;3.75), $X43), 1)"),0.868)</f>
        <v>0.868</v>
      </c>
      <c r="AC43" s="20">
        <f>IFERROR(__xludf.DUMMYFUNCTION("iferror(PERCENTRANK.INC(FILTER($X$2:$X$421, $U$2:$U$421&lt;4.25), $X43), 1)"),0.85)</f>
        <v>0.85</v>
      </c>
      <c r="AD43" s="20">
        <f>IFERROR(__xludf.DUMMYFUNCTION("iferror(PERCENTRANK.INC(FILTER($X$2:$X$421, $U$2:$U$421&gt;=4.1), $X43), 0.01)"),0.01)</f>
        <v>0.01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2">
        <v>1.05</v>
      </c>
      <c r="U44" s="30"/>
      <c r="V44" s="30"/>
      <c r="W44" s="18">
        <v>0.9</v>
      </c>
      <c r="X44" s="22">
        <f t="shared" si="3"/>
        <v>0.9105753475</v>
      </c>
      <c r="Y44" s="20">
        <f t="shared" si="4"/>
        <v>27.89515835</v>
      </c>
      <c r="Z44" s="20">
        <f t="shared" si="5"/>
        <v>-39.28016174</v>
      </c>
      <c r="AA44" s="20"/>
      <c r="AB44" s="20">
        <f>IFERROR(__xludf.DUMMYFUNCTION("iferror(PERCENTRANK.INC(FILTER($X$2:$X$421, $U$2:$U$421&lt;3.75), $X44), 1)"),0.903)</f>
        <v>0.903</v>
      </c>
      <c r="AC44" s="20">
        <f>IFERROR(__xludf.DUMMYFUNCTION("iferror(PERCENTRANK.INC(FILTER($X$2:$X$421, $U$2:$U$421&lt;4.25), $X44), 1)"),0.885)</f>
        <v>0.885</v>
      </c>
      <c r="AD44" s="20">
        <f>IFERROR(__xludf.DUMMYFUNCTION("iferror(PERCENTRANK.INC(FILTER($X$2:$X$421, $U$2:$U$421&gt;=4.1), $X44), 0.01)"),0.01)</f>
        <v>0.01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2">
        <v>6.77</v>
      </c>
      <c r="U45" s="30"/>
      <c r="V45" s="30"/>
      <c r="W45" s="18">
        <v>1.0</v>
      </c>
      <c r="X45" s="22">
        <f t="shared" si="3"/>
        <v>1.669305691</v>
      </c>
      <c r="Y45" s="20">
        <f t="shared" si="4"/>
        <v>28.76838999</v>
      </c>
      <c r="Z45" s="20">
        <f t="shared" si="5"/>
        <v>-36.37291034</v>
      </c>
      <c r="AA45" s="20"/>
      <c r="AB45" s="20">
        <f>IFERROR(__xludf.DUMMYFUNCTION("iferror(PERCENTRANK.INC(FILTER($X$2:$X$421, $U$2:$U$421&lt;3.75), $X45), 1)"),0.975)</f>
        <v>0.975</v>
      </c>
      <c r="AC45" s="20">
        <f>IFERROR(__xludf.DUMMYFUNCTION("iferror(PERCENTRANK.INC(FILTER($X$2:$X$421, $U$2:$U$421&lt;4.25), $X45), 1)"),0.956)</f>
        <v>0.956</v>
      </c>
      <c r="AD45" s="20">
        <f>IFERROR(__xludf.DUMMYFUNCTION("iferror(PERCENTRANK.INC(FILTER($X$2:$X$421, $U$2:$U$421&gt;=4.1), $X45), 0.01)"),0.01)</f>
        <v>0.01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2">
        <v>0.91</v>
      </c>
      <c r="W46" s="26">
        <v>0.9</v>
      </c>
      <c r="X46" s="22">
        <f t="shared" si="3"/>
        <v>0.8596164933</v>
      </c>
      <c r="Y46" s="20">
        <f t="shared" si="4"/>
        <v>27.83650921</v>
      </c>
      <c r="Z46" s="20">
        <f t="shared" si="5"/>
        <v>-39.95761403</v>
      </c>
      <c r="AA46" s="20"/>
      <c r="AB46" s="20">
        <f>IFERROR(__xludf.DUMMYFUNCTION("iferror(PERCENTRANK.INC(FILTER($X$2:$X$421, $U$2:$U$421&lt;3.75), $X46), 1)"),0.855)</f>
        <v>0.855</v>
      </c>
      <c r="AC46" s="20">
        <f>IFERROR(__xludf.DUMMYFUNCTION("iferror(PERCENTRANK.INC(FILTER($X$2:$X$421, $U$2:$U$421&lt;4.25), $X46), 1)"),0.838)</f>
        <v>0.838</v>
      </c>
      <c r="AD46" s="20">
        <f>IFERROR(__xludf.DUMMYFUNCTION("iferror(PERCENTRANK.INC(FILTER($X$2:$X$421, $U$2:$U$421&gt;=4.1), $X46), 0.01)"),0.01)</f>
        <v>0.01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2">
        <v>1.37</v>
      </c>
      <c r="U47" s="30"/>
      <c r="V47" s="30"/>
      <c r="W47" s="18">
        <v>0.9</v>
      </c>
      <c r="X47" s="22">
        <f t="shared" si="3"/>
        <v>0.9245596906</v>
      </c>
      <c r="Y47" s="20">
        <f t="shared" si="4"/>
        <v>27.91125309</v>
      </c>
      <c r="Z47" s="20">
        <f t="shared" si="5"/>
        <v>-36.6653962</v>
      </c>
      <c r="AA47" s="20"/>
      <c r="AB47" s="20">
        <f>IFERROR(__xludf.DUMMYFUNCTION("iferror(PERCENTRANK.INC(FILTER($X$2:$X$421, $U$2:$U$421&lt;3.75), $X47), 1)"),0.913)</f>
        <v>0.913</v>
      </c>
      <c r="AC47" s="20">
        <f>IFERROR(__xludf.DUMMYFUNCTION("iferror(PERCENTRANK.INC(FILTER($X$2:$X$421, $U$2:$U$421&lt;4.25), $X47), 1)"),0.895)</f>
        <v>0.895</v>
      </c>
      <c r="AD47" s="20">
        <f>IFERROR(__xludf.DUMMYFUNCTION("iferror(PERCENTRANK.INC(FILTER($X$2:$X$421, $U$2:$U$421&gt;=4.1), $X47), 0.01)"),0.01)</f>
        <v>0.01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2">
        <v>-1.47</v>
      </c>
      <c r="U48" s="30"/>
      <c r="V48" s="30"/>
      <c r="W48" s="18">
        <v>1.0</v>
      </c>
      <c r="X48" s="22">
        <f t="shared" si="3"/>
        <v>0.5141652805</v>
      </c>
      <c r="Y48" s="20">
        <f t="shared" si="4"/>
        <v>27.43892536</v>
      </c>
      <c r="Z48" s="20">
        <f t="shared" si="5"/>
        <v>-38.32993347</v>
      </c>
      <c r="AA48" s="20"/>
      <c r="AB48" s="20">
        <f>IFERROR(__xludf.DUMMYFUNCTION("iferror(PERCENTRANK.INC(FILTER($X$2:$X$421, $U$2:$U$421&lt;3.75), $X48), 1)"),0.658)</f>
        <v>0.658</v>
      </c>
      <c r="AC48" s="20">
        <f>IFERROR(__xludf.DUMMYFUNCTION("iferror(PERCENTRANK.INC(FILTER($X$2:$X$421, $U$2:$U$421&lt;4.25), $X48), 1)"),0.645)</f>
        <v>0.645</v>
      </c>
      <c r="AD48" s="20">
        <f>IFERROR(__xludf.DUMMYFUNCTION("iferror(PERCENTRANK.INC(FILTER($X$2:$X$421, $U$2:$U$421&gt;=4.1), $X48), 0.01)"),0.01)</f>
        <v>0.01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2">
        <v>1.78</v>
      </c>
      <c r="U49" s="30"/>
      <c r="V49" s="30"/>
      <c r="W49" s="18">
        <v>1.0</v>
      </c>
      <c r="X49" s="22">
        <f t="shared" si="3"/>
        <v>0.9093863699</v>
      </c>
      <c r="Y49" s="20">
        <f t="shared" si="4"/>
        <v>27.89378994</v>
      </c>
      <c r="Z49" s="20">
        <f t="shared" si="5"/>
        <v>-36.2781837</v>
      </c>
      <c r="AA49" s="20"/>
      <c r="AB49" s="20">
        <f>IFERROR(__xludf.DUMMYFUNCTION("iferror(PERCENTRANK.INC(FILTER($X$2:$X$421, $U$2:$U$421&lt;3.75), $X49), 1)"),0.9)</f>
        <v>0.9</v>
      </c>
      <c r="AC49" s="20">
        <f>IFERROR(__xludf.DUMMYFUNCTION("iferror(PERCENTRANK.INC(FILTER($X$2:$X$421, $U$2:$U$421&lt;4.25), $X49), 1)"),0.882)</f>
        <v>0.882</v>
      </c>
      <c r="AD49" s="20">
        <f>IFERROR(__xludf.DUMMYFUNCTION("iferror(PERCENTRANK.INC(FILTER($X$2:$X$421, $U$2:$U$421&gt;=4.1), $X49), 0.01)"),0.01)</f>
        <v>0.01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2">
        <v>1.14</v>
      </c>
      <c r="U50" s="30"/>
      <c r="V50" s="30"/>
      <c r="W50" s="18">
        <v>0.9</v>
      </c>
      <c r="X50" s="22">
        <f t="shared" si="3"/>
        <v>0.8820460209</v>
      </c>
      <c r="Y50" s="20">
        <f t="shared" si="4"/>
        <v>27.86232361</v>
      </c>
      <c r="Z50" s="20">
        <f t="shared" si="5"/>
        <v>-36.10211086</v>
      </c>
      <c r="AA50" s="20"/>
      <c r="AB50" s="20">
        <f>IFERROR(__xludf.DUMMYFUNCTION("iferror(PERCENTRANK.INC(FILTER($X$2:$X$421, $U$2:$U$421&lt;3.75), $X50), 1)"),0.88)</f>
        <v>0.88</v>
      </c>
      <c r="AC50" s="20">
        <f>IFERROR(__xludf.DUMMYFUNCTION("iferror(PERCENTRANK.INC(FILTER($X$2:$X$421, $U$2:$U$421&lt;4.25), $X50), 1)"),0.863)</f>
        <v>0.863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2">
        <v>-7.25</v>
      </c>
      <c r="U51" s="30"/>
      <c r="V51" s="30"/>
      <c r="W51" s="18">
        <v>0.95</v>
      </c>
      <c r="X51" s="22">
        <f t="shared" si="3"/>
        <v>-0.4168620837</v>
      </c>
      <c r="Y51" s="20">
        <f t="shared" si="4"/>
        <v>26.36739506</v>
      </c>
      <c r="Z51" s="20">
        <f t="shared" si="5"/>
        <v>-40.20270524</v>
      </c>
      <c r="AA51" s="20"/>
      <c r="AB51" s="20">
        <f>IFERROR(__xludf.DUMMYFUNCTION("iferror(PERCENTRANK.INC(FILTER($X$2:$X$421, $U$2:$U$421&lt;3.75), $X51), 1)"),0.063)</f>
        <v>0.063</v>
      </c>
      <c r="AC51" s="20">
        <f>IFERROR(__xludf.DUMMYFUNCTION("iferror(PERCENTRANK.INC(FILTER($X$2:$X$421, $U$2:$U$421&lt;4.25), $X51), 1)"),0.061)</f>
        <v>0.061</v>
      </c>
      <c r="AD51" s="20">
        <f>IFERROR(__xludf.DUMMYFUNCTION("iferror(PERCENTRANK.INC(FILTER($X$2:$X$421, $U$2:$U$421&gt;=4.1), $X51), 0.01)"),0.01)</f>
        <v>0.01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2">
        <v>293.0</v>
      </c>
      <c r="H52" s="32">
        <v>195.0</v>
      </c>
      <c r="I52" s="33">
        <v>0.666</v>
      </c>
      <c r="J52" s="32">
        <v>2741.0</v>
      </c>
      <c r="K52" s="32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2">
        <v>0.87</v>
      </c>
      <c r="W52" s="26">
        <v>1.0</v>
      </c>
      <c r="X52" s="22">
        <f t="shared" si="3"/>
        <v>0.7973862919</v>
      </c>
      <c r="Y52" s="20">
        <f t="shared" si="4"/>
        <v>27.76488774</v>
      </c>
      <c r="Z52" s="20">
        <f>Y52-P52</f>
        <v>22.82498928</v>
      </c>
      <c r="AA52" s="20"/>
      <c r="AB52" s="20">
        <f>IFERROR(__xludf.DUMMYFUNCTION("iferror(PERCENTRANK.INC(FILTER($X$2:$X$421, $U$2:$U$421&lt;3.75), $X52), 1)"),0.818)</f>
        <v>0.818</v>
      </c>
      <c r="AC52" s="20">
        <f>IFERROR(__xludf.DUMMYFUNCTION("iferror(PERCENTRANK.INC(FILTER($X$2:$X$421, $U$2:$U$421&lt;4.25), $X52), 1)"),0.801)</f>
        <v>0.801</v>
      </c>
      <c r="AD52" s="20">
        <f>IFERROR(__xludf.DUMMYFUNCTION("iferror(PERCENTRANK.INC(FILTER($X$2:$X$421, $U$2:$U$421&gt;=4.1), $X52), 0.01)"),0.01)</f>
        <v>0.01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2">
        <v>1.41</v>
      </c>
      <c r="U53" s="31"/>
      <c r="V53" s="30"/>
      <c r="W53" s="18">
        <v>1.0</v>
      </c>
      <c r="X53" s="22">
        <f t="shared" si="3"/>
        <v>0.8752244864</v>
      </c>
      <c r="Y53" s="20">
        <f t="shared" si="4"/>
        <v>27.85447263</v>
      </c>
      <c r="Z53" s="20">
        <f t="shared" ref="Z53:Z421" si="6">Y53-Q53</f>
        <v>-35.16351338</v>
      </c>
      <c r="AA53" s="20"/>
      <c r="AB53" s="20">
        <f>IFERROR(__xludf.DUMMYFUNCTION("iferror(PERCENTRANK.INC(FILTER($X$2:$X$421, $U$2:$U$421&lt;3.75), $X53), 1)"),0.873)</f>
        <v>0.873</v>
      </c>
      <c r="AC53" s="20">
        <f>IFERROR(__xludf.DUMMYFUNCTION("iferror(PERCENTRANK.INC(FILTER($X$2:$X$421, $U$2:$U$421&lt;4.25), $X53), 1)"),0.855)</f>
        <v>0.855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2">
        <v>1.21</v>
      </c>
      <c r="U54" s="30"/>
      <c r="V54" s="30"/>
      <c r="W54" s="18">
        <v>0.9</v>
      </c>
      <c r="X54" s="22">
        <f t="shared" si="3"/>
        <v>0.9135481714</v>
      </c>
      <c r="Y54" s="20">
        <f t="shared" si="4"/>
        <v>27.89857981</v>
      </c>
      <c r="Z54" s="20">
        <f t="shared" si="6"/>
        <v>-37.67034154</v>
      </c>
      <c r="AA54" s="20"/>
      <c r="AB54" s="20">
        <f>IFERROR(__xludf.DUMMYFUNCTION("iferror(PERCENTRANK.INC(FILTER($X$2:$X$421, $U$2:$U$421&lt;3.75), $X54), 1)"),0.908)</f>
        <v>0.908</v>
      </c>
      <c r="AC54" s="20">
        <f>IFERROR(__xludf.DUMMYFUNCTION("iferror(PERCENTRANK.INC(FILTER($X$2:$X$421, $U$2:$U$421&lt;4.25), $X54), 1)"),0.89)</f>
        <v>0.89</v>
      </c>
      <c r="AD54" s="20">
        <f>IFERROR(__xludf.DUMMYFUNCTION("iferror(PERCENTRANK.INC(FILTER($X$2:$X$421, $U$2:$U$421&gt;=4.1), $X54), 0.01)"),0.01)</f>
        <v>0.01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2">
        <v>1.25</v>
      </c>
      <c r="U55" s="30"/>
      <c r="V55" s="30"/>
      <c r="W55" s="18">
        <v>1.0</v>
      </c>
      <c r="X55" s="22">
        <f t="shared" si="3"/>
        <v>0.8757197827</v>
      </c>
      <c r="Y55" s="20">
        <f t="shared" si="4"/>
        <v>27.85504267</v>
      </c>
      <c r="Z55" s="20">
        <f t="shared" si="6"/>
        <v>-37.13278579</v>
      </c>
      <c r="AA55" s="20"/>
      <c r="AB55" s="20">
        <f>IFERROR(__xludf.DUMMYFUNCTION("iferror(PERCENTRANK.INC(FILTER($X$2:$X$421, $U$2:$U$421&lt;3.75), $X55), 1)"),0.875)</f>
        <v>0.875</v>
      </c>
      <c r="AC55" s="20">
        <f>IFERROR(__xludf.DUMMYFUNCTION("iferror(PERCENTRANK.INC(FILTER($X$2:$X$421, $U$2:$U$421&lt;4.25), $X55), 1)"),0.858)</f>
        <v>0.858</v>
      </c>
      <c r="AD55" s="20">
        <f>IFERROR(__xludf.DUMMYFUNCTION("iferror(PERCENTRANK.INC(FILTER($X$2:$X$421, $U$2:$U$421&gt;=4.1), $X55), 0.01)"),0.01)</f>
        <v>0.01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2">
        <v>1.33</v>
      </c>
      <c r="U56" s="30"/>
      <c r="V56" s="30"/>
      <c r="W56" s="18">
        <v>0.9</v>
      </c>
      <c r="X56" s="22">
        <f t="shared" si="3"/>
        <v>0.8844774556</v>
      </c>
      <c r="Y56" s="20">
        <f t="shared" si="4"/>
        <v>27.86512198</v>
      </c>
      <c r="Z56" s="20">
        <f t="shared" si="6"/>
        <v>-36.86196771</v>
      </c>
      <c r="AA56" s="20"/>
      <c r="AB56" s="20">
        <f>IFERROR(__xludf.DUMMYFUNCTION("iferror(PERCENTRANK.INC(FILTER($X$2:$X$421, $U$2:$U$421&lt;3.75), $X56), 1)"),0.885)</f>
        <v>0.885</v>
      </c>
      <c r="AC56" s="20">
        <f>IFERROR(__xludf.DUMMYFUNCTION("iferror(PERCENTRANK.INC(FILTER($X$2:$X$421, $U$2:$U$421&lt;4.25), $X56), 1)"),0.868)</f>
        <v>0.868</v>
      </c>
      <c r="AD56" s="20">
        <f>IFERROR(__xludf.DUMMYFUNCTION("iferror(PERCENTRANK.INC(FILTER($X$2:$X$421, $U$2:$U$421&gt;=4.1), $X56), 0.01)"),0.01)</f>
        <v>0.01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2">
        <v>1.11</v>
      </c>
      <c r="U57" s="31"/>
      <c r="V57" s="30"/>
      <c r="W57" s="18">
        <v>0.9</v>
      </c>
      <c r="X57" s="22">
        <f t="shared" si="3"/>
        <v>0.8805619777</v>
      </c>
      <c r="Y57" s="20">
        <f t="shared" si="4"/>
        <v>27.86061561</v>
      </c>
      <c r="Z57" s="20">
        <f t="shared" si="6"/>
        <v>-36.33422685</v>
      </c>
      <c r="AA57" s="20"/>
      <c r="AB57" s="20">
        <f>IFERROR(__xludf.DUMMYFUNCTION("iferror(PERCENTRANK.INC(FILTER($X$2:$X$421, $U$2:$U$421&lt;3.75), $X57), 1)"),0.878)</f>
        <v>0.878</v>
      </c>
      <c r="AC57" s="20">
        <f>IFERROR(__xludf.DUMMYFUNCTION("iferror(PERCENTRANK.INC(FILTER($X$2:$X$421, $U$2:$U$421&lt;4.25), $X57), 1)"),0.86)</f>
        <v>0.86</v>
      </c>
      <c r="AD57" s="20">
        <f>IFERROR(__xludf.DUMMYFUNCTION("iferror(PERCENTRANK.INC(FILTER($X$2:$X$421, $U$2:$U$421&gt;=4.1), $X57), 0.01)"),0.01)</f>
        <v>0.01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2">
        <v>1.26</v>
      </c>
      <c r="U58" s="30"/>
      <c r="V58" s="30"/>
      <c r="W58" s="18">
        <v>0.95</v>
      </c>
      <c r="X58" s="22">
        <f t="shared" si="3"/>
        <v>0.8247044237</v>
      </c>
      <c r="Y58" s="20">
        <f t="shared" si="4"/>
        <v>27.7963285</v>
      </c>
      <c r="Z58" s="20">
        <f t="shared" si="6"/>
        <v>-35.80844953</v>
      </c>
      <c r="AA58" s="20"/>
      <c r="AB58" s="20">
        <f>IFERROR(__xludf.DUMMYFUNCTION("iferror(PERCENTRANK.INC(FILTER($X$2:$X$421, $U$2:$U$421&lt;3.75), $X58), 1)"),0.833)</f>
        <v>0.833</v>
      </c>
      <c r="AC58" s="20">
        <f>IFERROR(__xludf.DUMMYFUNCTION("iferror(PERCENTRANK.INC(FILTER($X$2:$X$421, $U$2:$U$421&lt;4.25), $X58), 1)"),0.816)</f>
        <v>0.816</v>
      </c>
      <c r="AD58" s="20">
        <f>IFERROR(__xludf.DUMMYFUNCTION("iferror(PERCENTRANK.INC(FILTER($X$2:$X$421, $U$2:$U$421&gt;=4.1), $X58), 0.01)"),0.01)</f>
        <v>0.01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2">
        <v>1.08</v>
      </c>
      <c r="W59" s="26">
        <v>1.0</v>
      </c>
      <c r="X59" s="22">
        <f t="shared" si="3"/>
        <v>0.8323159262</v>
      </c>
      <c r="Y59" s="20">
        <f t="shared" si="4"/>
        <v>27.80508866</v>
      </c>
      <c r="Z59" s="20">
        <f t="shared" si="6"/>
        <v>-35.74296229</v>
      </c>
      <c r="AA59" s="20"/>
      <c r="AB59" s="20">
        <f>IFERROR(__xludf.DUMMYFUNCTION("iferror(PERCENTRANK.INC(FILTER($X$2:$X$421, $U$2:$U$421&lt;3.75), $X59), 1)"),0.843)</f>
        <v>0.843</v>
      </c>
      <c r="AC59" s="20">
        <f>IFERROR(__xludf.DUMMYFUNCTION("iferror(PERCENTRANK.INC(FILTER($X$2:$X$421, $U$2:$U$421&lt;4.25), $X59), 1)"),0.826)</f>
        <v>0.826</v>
      </c>
      <c r="AD59" s="20">
        <f>IFERROR(__xludf.DUMMYFUNCTION("iferror(PERCENTRANK.INC(FILTER($X$2:$X$421, $U$2:$U$421&gt;=4.1), $X59), 0.01)"),0.01)</f>
        <v>0.01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2">
        <v>0.91</v>
      </c>
      <c r="U60" s="30"/>
      <c r="V60" s="30"/>
      <c r="W60" s="18">
        <v>0.95</v>
      </c>
      <c r="X60" s="22">
        <f t="shared" si="3"/>
        <v>0.8358475208</v>
      </c>
      <c r="Y60" s="20">
        <f t="shared" si="4"/>
        <v>27.80915322</v>
      </c>
      <c r="Z60" s="20">
        <f t="shared" si="6"/>
        <v>-35.26155898</v>
      </c>
      <c r="AA60" s="20"/>
      <c r="AB60" s="20">
        <f>IFERROR(__xludf.DUMMYFUNCTION("iferror(PERCENTRANK.INC(FILTER($X$2:$X$421, $U$2:$U$421&lt;3.75), $X60), 1)"),0.845)</f>
        <v>0.845</v>
      </c>
      <c r="AC60" s="20">
        <f>IFERROR(__xludf.DUMMYFUNCTION("iferror(PERCENTRANK.INC(FILTER($X$2:$X$421, $U$2:$U$421&lt;4.25), $X60), 1)"),0.828)</f>
        <v>0.828</v>
      </c>
      <c r="AD60" s="20">
        <f>IFERROR(__xludf.DUMMYFUNCTION("iferror(PERCENTRANK.INC(FILTER($X$2:$X$421, $U$2:$U$421&gt;=4.1), $X60), 0.01)"),0.01)</f>
        <v>0.01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2">
        <v>1.82</v>
      </c>
      <c r="U61" s="30"/>
      <c r="V61" s="30"/>
      <c r="W61" s="18">
        <v>0.95</v>
      </c>
      <c r="X61" s="22">
        <f t="shared" si="3"/>
        <v>0.9024047271</v>
      </c>
      <c r="Y61" s="20">
        <f t="shared" si="4"/>
        <v>27.88575469</v>
      </c>
      <c r="Z61" s="20">
        <f t="shared" si="6"/>
        <v>-35.1842749</v>
      </c>
      <c r="AA61" s="20"/>
      <c r="AB61" s="20">
        <f>IFERROR(__xludf.DUMMYFUNCTION("iferror(PERCENTRANK.INC(FILTER($X$2:$X$421, $U$2:$U$421&lt;3.75), $X61), 1)"),0.893)</f>
        <v>0.893</v>
      </c>
      <c r="AC61" s="20">
        <f>IFERROR(__xludf.DUMMYFUNCTION("iferror(PERCENTRANK.INC(FILTER($X$2:$X$421, $U$2:$U$421&lt;4.25), $X61), 1)"),0.875)</f>
        <v>0.875</v>
      </c>
      <c r="AD61" s="20">
        <f>IFERROR(__xludf.DUMMYFUNCTION("iferror(PERCENTRANK.INC(FILTER($X$2:$X$421, $U$2:$U$421&gt;=4.1), $X61), 0.01)"),0.01)</f>
        <v>0.01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2">
        <v>0.96</v>
      </c>
      <c r="W62" s="26">
        <v>1.0</v>
      </c>
      <c r="X62" s="22">
        <f t="shared" si="3"/>
        <v>0.7945012087</v>
      </c>
      <c r="Y62" s="20">
        <f t="shared" si="4"/>
        <v>27.76156726</v>
      </c>
      <c r="Z62" s="20">
        <f t="shared" si="6"/>
        <v>-31.57746676</v>
      </c>
      <c r="AA62" s="20"/>
      <c r="AB62" s="20">
        <f>IFERROR(__xludf.DUMMYFUNCTION("iferror(PERCENTRANK.INC(FILTER($X$2:$X$421, $U$2:$U$421&lt;3.75), $X62), 1)"),0.813)</f>
        <v>0.813</v>
      </c>
      <c r="AC62" s="20">
        <f>IFERROR(__xludf.DUMMYFUNCTION("iferror(PERCENTRANK.INC(FILTER($X$2:$X$421, $U$2:$U$421&lt;4.25), $X62), 1)"),0.797)</f>
        <v>0.797</v>
      </c>
      <c r="AD62" s="20">
        <f>IFERROR(__xludf.DUMMYFUNCTION("iferror(PERCENTRANK.INC(FILTER($X$2:$X$421, $U$2:$U$421&gt;=4.1), $X62), 0.01)"),0.01)</f>
        <v>0.01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2">
        <v>1.2</v>
      </c>
      <c r="U63" s="30"/>
      <c r="V63" s="30"/>
      <c r="W63" s="18">
        <v>0.9</v>
      </c>
      <c r="X63" s="22">
        <f t="shared" si="3"/>
        <v>0.8613852835</v>
      </c>
      <c r="Y63" s="20">
        <f t="shared" si="4"/>
        <v>27.83854493</v>
      </c>
      <c r="Z63" s="20">
        <f t="shared" si="6"/>
        <v>-33.85991855</v>
      </c>
      <c r="AA63" s="20"/>
      <c r="AB63" s="20">
        <f>IFERROR(__xludf.DUMMYFUNCTION("iferror(PERCENTRANK.INC(FILTER($X$2:$X$421, $U$2:$U$421&lt;3.75), $X63), 1)"),0.865)</f>
        <v>0.865</v>
      </c>
      <c r="AC63" s="20">
        <f>IFERROR(__xludf.DUMMYFUNCTION("iferror(PERCENTRANK.INC(FILTER($X$2:$X$421, $U$2:$U$421&lt;4.25), $X63), 1)"),0.848)</f>
        <v>0.848</v>
      </c>
      <c r="AD63" s="20">
        <f>IFERROR(__xludf.DUMMYFUNCTION("iferror(PERCENTRANK.INC(FILTER($X$2:$X$421, $U$2:$U$421&gt;=4.1), $X63), 0.01)"),0.01)</f>
        <v>0.01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2">
        <v>0.92</v>
      </c>
      <c r="U64" s="30"/>
      <c r="V64" s="30"/>
      <c r="W64" s="18">
        <v>0.95</v>
      </c>
      <c r="X64" s="22">
        <f t="shared" si="3"/>
        <v>0.7285842699</v>
      </c>
      <c r="Y64" s="20">
        <f t="shared" si="4"/>
        <v>27.68570269</v>
      </c>
      <c r="Z64" s="20">
        <f t="shared" si="6"/>
        <v>-32.08906044</v>
      </c>
      <c r="AA64" s="20"/>
      <c r="AB64" s="20">
        <f>IFERROR(__xludf.DUMMYFUNCTION("iferror(PERCENTRANK.INC(FILTER($X$2:$X$421, $U$2:$U$421&lt;3.75), $X64), 1)"),0.788)</f>
        <v>0.788</v>
      </c>
      <c r="AC64" s="20">
        <f>IFERROR(__xludf.DUMMYFUNCTION("iferror(PERCENTRANK.INC(FILTER($X$2:$X$421, $U$2:$U$421&lt;4.25), $X64), 1)"),0.772)</f>
        <v>0.772</v>
      </c>
      <c r="AD64" s="20">
        <f>IFERROR(__xludf.DUMMYFUNCTION("iferror(PERCENTRANK.INC(FILTER($X$2:$X$421, $U$2:$U$421&gt;=4.1), $X64), 0.01)"),0.01)</f>
        <v>0.01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2">
        <v>1.1</v>
      </c>
      <c r="W65" s="26">
        <v>1.0</v>
      </c>
      <c r="X65" s="22">
        <f t="shared" si="3"/>
        <v>0.8369213684</v>
      </c>
      <c r="Y65" s="20">
        <f t="shared" si="4"/>
        <v>27.81038912</v>
      </c>
      <c r="Z65" s="20">
        <f t="shared" si="6"/>
        <v>-33.16506614</v>
      </c>
      <c r="AA65" s="20"/>
      <c r="AB65" s="20">
        <f>IFERROR(__xludf.DUMMYFUNCTION("iferror(PERCENTRANK.INC(FILTER($X$2:$X$421, $U$2:$U$421&lt;3.75), $X65), 1)"),0.848)</f>
        <v>0.848</v>
      </c>
      <c r="AC65" s="20">
        <f>IFERROR(__xludf.DUMMYFUNCTION("iferror(PERCENTRANK.INC(FILTER($X$2:$X$421, $U$2:$U$421&lt;4.25), $X65), 1)"),0.831)</f>
        <v>0.831</v>
      </c>
      <c r="AD65" s="20">
        <f>IFERROR(__xludf.DUMMYFUNCTION("iferror(PERCENTRANK.INC(FILTER($X$2:$X$421, $U$2:$U$421&gt;=4.1), $X65), 0.01)"),0.01)</f>
        <v>0.01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2">
        <v>1.86</v>
      </c>
      <c r="W66" s="26">
        <v>0.9</v>
      </c>
      <c r="X66" s="22">
        <f t="shared" si="3"/>
        <v>0.8597462037</v>
      </c>
      <c r="Y66" s="20">
        <f t="shared" si="4"/>
        <v>27.83665849</v>
      </c>
      <c r="Z66" s="20">
        <f t="shared" si="6"/>
        <v>-31.10300242</v>
      </c>
      <c r="AA66" s="20"/>
      <c r="AB66" s="20">
        <f>IFERROR(__xludf.DUMMYFUNCTION("iferror(PERCENTRANK.INC(FILTER($X$2:$X$421, $U$2:$U$421&lt;3.75), $X66), 1)"),0.858)</f>
        <v>0.858</v>
      </c>
      <c r="AC66" s="20">
        <f>IFERROR(__xludf.DUMMYFUNCTION("iferror(PERCENTRANK.INC(FILTER($X$2:$X$421, $U$2:$U$421&lt;4.25), $X66), 1)"),0.841)</f>
        <v>0.841</v>
      </c>
      <c r="AD66" s="20">
        <f>IFERROR(__xludf.DUMMYFUNCTION("iferror(PERCENTRANK.INC(FILTER($X$2:$X$421, $U$2:$U$421&gt;=4.1), $X66), 0.01)"),0.01)</f>
        <v>0.01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2">
        <v>1.96</v>
      </c>
      <c r="U67" s="31"/>
      <c r="V67" s="30"/>
      <c r="W67" s="18">
        <v>1.0</v>
      </c>
      <c r="X67" s="22">
        <f t="shared" si="3"/>
        <v>0.9059582297</v>
      </c>
      <c r="Y67" s="20">
        <f t="shared" si="4"/>
        <v>27.88984445</v>
      </c>
      <c r="Z67" s="20">
        <f t="shared" si="6"/>
        <v>-30.96524558</v>
      </c>
      <c r="AA67" s="20"/>
      <c r="AB67" s="20">
        <f>IFERROR(__xludf.DUMMYFUNCTION("iferror(PERCENTRANK.INC(FILTER($X$2:$X$421, $U$2:$U$421&lt;3.75), $X67), 1)"),0.895)</f>
        <v>0.895</v>
      </c>
      <c r="AC67" s="20">
        <f>IFERROR(__xludf.DUMMYFUNCTION("iferror(PERCENTRANK.INC(FILTER($X$2:$X$421, $U$2:$U$421&lt;4.25), $X67), 1)"),0.877)</f>
        <v>0.877</v>
      </c>
      <c r="AD67" s="20">
        <f>IFERROR(__xludf.DUMMYFUNCTION("iferror(PERCENTRANK.INC(FILTER($X$2:$X$421, $U$2:$U$421&gt;=4.1), $X67), 0.01)"),0.01)</f>
        <v>0.01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2">
        <v>1.28</v>
      </c>
      <c r="W68" s="26">
        <v>1.0</v>
      </c>
      <c r="X68" s="22">
        <f t="shared" si="3"/>
        <v>0.7684053306</v>
      </c>
      <c r="Y68" s="20">
        <f t="shared" si="4"/>
        <v>27.73153321</v>
      </c>
      <c r="Z68" s="20">
        <f t="shared" si="6"/>
        <v>-30.83965358</v>
      </c>
      <c r="AA68" s="20"/>
      <c r="AB68" s="20">
        <f>IFERROR(__xludf.DUMMYFUNCTION("iferror(PERCENTRANK.INC(FILTER($X$2:$X$421, $U$2:$U$421&lt;3.75), $X68), 1)"),0.8)</f>
        <v>0.8</v>
      </c>
      <c r="AC68" s="20">
        <f>IFERROR(__xludf.DUMMYFUNCTION("iferror(PERCENTRANK.INC(FILTER($X$2:$X$421, $U$2:$U$421&lt;4.25), $X68), 1)"),0.784)</f>
        <v>0.784</v>
      </c>
      <c r="AD68" s="20">
        <f>IFERROR(__xludf.DUMMYFUNCTION("iferror(PERCENTRANK.INC(FILTER($X$2:$X$421, $U$2:$U$421&gt;=4.1), $X68), 0.01)"),0.01)</f>
        <v>0.01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2">
        <v>1.05</v>
      </c>
      <c r="U69" s="30"/>
      <c r="V69" s="30"/>
      <c r="W69" s="18">
        <v>0.9</v>
      </c>
      <c r="X69" s="22">
        <f t="shared" si="3"/>
        <v>0.7268049728</v>
      </c>
      <c r="Y69" s="20">
        <f t="shared" si="4"/>
        <v>27.68365487</v>
      </c>
      <c r="Z69" s="20">
        <f t="shared" si="6"/>
        <v>-30.28481952</v>
      </c>
      <c r="AA69" s="20"/>
      <c r="AB69" s="20">
        <f>IFERROR(__xludf.DUMMYFUNCTION("iferror(PERCENTRANK.INC(FILTER($X$2:$X$421, $U$2:$U$421&lt;3.75), $X69), 1)"),0.783)</f>
        <v>0.783</v>
      </c>
      <c r="AC69" s="20">
        <f>IFERROR(__xludf.DUMMYFUNCTION("iferror(PERCENTRANK.INC(FILTER($X$2:$X$421, $U$2:$U$421&lt;4.25), $X69), 1)"),0.767)</f>
        <v>0.767</v>
      </c>
      <c r="AD69" s="20">
        <f>IFERROR(__xludf.DUMMYFUNCTION("iferror(PERCENTRANK.INC(FILTER($X$2:$X$421, $U$2:$U$421&gt;=4.1), $X69), 0.01)"),0.01)</f>
        <v>0.01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2">
        <v>1.09</v>
      </c>
      <c r="U70" s="30"/>
      <c r="V70" s="30"/>
      <c r="W70" s="18">
        <v>1.0</v>
      </c>
      <c r="X70" s="22">
        <f t="shared" si="3"/>
        <v>0.7640476081</v>
      </c>
      <c r="Y70" s="20">
        <f t="shared" si="4"/>
        <v>27.72651786</v>
      </c>
      <c r="Z70" s="20">
        <f t="shared" si="6"/>
        <v>-30.21096226</v>
      </c>
      <c r="AA70" s="20"/>
      <c r="AB70" s="20">
        <f>IFERROR(__xludf.DUMMYFUNCTION("iferror(PERCENTRANK.INC(FILTER($X$2:$X$421, $U$2:$U$421&lt;3.75), $X70), 1)"),0.798)</f>
        <v>0.798</v>
      </c>
      <c r="AC70" s="20">
        <f>IFERROR(__xludf.DUMMYFUNCTION("iferror(PERCENTRANK.INC(FILTER($X$2:$X$421, $U$2:$U$421&lt;4.25), $X70), 1)"),0.782)</f>
        <v>0.782</v>
      </c>
      <c r="AD70" s="20">
        <f>IFERROR(__xludf.DUMMYFUNCTION("iferror(PERCENTRANK.INC(FILTER($X$2:$X$421, $U$2:$U$421&gt;=4.1), $X70), 0.01)"),0.01)</f>
        <v>0.01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2">
        <v>-0.25</v>
      </c>
      <c r="U71" s="30"/>
      <c r="V71" s="30"/>
      <c r="W71" s="18">
        <v>0.9</v>
      </c>
      <c r="X71" s="22">
        <f t="shared" si="3"/>
        <v>0.6067055167</v>
      </c>
      <c r="Y71" s="20">
        <f t="shared" si="4"/>
        <v>27.545431</v>
      </c>
      <c r="Z71" s="20">
        <f t="shared" si="6"/>
        <v>-31.31263536</v>
      </c>
      <c r="AA71" s="20"/>
      <c r="AB71" s="20">
        <f>IFERROR(__xludf.DUMMYFUNCTION("iferror(PERCENTRANK.INC(FILTER($X$2:$X$421, $U$2:$U$421&lt;3.75), $X71), 1)"),0.723)</f>
        <v>0.723</v>
      </c>
      <c r="AC71" s="20">
        <f>IFERROR(__xludf.DUMMYFUNCTION("iferror(PERCENTRANK.INC(FILTER($X$2:$X$421, $U$2:$U$421&lt;4.25), $X71), 1)"),0.708)</f>
        <v>0.708</v>
      </c>
      <c r="AD71" s="20">
        <f>IFERROR(__xludf.DUMMYFUNCTION("iferror(PERCENTRANK.INC(FILTER($X$2:$X$421, $U$2:$U$421&gt;=4.1), $X71), 0.01)"),0.01)</f>
        <v>0.01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2">
        <v>4.69</v>
      </c>
      <c r="W72" s="26">
        <v>0.95</v>
      </c>
      <c r="X72" s="22">
        <f t="shared" si="3"/>
        <v>1.277078924</v>
      </c>
      <c r="Y72" s="20">
        <f t="shared" si="4"/>
        <v>28.31697161</v>
      </c>
      <c r="Z72" s="20">
        <f t="shared" si="6"/>
        <v>-30.01429624</v>
      </c>
      <c r="AA72" s="20"/>
      <c r="AB72" s="20">
        <f>IFERROR(__xludf.DUMMYFUNCTION("iferror(PERCENTRANK.INC(FILTER($X$2:$X$421, $U$2:$U$421&lt;3.75), $X72), 1)"),0.958)</f>
        <v>0.958</v>
      </c>
      <c r="AC72" s="20">
        <f>IFERROR(__xludf.DUMMYFUNCTION("iferror(PERCENTRANK.INC(FILTER($X$2:$X$421, $U$2:$U$421&lt;4.25), $X72), 1)"),0.939)</f>
        <v>0.939</v>
      </c>
      <c r="AD72" s="20">
        <f>IFERROR(__xludf.DUMMYFUNCTION("iferror(PERCENTRANK.INC(FILTER($X$2:$X$421, $U$2:$U$421&gt;=4.1), $X72), 0.01)"),0.01)</f>
        <v>0.01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2">
        <v>1.01</v>
      </c>
      <c r="U73" s="30"/>
      <c r="V73" s="30"/>
      <c r="W73" s="18">
        <v>0.9</v>
      </c>
      <c r="X73" s="22">
        <f>IFERROR((U73*0.7+T73*0.15+S73*0.15*#REF!),0)</f>
        <v>0</v>
      </c>
      <c r="Y73" s="20">
        <f t="shared" si="4"/>
        <v>26.84716652</v>
      </c>
      <c r="Z73" s="20">
        <f t="shared" si="6"/>
        <v>-29.01378585</v>
      </c>
      <c r="AA73" s="20"/>
      <c r="AB73" s="20">
        <f>IFERROR(__xludf.DUMMYFUNCTION("iferror(PERCENTRANK.INC(FILTER($X$2:$X$421, $U$2:$U$421&lt;3.75), $X73), 1)"),0.255)</f>
        <v>0.255</v>
      </c>
      <c r="AC73" s="20">
        <f>IFERROR(__xludf.DUMMYFUNCTION("iferror(PERCENTRANK.INC(FILTER($X$2:$X$421, $U$2:$U$421&lt;4.25), $X73), 1)"),0.25)</f>
        <v>0.25</v>
      </c>
      <c r="AD73" s="20">
        <f>IFERROR(__xludf.DUMMYFUNCTION("iferror(PERCENTRANK.INC(FILTER($X$2:$X$421, $U$2:$U$421&gt;=4.1), $X73), 0.01)"),0.01)</f>
        <v>0.01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2">
        <v>1.31</v>
      </c>
      <c r="U74" s="31"/>
      <c r="V74" s="30"/>
      <c r="W74" s="18">
        <v>0.9</v>
      </c>
      <c r="X74" s="22">
        <f t="shared" ref="X74:X77" si="7">IFERROR((U74*0.7+T74*0.15+S74*0.15*W78),0)</f>
        <v>0.761828008</v>
      </c>
      <c r="Y74" s="20">
        <f t="shared" si="4"/>
        <v>27.72396329</v>
      </c>
      <c r="Z74" s="20">
        <f t="shared" si="6"/>
        <v>-29.90692727</v>
      </c>
      <c r="AA74" s="20"/>
      <c r="AB74" s="20">
        <f>IFERROR(__xludf.DUMMYFUNCTION("iferror(PERCENTRANK.INC(FILTER($X$2:$X$421, $U$2:$U$421&lt;3.75), $X74), 1)"),0.795)</f>
        <v>0.795</v>
      </c>
      <c r="AC74" s="20">
        <f>IFERROR(__xludf.DUMMYFUNCTION("iferror(PERCENTRANK.INC(FILTER($X$2:$X$421, $U$2:$U$421&lt;4.25), $X74), 1)"),0.779)</f>
        <v>0.779</v>
      </c>
      <c r="AD74" s="20">
        <f>IFERROR(__xludf.DUMMYFUNCTION("iferror(PERCENTRANK.INC(FILTER($X$2:$X$421, $U$2:$U$421&gt;=4.1), $X74), 0.01)"),0.01)</f>
        <v>0.01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2">
        <v>1.04</v>
      </c>
      <c r="W75" s="26">
        <v>0.95</v>
      </c>
      <c r="X75" s="22">
        <f t="shared" si="7"/>
        <v>0.7149828422</v>
      </c>
      <c r="Y75" s="20">
        <f t="shared" si="4"/>
        <v>27.67004864</v>
      </c>
      <c r="Z75" s="20">
        <f t="shared" si="6"/>
        <v>-29.42223383</v>
      </c>
      <c r="AA75" s="20"/>
      <c r="AB75" s="20">
        <f>IFERROR(__xludf.DUMMYFUNCTION("iferror(PERCENTRANK.INC(FILTER($X$2:$X$421, $U$2:$U$421&lt;3.75), $X75), 1)"),0.775)</f>
        <v>0.775</v>
      </c>
      <c r="AC75" s="20">
        <f>IFERROR(__xludf.DUMMYFUNCTION("iferror(PERCENTRANK.INC(FILTER($X$2:$X$421, $U$2:$U$421&lt;4.25), $X75), 1)"),0.76)</f>
        <v>0.76</v>
      </c>
      <c r="AD75" s="20">
        <f>IFERROR(__xludf.DUMMYFUNCTION("iferror(PERCENTRANK.INC(FILTER($X$2:$X$421, $U$2:$U$421&gt;=4.1), $X75), 0.01)"),0.01)</f>
        <v>0.01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2">
        <v>0.68</v>
      </c>
      <c r="U76" s="30"/>
      <c r="V76" s="30"/>
      <c r="W76" s="18">
        <v>1.0</v>
      </c>
      <c r="X76" s="22">
        <f t="shared" si="7"/>
        <v>0.6742024718</v>
      </c>
      <c r="Y76" s="20">
        <f t="shared" si="4"/>
        <v>27.62311404</v>
      </c>
      <c r="Z76" s="20">
        <f t="shared" si="6"/>
        <v>-28.03493037</v>
      </c>
      <c r="AA76" s="20"/>
      <c r="AB76" s="20">
        <f>IFERROR(__xludf.DUMMYFUNCTION("iferror(PERCENTRANK.INC(FILTER($X$2:$X$421, $U$2:$U$421&lt;3.75), $X76), 1)"),0.755)</f>
        <v>0.755</v>
      </c>
      <c r="AC76" s="20">
        <f>IFERROR(__xludf.DUMMYFUNCTION("iferror(PERCENTRANK.INC(FILTER($X$2:$X$421, $U$2:$U$421&lt;4.25), $X76), 1)"),0.74)</f>
        <v>0.74</v>
      </c>
      <c r="AD76" s="20">
        <f>IFERROR(__xludf.DUMMYFUNCTION("iferror(PERCENTRANK.INC(FILTER($X$2:$X$421, $U$2:$U$421&gt;=4.1), $X76), 0.01)"),0.01)</f>
        <v>0.01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2">
        <v>2.1</v>
      </c>
      <c r="W77" s="26">
        <v>0.9</v>
      </c>
      <c r="X77" s="22">
        <f t="shared" si="7"/>
        <v>0.8555681218</v>
      </c>
      <c r="Y77" s="20">
        <f t="shared" si="4"/>
        <v>27.83184989</v>
      </c>
      <c r="Z77" s="20">
        <f t="shared" si="6"/>
        <v>-27.69730287</v>
      </c>
      <c r="AA77" s="20"/>
      <c r="AB77" s="20">
        <f>IFERROR(__xludf.DUMMYFUNCTION("iferror(PERCENTRANK.INC(FILTER($X$2:$X$421, $U$2:$U$421&lt;3.75), $X77), 1)"),0.853)</f>
        <v>0.853</v>
      </c>
      <c r="AC77" s="20">
        <f>IFERROR(__xludf.DUMMYFUNCTION("iferror(PERCENTRANK.INC(FILTER($X$2:$X$421, $U$2:$U$421&lt;4.25), $X77), 1)"),0.836)</f>
        <v>0.836</v>
      </c>
      <c r="AD77" s="20">
        <f>IFERROR(__xludf.DUMMYFUNCTION("iferror(PERCENTRANK.INC(FILTER($X$2:$X$421, $U$2:$U$421&gt;=4.1), $X77), 0.01)"),0.01)</f>
        <v>0.01</v>
      </c>
      <c r="AE77" s="20"/>
    </row>
    <row r="78" ht="14.25" customHeight="1">
      <c r="A78" s="17" t="s">
        <v>270</v>
      </c>
      <c r="B78" s="17" t="s">
        <v>271</v>
      </c>
      <c r="C78" s="18">
        <v>9.0</v>
      </c>
      <c r="D78" s="17" t="s">
        <v>99</v>
      </c>
      <c r="E78" s="17" t="s">
        <v>176</v>
      </c>
      <c r="F78" s="18">
        <v>483.0</v>
      </c>
      <c r="G78" s="18">
        <v>397.0</v>
      </c>
      <c r="H78" s="18">
        <v>236.0</v>
      </c>
      <c r="I78" s="19">
        <v>0.595</v>
      </c>
      <c r="J78" s="18">
        <v>2769.0</v>
      </c>
      <c r="K78" s="18">
        <v>7.0</v>
      </c>
      <c r="L78" s="18">
        <v>19.0</v>
      </c>
      <c r="M78" s="18">
        <v>7.0</v>
      </c>
      <c r="N78" s="18">
        <v>27.0</v>
      </c>
      <c r="O78" s="18">
        <v>13.0</v>
      </c>
      <c r="P78" s="20">
        <f t="shared" si="1"/>
        <v>3.997267905</v>
      </c>
      <c r="Q78" s="20">
        <f t="shared" si="2"/>
        <v>55.44961956</v>
      </c>
      <c r="R78" s="24"/>
      <c r="S78" s="20">
        <v>3.9972679053303506</v>
      </c>
      <c r="T78" s="22">
        <v>-159.11</v>
      </c>
      <c r="W78" s="26">
        <v>0.9</v>
      </c>
      <c r="X78" s="22">
        <f t="shared" ref="X78:X111" si="8">IFERROR((U78*0.7+T78*0.15+S78*0.15*W83),0)</f>
        <v>-23.32686883</v>
      </c>
      <c r="Y78" s="20">
        <f t="shared" si="4"/>
        <v>0</v>
      </c>
      <c r="Z78" s="20">
        <f t="shared" si="6"/>
        <v>-55.44961956</v>
      </c>
      <c r="AA78" s="20"/>
      <c r="AB78" s="20">
        <f>IFERROR(__xludf.DUMMYFUNCTION("iferror(PERCENTRANK.INC(FILTER($X$2:$X$421, $U$2:$U$421&lt;3.75), $X78), 1)"),0.0)</f>
        <v>0</v>
      </c>
      <c r="AC78" s="20">
        <f>IFERROR(__xludf.DUMMYFUNCTION("iferror(PERCENTRANK.INC(FILTER($X$2:$X$421, $U$2:$U$421&lt;4.25), $X78), 1)"),0.0)</f>
        <v>0</v>
      </c>
      <c r="AD78" s="20">
        <f>IFERROR(__xludf.DUMMYFUNCTION("iferror(PERCENTRANK.INC(FILTER($X$2:$X$421, $U$2:$U$421&gt;=4.1), $X78), 0.01)"),0.01)</f>
        <v>0.01</v>
      </c>
      <c r="AE78" s="20"/>
    </row>
    <row r="79" ht="14.25" customHeight="1">
      <c r="A79" s="17" t="s">
        <v>272</v>
      </c>
      <c r="B79" s="17" t="s">
        <v>273</v>
      </c>
      <c r="C79" s="18">
        <v>4.0</v>
      </c>
      <c r="D79" s="17" t="s">
        <v>99</v>
      </c>
      <c r="E79" s="17" t="s">
        <v>146</v>
      </c>
      <c r="F79" s="18">
        <v>502.0</v>
      </c>
      <c r="G79" s="18">
        <v>432.0</v>
      </c>
      <c r="H79" s="18">
        <v>282.0</v>
      </c>
      <c r="I79" s="19">
        <v>0.653</v>
      </c>
      <c r="J79" s="18">
        <v>3128.0</v>
      </c>
      <c r="K79" s="18">
        <v>7.2</v>
      </c>
      <c r="L79" s="18">
        <v>22.0</v>
      </c>
      <c r="M79" s="18">
        <v>10.0</v>
      </c>
      <c r="N79" s="18">
        <v>27.0</v>
      </c>
      <c r="O79" s="18">
        <v>14.0</v>
      </c>
      <c r="P79" s="20">
        <f t="shared" si="1"/>
        <v>4.075260214</v>
      </c>
      <c r="Q79" s="20">
        <f t="shared" si="2"/>
        <v>56.34336828</v>
      </c>
      <c r="R79" s="25"/>
      <c r="S79" s="20">
        <v>4.075260213516305</v>
      </c>
      <c r="T79" s="22">
        <v>1.48</v>
      </c>
      <c r="U79" s="31"/>
      <c r="V79" s="30"/>
      <c r="W79" s="18">
        <v>0.9</v>
      </c>
      <c r="X79" s="22">
        <f t="shared" si="8"/>
        <v>0.8027245804</v>
      </c>
      <c r="Y79" s="20">
        <f t="shared" si="4"/>
        <v>27.77103164</v>
      </c>
      <c r="Z79" s="20">
        <f t="shared" si="6"/>
        <v>-28.57233665</v>
      </c>
      <c r="AA79" s="20"/>
      <c r="AB79" s="20">
        <f>IFERROR(__xludf.DUMMYFUNCTION("iferror(PERCENTRANK.INC(FILTER($X$2:$X$421, $U$2:$U$421&lt;3.75), $X79), 1)"),0.82)</f>
        <v>0.82</v>
      </c>
      <c r="AC79" s="20">
        <f>IFERROR(__xludf.DUMMYFUNCTION("iferror(PERCENTRANK.INC(FILTER($X$2:$X$421, $U$2:$U$421&lt;4.25), $X79), 1)"),0.804)</f>
        <v>0.804</v>
      </c>
      <c r="AD79" s="20">
        <f>IFERROR(__xludf.DUMMYFUNCTION("iferror(PERCENTRANK.INC(FILTER($X$2:$X$421, $U$2:$U$421&gt;=4.1), $X79), 0.01)"),0.01)</f>
        <v>0.01</v>
      </c>
      <c r="AE79" s="20"/>
    </row>
    <row r="80" ht="14.25" customHeight="1">
      <c r="A80" s="17" t="s">
        <v>274</v>
      </c>
      <c r="B80" s="17" t="s">
        <v>275</v>
      </c>
      <c r="C80" s="18">
        <v>12.0</v>
      </c>
      <c r="D80" s="17" t="s">
        <v>99</v>
      </c>
      <c r="E80" s="17" t="s">
        <v>125</v>
      </c>
      <c r="F80" s="18">
        <v>457.0</v>
      </c>
      <c r="G80" s="18">
        <v>398.0</v>
      </c>
      <c r="H80" s="18">
        <v>257.0</v>
      </c>
      <c r="I80" s="19">
        <v>0.646</v>
      </c>
      <c r="J80" s="18">
        <v>2866.0</v>
      </c>
      <c r="K80" s="18">
        <v>7.2</v>
      </c>
      <c r="L80" s="18">
        <v>21.0</v>
      </c>
      <c r="M80" s="18">
        <v>9.0</v>
      </c>
      <c r="N80" s="18">
        <v>23.0</v>
      </c>
      <c r="O80" s="18">
        <v>12.0</v>
      </c>
      <c r="P80" s="20">
        <f t="shared" si="1"/>
        <v>3.950873169</v>
      </c>
      <c r="Q80" s="20">
        <f t="shared" si="2"/>
        <v>54.91796154</v>
      </c>
      <c r="R80" s="24"/>
      <c r="S80" s="20">
        <v>3.9508731694138084</v>
      </c>
      <c r="T80" s="22">
        <v>2.66</v>
      </c>
      <c r="W80" s="26">
        <v>0.95</v>
      </c>
      <c r="X80" s="22">
        <f t="shared" si="8"/>
        <v>0.9619994266</v>
      </c>
      <c r="Y80" s="20">
        <f t="shared" si="4"/>
        <v>27.95434292</v>
      </c>
      <c r="Z80" s="20">
        <f t="shared" si="6"/>
        <v>-26.96361862</v>
      </c>
      <c r="AA80" s="20"/>
      <c r="AB80" s="20">
        <f>IFERROR(__xludf.DUMMYFUNCTION("iferror(PERCENTRANK.INC(FILTER($X$2:$X$421, $U$2:$U$421&lt;3.75), $X80), 1)"),0.923)</f>
        <v>0.923</v>
      </c>
      <c r="AC80" s="20">
        <f>IFERROR(__xludf.DUMMYFUNCTION("iferror(PERCENTRANK.INC(FILTER($X$2:$X$421, $U$2:$U$421&lt;4.25), $X80), 1)"),0.904)</f>
        <v>0.904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276</v>
      </c>
      <c r="B81" s="17" t="s">
        <v>277</v>
      </c>
      <c r="C81" s="18">
        <v>1.0</v>
      </c>
      <c r="D81" s="17" t="s">
        <v>99</v>
      </c>
      <c r="E81" s="17" t="s">
        <v>117</v>
      </c>
      <c r="F81" s="18">
        <v>296.0</v>
      </c>
      <c r="G81" s="18">
        <v>277.0</v>
      </c>
      <c r="H81" s="18">
        <v>169.0</v>
      </c>
      <c r="I81" s="19">
        <v>0.61</v>
      </c>
      <c r="J81" s="18">
        <v>2401.0</v>
      </c>
      <c r="K81" s="18">
        <v>8.7</v>
      </c>
      <c r="L81" s="18">
        <v>18.0</v>
      </c>
      <c r="M81" s="18">
        <v>6.0</v>
      </c>
      <c r="N81" s="18">
        <v>8.0</v>
      </c>
      <c r="O81" s="18">
        <v>9.0</v>
      </c>
      <c r="P81" s="20">
        <f t="shared" si="1"/>
        <v>4.050050193</v>
      </c>
      <c r="Q81" s="20">
        <f t="shared" si="2"/>
        <v>56.05447539</v>
      </c>
      <c r="R81" s="24"/>
      <c r="S81" s="20">
        <v>4.05005019318958</v>
      </c>
      <c r="T81" s="22">
        <v>0.86</v>
      </c>
      <c r="W81" s="26">
        <v>0.9</v>
      </c>
      <c r="X81" s="22">
        <f t="shared" si="8"/>
        <v>0.6757567761</v>
      </c>
      <c r="Y81" s="20">
        <f t="shared" si="4"/>
        <v>27.6249029</v>
      </c>
      <c r="Z81" s="20">
        <f t="shared" si="6"/>
        <v>-28.42957249</v>
      </c>
      <c r="AA81" s="20"/>
      <c r="AB81" s="20">
        <f>IFERROR(__xludf.DUMMYFUNCTION("iferror(PERCENTRANK.INC(FILTER($X$2:$X$421, $U$2:$U$421&lt;3.75), $X81), 1)"),0.758)</f>
        <v>0.758</v>
      </c>
      <c r="AC81" s="20">
        <f>IFERROR(__xludf.DUMMYFUNCTION("iferror(PERCENTRANK.INC(FILTER($X$2:$X$421, $U$2:$U$421&lt;4.25), $X81), 1)"),0.743)</f>
        <v>0.743</v>
      </c>
      <c r="AD81" s="20">
        <f>IFERROR(__xludf.DUMMYFUNCTION("iferror(PERCENTRANK.INC(FILTER($X$2:$X$421, $U$2:$U$421&gt;=4.1), $X81), 0.01)"),0.01)</f>
        <v>0.01</v>
      </c>
      <c r="AE81" s="20"/>
    </row>
    <row r="82" ht="14.25" customHeight="1">
      <c r="A82" s="17" t="s">
        <v>278</v>
      </c>
      <c r="B82" s="17" t="s">
        <v>279</v>
      </c>
      <c r="C82" s="18">
        <v>2.0</v>
      </c>
      <c r="D82" s="17" t="s">
        <v>99</v>
      </c>
      <c r="E82" s="17" t="s">
        <v>209</v>
      </c>
      <c r="F82" s="18">
        <v>346.0</v>
      </c>
      <c r="G82" s="18">
        <v>313.0</v>
      </c>
      <c r="H82" s="18">
        <v>173.0</v>
      </c>
      <c r="I82" s="19">
        <v>0.553</v>
      </c>
      <c r="J82" s="18">
        <v>2082.0</v>
      </c>
      <c r="K82" s="18">
        <v>6.7</v>
      </c>
      <c r="L82" s="18">
        <v>26.0</v>
      </c>
      <c r="M82" s="18">
        <v>8.0</v>
      </c>
      <c r="N82" s="18">
        <v>17.0</v>
      </c>
      <c r="O82" s="18">
        <v>15.0</v>
      </c>
      <c r="P82" s="20">
        <f t="shared" si="1"/>
        <v>4.039999394</v>
      </c>
      <c r="Q82" s="20">
        <f t="shared" si="2"/>
        <v>55.93929879</v>
      </c>
      <c r="R82" s="25"/>
      <c r="S82" s="20">
        <v>4.039999393876157</v>
      </c>
      <c r="T82" s="22">
        <v>1.53</v>
      </c>
      <c r="U82" s="31"/>
      <c r="V82" s="30"/>
      <c r="W82" s="18">
        <v>0.9</v>
      </c>
      <c r="X82" s="22">
        <f t="shared" si="8"/>
        <v>0.7748999182</v>
      </c>
      <c r="Y82" s="20">
        <f t="shared" si="4"/>
        <v>27.73900791</v>
      </c>
      <c r="Z82" s="20">
        <f t="shared" si="6"/>
        <v>-28.20029088</v>
      </c>
      <c r="AA82" s="20"/>
      <c r="AB82" s="20">
        <f>IFERROR(__xludf.DUMMYFUNCTION("iferror(PERCENTRANK.INC(FILTER($X$2:$X$421, $U$2:$U$421&lt;3.75), $X82), 1)"),0.808)</f>
        <v>0.808</v>
      </c>
      <c r="AC82" s="20">
        <f>IFERROR(__xludf.DUMMYFUNCTION("iferror(PERCENTRANK.INC(FILTER($X$2:$X$421, $U$2:$U$421&lt;4.25), $X82), 1)"),0.792)</f>
        <v>0.792</v>
      </c>
      <c r="AD82" s="20">
        <f>IFERROR(__xludf.DUMMYFUNCTION("iferror(PERCENTRANK.INC(FILTER($X$2:$X$421, $U$2:$U$421&gt;=4.1), $X82), 0.01)"),0.01)</f>
        <v>0.01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111</v>
      </c>
      <c r="F83" s="18">
        <v>282.0</v>
      </c>
      <c r="G83" s="18">
        <v>252.0</v>
      </c>
      <c r="H83" s="18">
        <v>156.0</v>
      </c>
      <c r="I83" s="19">
        <v>0.619</v>
      </c>
      <c r="J83" s="18">
        <v>2125.0</v>
      </c>
      <c r="K83" s="18">
        <v>8.4</v>
      </c>
      <c r="L83" s="18">
        <v>17.0</v>
      </c>
      <c r="M83" s="18">
        <v>4.0</v>
      </c>
      <c r="N83" s="18">
        <v>16.0</v>
      </c>
      <c r="O83" s="18">
        <v>10.0</v>
      </c>
      <c r="P83" s="20">
        <f t="shared" si="1"/>
        <v>4.03184938</v>
      </c>
      <c r="Q83" s="20">
        <f t="shared" si="2"/>
        <v>55.84590413</v>
      </c>
      <c r="R83" s="25"/>
      <c r="S83" s="20">
        <v>4.031849379601486</v>
      </c>
      <c r="T83" s="22">
        <v>1.01</v>
      </c>
      <c r="U83" s="31"/>
      <c r="V83" s="30"/>
      <c r="W83" s="18">
        <v>0.9</v>
      </c>
      <c r="X83" s="22">
        <f t="shared" si="8"/>
        <v>0.7260385366</v>
      </c>
      <c r="Y83" s="20">
        <f t="shared" si="4"/>
        <v>27.68277277</v>
      </c>
      <c r="Z83" s="20">
        <f t="shared" si="6"/>
        <v>-28.16313136</v>
      </c>
      <c r="AA83" s="20"/>
      <c r="AB83" s="20">
        <f>IFERROR(__xludf.DUMMYFUNCTION("iferror(PERCENTRANK.INC(FILTER($X$2:$X$421, $U$2:$U$421&lt;3.75), $X83), 1)"),0.78)</f>
        <v>0.78</v>
      </c>
      <c r="AC83" s="20">
        <f>IFERROR(__xludf.DUMMYFUNCTION("iferror(PERCENTRANK.INC(FILTER($X$2:$X$421, $U$2:$U$421&lt;4.25), $X83), 1)"),0.765)</f>
        <v>0.765</v>
      </c>
      <c r="AD83" s="20">
        <f>IFERROR(__xludf.DUMMYFUNCTION("iferror(PERCENTRANK.INC(FILTER($X$2:$X$421, $U$2:$U$421&gt;=4.1), $X83), 0.01)"),0.01)</f>
        <v>0.01</v>
      </c>
      <c r="AE83" s="20"/>
    </row>
    <row r="84" ht="14.25" customHeight="1">
      <c r="A84" s="17" t="s">
        <v>282</v>
      </c>
      <c r="B84" s="17" t="s">
        <v>283</v>
      </c>
      <c r="C84" s="18">
        <v>12.0</v>
      </c>
      <c r="D84" s="17" t="s">
        <v>99</v>
      </c>
      <c r="E84" s="17" t="s">
        <v>108</v>
      </c>
      <c r="F84" s="18">
        <v>463.0</v>
      </c>
      <c r="G84" s="18">
        <v>384.0</v>
      </c>
      <c r="H84" s="18">
        <v>231.0</v>
      </c>
      <c r="I84" s="19">
        <v>0.602</v>
      </c>
      <c r="J84" s="18">
        <v>2769.0</v>
      </c>
      <c r="K84" s="18">
        <v>7.2</v>
      </c>
      <c r="L84" s="18">
        <v>19.0</v>
      </c>
      <c r="M84" s="18">
        <v>8.0</v>
      </c>
      <c r="N84" s="18">
        <v>29.0</v>
      </c>
      <c r="O84" s="18">
        <v>11.0</v>
      </c>
      <c r="P84" s="20">
        <f t="shared" si="1"/>
        <v>3.821862344</v>
      </c>
      <c r="Q84" s="20">
        <f t="shared" si="2"/>
        <v>53.43956882</v>
      </c>
      <c r="R84" s="24"/>
      <c r="S84" s="20">
        <v>3.821862344132469</v>
      </c>
      <c r="T84" s="22">
        <v>-1.33</v>
      </c>
      <c r="U84" s="30"/>
      <c r="V84" s="30"/>
      <c r="W84" s="18">
        <v>0.95</v>
      </c>
      <c r="X84" s="22">
        <f t="shared" si="8"/>
        <v>0.345115384</v>
      </c>
      <c r="Y84" s="20">
        <f t="shared" si="4"/>
        <v>27.24436385</v>
      </c>
      <c r="Z84" s="20">
        <f t="shared" si="6"/>
        <v>-26.19520497</v>
      </c>
      <c r="AA84" s="20"/>
      <c r="AB84" s="20">
        <f>IFERROR(__xludf.DUMMYFUNCTION("iferror(PERCENTRANK.INC(FILTER($X$2:$X$421, $U$2:$U$421&lt;3.75), $X84), 1)"),0.57)</f>
        <v>0.57</v>
      </c>
      <c r="AC84" s="20">
        <f>IFERROR(__xludf.DUMMYFUNCTION("iferror(PERCENTRANK.INC(FILTER($X$2:$X$421, $U$2:$U$421&lt;4.25), $X84), 1)"),0.559)</f>
        <v>0.559</v>
      </c>
      <c r="AD84" s="20">
        <f>IFERROR(__xludf.DUMMYFUNCTION("iferror(PERCENTRANK.INC(FILTER($X$2:$X$421, $U$2:$U$421&gt;=4.1), $X84), 0.01)"),0.01)</f>
        <v>0.01</v>
      </c>
      <c r="AE84" s="20"/>
    </row>
    <row r="85" ht="14.25" customHeight="1">
      <c r="A85" s="17" t="s">
        <v>284</v>
      </c>
      <c r="B85" s="17" t="s">
        <v>285</v>
      </c>
      <c r="C85" s="18">
        <v>14.0</v>
      </c>
      <c r="D85" s="17" t="s">
        <v>99</v>
      </c>
      <c r="E85" s="17" t="s">
        <v>108</v>
      </c>
      <c r="F85" s="18">
        <v>345.0</v>
      </c>
      <c r="G85" s="18">
        <v>315.0</v>
      </c>
      <c r="H85" s="18">
        <v>189.0</v>
      </c>
      <c r="I85" s="19">
        <v>0.6</v>
      </c>
      <c r="J85" s="18">
        <v>2473.0</v>
      </c>
      <c r="K85" s="18">
        <v>7.8</v>
      </c>
      <c r="L85" s="18">
        <v>20.0</v>
      </c>
      <c r="M85" s="18">
        <v>7.0</v>
      </c>
      <c r="N85" s="18">
        <v>16.0</v>
      </c>
      <c r="O85" s="18">
        <v>8.0</v>
      </c>
      <c r="P85" s="20">
        <f t="shared" si="1"/>
        <v>4.007905728</v>
      </c>
      <c r="Q85" s="20">
        <f t="shared" si="2"/>
        <v>55.57152313</v>
      </c>
      <c r="R85" s="24"/>
      <c r="S85" s="20">
        <v>4.007905728088337</v>
      </c>
      <c r="T85" s="22">
        <v>1.15</v>
      </c>
      <c r="U85" s="30"/>
      <c r="V85" s="30"/>
      <c r="W85" s="18">
        <v>0.95</v>
      </c>
      <c r="X85" s="22">
        <f t="shared" si="8"/>
        <v>0.7135672733</v>
      </c>
      <c r="Y85" s="20">
        <f t="shared" si="4"/>
        <v>27.66841945</v>
      </c>
      <c r="Z85" s="20">
        <f t="shared" si="6"/>
        <v>-27.90310368</v>
      </c>
      <c r="AA85" s="20"/>
      <c r="AB85" s="20">
        <f>IFERROR(__xludf.DUMMYFUNCTION("iferror(PERCENTRANK.INC(FILTER($X$2:$X$421, $U$2:$U$421&lt;3.75), $X85), 1)"),0.773)</f>
        <v>0.773</v>
      </c>
      <c r="AC85" s="20">
        <f>IFERROR(__xludf.DUMMYFUNCTION("iferror(PERCENTRANK.INC(FILTER($X$2:$X$421, $U$2:$U$421&lt;4.25), $X85), 1)"),0.757)</f>
        <v>0.757</v>
      </c>
      <c r="AD85" s="20">
        <f>IFERROR(__xludf.DUMMYFUNCTION("iferror(PERCENTRANK.INC(FILTER($X$2:$X$421, $U$2:$U$421&gt;=4.1), $X85), 0.01)"),0.01)</f>
        <v>0.01</v>
      </c>
      <c r="AE85" s="20"/>
    </row>
    <row r="86" ht="14.25" customHeight="1">
      <c r="A86" s="17" t="s">
        <v>286</v>
      </c>
      <c r="B86" s="17" t="s">
        <v>287</v>
      </c>
      <c r="C86" s="18">
        <v>7.0</v>
      </c>
      <c r="D86" s="17" t="s">
        <v>99</v>
      </c>
      <c r="E86" s="17" t="s">
        <v>169</v>
      </c>
      <c r="F86" s="18">
        <v>245.0</v>
      </c>
      <c r="G86" s="18">
        <v>201.0</v>
      </c>
      <c r="H86" s="18">
        <v>131.0</v>
      </c>
      <c r="I86" s="19">
        <v>0.652</v>
      </c>
      <c r="J86" s="18">
        <v>1708.0</v>
      </c>
      <c r="K86" s="18">
        <v>8.5</v>
      </c>
      <c r="L86" s="18">
        <v>14.0</v>
      </c>
      <c r="M86" s="18">
        <v>2.0</v>
      </c>
      <c r="N86" s="18">
        <v>16.0</v>
      </c>
      <c r="O86" s="18">
        <v>3.0</v>
      </c>
      <c r="P86" s="20">
        <f t="shared" si="1"/>
        <v>3.763717579</v>
      </c>
      <c r="Q86" s="20">
        <f t="shared" si="2"/>
        <v>52.77326197</v>
      </c>
      <c r="R86" s="24"/>
      <c r="S86" s="20">
        <v>3.7637175790435577</v>
      </c>
      <c r="T86" s="22">
        <v>1.27</v>
      </c>
      <c r="U86" s="30"/>
      <c r="V86" s="30"/>
      <c r="W86" s="18">
        <v>0.9</v>
      </c>
      <c r="X86" s="22">
        <f t="shared" si="8"/>
        <v>0.726829755</v>
      </c>
      <c r="Y86" s="20">
        <f t="shared" si="4"/>
        <v>27.68368339</v>
      </c>
      <c r="Z86" s="20">
        <f t="shared" si="6"/>
        <v>-25.08957857</v>
      </c>
      <c r="AA86" s="20"/>
      <c r="AB86" s="20">
        <f>IFERROR(__xludf.DUMMYFUNCTION("iferror(PERCENTRANK.INC(FILTER($X$2:$X$421, $U$2:$U$421&lt;3.75), $X86), 1)"),0.785)</f>
        <v>0.785</v>
      </c>
      <c r="AC86" s="20">
        <f>IFERROR(__xludf.DUMMYFUNCTION("iferror(PERCENTRANK.INC(FILTER($X$2:$X$421, $U$2:$U$421&lt;4.25), $X86), 1)"),0.77)</f>
        <v>0.77</v>
      </c>
      <c r="AD86" s="20">
        <f>IFERROR(__xludf.DUMMYFUNCTION("iferror(PERCENTRANK.INC(FILTER($X$2:$X$421, $U$2:$U$421&gt;=4.1), $X86), 0.01)"),0.01)</f>
        <v>0.01</v>
      </c>
      <c r="AE86" s="20"/>
    </row>
    <row r="87" ht="14.25" customHeight="1">
      <c r="A87" s="17" t="s">
        <v>288</v>
      </c>
      <c r="B87" s="17" t="s">
        <v>289</v>
      </c>
      <c r="C87" s="18">
        <v>4.0</v>
      </c>
      <c r="D87" s="17" t="s">
        <v>99</v>
      </c>
      <c r="E87" s="17" t="s">
        <v>141</v>
      </c>
      <c r="F87" s="18">
        <v>259.0</v>
      </c>
      <c r="G87" s="18">
        <v>245.0</v>
      </c>
      <c r="H87" s="18">
        <v>154.0</v>
      </c>
      <c r="I87" s="19">
        <v>0.629</v>
      </c>
      <c r="J87" s="18">
        <v>2197.0</v>
      </c>
      <c r="K87" s="18">
        <v>9.0</v>
      </c>
      <c r="L87" s="18">
        <v>18.0</v>
      </c>
      <c r="M87" s="18">
        <v>6.0</v>
      </c>
      <c r="N87" s="18">
        <v>2.0</v>
      </c>
      <c r="O87" s="18">
        <v>7.0</v>
      </c>
      <c r="P87" s="20">
        <f t="shared" si="1"/>
        <v>3.951423849</v>
      </c>
      <c r="Q87" s="20">
        <f t="shared" si="2"/>
        <v>54.92427203</v>
      </c>
      <c r="R87" s="25"/>
      <c r="S87" s="20">
        <v>3.951423849420849</v>
      </c>
      <c r="T87" s="22">
        <v>1.52</v>
      </c>
      <c r="U87" s="31"/>
      <c r="V87" s="30"/>
      <c r="W87" s="18">
        <v>0.9</v>
      </c>
      <c r="X87" s="22">
        <f t="shared" si="8"/>
        <v>0.7910778985</v>
      </c>
      <c r="Y87" s="20">
        <f t="shared" si="4"/>
        <v>27.75762734</v>
      </c>
      <c r="Z87" s="20">
        <f t="shared" si="6"/>
        <v>-27.16664469</v>
      </c>
      <c r="AA87" s="20"/>
      <c r="AB87" s="20">
        <f>IFERROR(__xludf.DUMMYFUNCTION("iferror(PERCENTRANK.INC(FILTER($X$2:$X$421, $U$2:$U$421&lt;3.75), $X87), 1)"),0.81)</f>
        <v>0.81</v>
      </c>
      <c r="AC87" s="20">
        <f>IFERROR(__xludf.DUMMYFUNCTION("iferror(PERCENTRANK.INC(FILTER($X$2:$X$421, $U$2:$U$421&lt;4.25), $X87), 1)"),0.794)</f>
        <v>0.794</v>
      </c>
      <c r="AD87" s="20">
        <f>IFERROR(__xludf.DUMMYFUNCTION("iferror(PERCENTRANK.INC(FILTER($X$2:$X$421, $U$2:$U$421&gt;=4.1), $X87), 0.01)"),0.01)</f>
        <v>0.01</v>
      </c>
      <c r="AE87" s="20"/>
    </row>
    <row r="88" ht="14.25" customHeight="1">
      <c r="A88" s="17" t="s">
        <v>290</v>
      </c>
      <c r="B88" s="17" t="s">
        <v>291</v>
      </c>
      <c r="C88" s="18">
        <v>7.0</v>
      </c>
      <c r="D88" s="17" t="s">
        <v>99</v>
      </c>
      <c r="E88" s="17" t="s">
        <v>108</v>
      </c>
      <c r="F88" s="18">
        <v>317.0</v>
      </c>
      <c r="G88" s="18">
        <v>277.0</v>
      </c>
      <c r="H88" s="18">
        <v>175.0</v>
      </c>
      <c r="I88" s="19">
        <v>0.632</v>
      </c>
      <c r="J88" s="18">
        <v>2099.0</v>
      </c>
      <c r="K88" s="18">
        <v>7.6</v>
      </c>
      <c r="L88" s="18">
        <v>17.0</v>
      </c>
      <c r="M88" s="18">
        <v>5.0</v>
      </c>
      <c r="N88" s="18">
        <v>9.0</v>
      </c>
      <c r="O88" s="18">
        <v>8.0</v>
      </c>
      <c r="P88" s="20">
        <f t="shared" si="1"/>
        <v>3.73612814</v>
      </c>
      <c r="Q88" s="20">
        <f t="shared" si="2"/>
        <v>52.45710225</v>
      </c>
      <c r="R88" s="24"/>
      <c r="S88" s="20">
        <v>3.7361281396667767</v>
      </c>
      <c r="T88" s="22">
        <v>2.12</v>
      </c>
      <c r="U88" s="30"/>
      <c r="V88" s="30"/>
      <c r="W88" s="18">
        <v>0.95</v>
      </c>
      <c r="X88" s="22">
        <f t="shared" si="8"/>
        <v>0.8223772989</v>
      </c>
      <c r="Y88" s="20">
        <f t="shared" si="4"/>
        <v>27.79365018</v>
      </c>
      <c r="Z88" s="20">
        <f t="shared" si="6"/>
        <v>-24.66345207</v>
      </c>
      <c r="AA88" s="20"/>
      <c r="AB88" s="20">
        <f>IFERROR(__xludf.DUMMYFUNCTION("iferror(PERCENTRANK.INC(FILTER($X$2:$X$421, $U$2:$U$421&lt;3.75), $X88), 1)"),0.828)</f>
        <v>0.828</v>
      </c>
      <c r="AC88" s="20">
        <f>IFERROR(__xludf.DUMMYFUNCTION("iferror(PERCENTRANK.INC(FILTER($X$2:$X$421, $U$2:$U$421&lt;4.25), $X88), 1)"),0.811)</f>
        <v>0.811</v>
      </c>
      <c r="AD88" s="20">
        <f>IFERROR(__xludf.DUMMYFUNCTION("iferror(PERCENTRANK.INC(FILTER($X$2:$X$421, $U$2:$U$421&gt;=4.1), $X88), 0.01)"),0.01)</f>
        <v>0.01</v>
      </c>
      <c r="AE88" s="20"/>
    </row>
    <row r="89" ht="14.25" customHeight="1">
      <c r="A89" s="17" t="s">
        <v>292</v>
      </c>
      <c r="B89" s="17" t="s">
        <v>293</v>
      </c>
      <c r="C89" s="18">
        <v>12.0</v>
      </c>
      <c r="D89" s="17" t="s">
        <v>99</v>
      </c>
      <c r="E89" s="17" t="s">
        <v>152</v>
      </c>
      <c r="F89" s="18">
        <v>386.0</v>
      </c>
      <c r="G89" s="18">
        <v>352.0</v>
      </c>
      <c r="H89" s="18">
        <v>212.0</v>
      </c>
      <c r="I89" s="19">
        <v>0.602</v>
      </c>
      <c r="J89" s="18">
        <v>2753.0</v>
      </c>
      <c r="K89" s="18">
        <v>7.8</v>
      </c>
      <c r="L89" s="18">
        <v>14.0</v>
      </c>
      <c r="M89" s="18">
        <v>6.0</v>
      </c>
      <c r="N89" s="18">
        <v>7.0</v>
      </c>
      <c r="O89" s="18">
        <v>17.0</v>
      </c>
      <c r="P89" s="20">
        <f t="shared" si="1"/>
        <v>3.721842921</v>
      </c>
      <c r="Q89" s="20">
        <f t="shared" si="2"/>
        <v>52.29340155</v>
      </c>
      <c r="R89" s="25"/>
      <c r="S89" s="20">
        <v>3.7218429213377293</v>
      </c>
      <c r="T89" s="22">
        <v>0.92</v>
      </c>
      <c r="U89" s="31"/>
      <c r="V89" s="30"/>
      <c r="W89" s="18">
        <v>0.95</v>
      </c>
      <c r="X89" s="22">
        <f t="shared" si="8"/>
        <v>0.6683626163</v>
      </c>
      <c r="Y89" s="20">
        <f t="shared" si="4"/>
        <v>27.61639288</v>
      </c>
      <c r="Z89" s="20">
        <f t="shared" si="6"/>
        <v>-24.67700867</v>
      </c>
      <c r="AA89" s="20"/>
      <c r="AB89" s="20">
        <f>IFERROR(__xludf.DUMMYFUNCTION("iferror(PERCENTRANK.INC(FILTER($X$2:$X$421, $U$2:$U$421&lt;3.75), $X89), 1)"),0.753)</f>
        <v>0.753</v>
      </c>
      <c r="AC89" s="20">
        <f>IFERROR(__xludf.DUMMYFUNCTION("iferror(PERCENTRANK.INC(FILTER($X$2:$X$421, $U$2:$U$421&lt;4.25), $X89), 1)"),0.738)</f>
        <v>0.738</v>
      </c>
      <c r="AD89" s="20">
        <f>IFERROR(__xludf.DUMMYFUNCTION("iferror(PERCENTRANK.INC(FILTER($X$2:$X$421, $U$2:$U$421&gt;=4.1), $X89), 0.01)"),0.01)</f>
        <v>0.01</v>
      </c>
      <c r="AE89" s="20"/>
    </row>
    <row r="90" ht="14.25" customHeight="1">
      <c r="A90" s="17" t="s">
        <v>294</v>
      </c>
      <c r="B90" s="17" t="s">
        <v>295</v>
      </c>
      <c r="C90" s="18">
        <v>15.0</v>
      </c>
      <c r="D90" s="17" t="s">
        <v>99</v>
      </c>
      <c r="E90" s="17" t="s">
        <v>135</v>
      </c>
      <c r="F90" s="18">
        <v>305.0</v>
      </c>
      <c r="G90" s="18">
        <v>284.0</v>
      </c>
      <c r="H90" s="18">
        <v>184.0</v>
      </c>
      <c r="I90" s="19">
        <v>0.648</v>
      </c>
      <c r="J90" s="18">
        <v>2151.0</v>
      </c>
      <c r="K90" s="18">
        <v>7.6</v>
      </c>
      <c r="L90" s="18">
        <v>18.0</v>
      </c>
      <c r="M90" s="18">
        <v>6.0</v>
      </c>
      <c r="N90" s="18">
        <v>15.0</v>
      </c>
      <c r="O90" s="18">
        <v>15.0</v>
      </c>
      <c r="P90" s="20">
        <f t="shared" si="1"/>
        <v>3.657902151</v>
      </c>
      <c r="Q90" s="20">
        <f t="shared" si="2"/>
        <v>51.56067568</v>
      </c>
      <c r="R90" s="24"/>
      <c r="S90" s="20">
        <v>3.6579021510043868</v>
      </c>
      <c r="T90" s="22">
        <v>-0.51</v>
      </c>
      <c r="U90" s="30"/>
      <c r="V90" s="30"/>
      <c r="W90" s="18">
        <v>0.9</v>
      </c>
      <c r="X90" s="22">
        <f t="shared" si="8"/>
        <v>0.4721853227</v>
      </c>
      <c r="Y90" s="20">
        <f t="shared" si="4"/>
        <v>27.39061014</v>
      </c>
      <c r="Z90" s="20">
        <f t="shared" si="6"/>
        <v>-24.17006554</v>
      </c>
      <c r="AA90" s="20"/>
      <c r="AB90" s="20">
        <f>IFERROR(__xludf.DUMMYFUNCTION("iferror(PERCENTRANK.INC(FILTER($X$2:$X$421, $U$2:$U$421&lt;3.75), $X90), 1)"),0.633)</f>
        <v>0.633</v>
      </c>
      <c r="AC90" s="20">
        <f>IFERROR(__xludf.DUMMYFUNCTION("iferror(PERCENTRANK.INC(FILTER($X$2:$X$421, $U$2:$U$421&lt;4.25), $X90), 1)"),0.62)</f>
        <v>0.62</v>
      </c>
      <c r="AD90" s="20">
        <f>IFERROR(__xludf.DUMMYFUNCTION("iferror(PERCENTRANK.INC(FILTER($X$2:$X$421, $U$2:$U$421&gt;=4.1), $X90), 0.01)"),0.01)</f>
        <v>0.01</v>
      </c>
      <c r="AE90" s="20"/>
    </row>
    <row r="91" ht="14.25" customHeight="1">
      <c r="A91" s="17" t="s">
        <v>296</v>
      </c>
      <c r="B91" s="17" t="s">
        <v>297</v>
      </c>
      <c r="C91" s="18">
        <v>4.0</v>
      </c>
      <c r="D91" s="17" t="s">
        <v>99</v>
      </c>
      <c r="E91" s="17" t="s">
        <v>149</v>
      </c>
      <c r="F91" s="18">
        <v>364.0</v>
      </c>
      <c r="G91" s="18">
        <v>343.0</v>
      </c>
      <c r="H91" s="18">
        <v>216.0</v>
      </c>
      <c r="I91" s="19">
        <v>0.63</v>
      </c>
      <c r="J91" s="18">
        <v>2607.0</v>
      </c>
      <c r="K91" s="18">
        <v>7.6</v>
      </c>
      <c r="L91" s="18">
        <v>21.0</v>
      </c>
      <c r="M91" s="18">
        <v>9.0</v>
      </c>
      <c r="N91" s="18">
        <v>9.0</v>
      </c>
      <c r="O91" s="18">
        <v>8.0</v>
      </c>
      <c r="P91" s="20">
        <f t="shared" si="1"/>
        <v>3.830625833</v>
      </c>
      <c r="Q91" s="20">
        <f t="shared" si="2"/>
        <v>53.53999356</v>
      </c>
      <c r="R91" s="25"/>
      <c r="S91" s="20">
        <v>3.830625833146446</v>
      </c>
      <c r="T91" s="22">
        <v>1.31</v>
      </c>
      <c r="U91" s="31"/>
      <c r="V91" s="30"/>
      <c r="W91" s="18">
        <v>0.95</v>
      </c>
      <c r="X91" s="22">
        <f t="shared" si="8"/>
        <v>0.771093875</v>
      </c>
      <c r="Y91" s="20">
        <f t="shared" si="4"/>
        <v>27.73462749</v>
      </c>
      <c r="Z91" s="20">
        <f t="shared" si="6"/>
        <v>-25.80536607</v>
      </c>
      <c r="AA91" s="20"/>
      <c r="AB91" s="20">
        <f>IFERROR(__xludf.DUMMYFUNCTION("iferror(PERCENTRANK.INC(FILTER($X$2:$X$421, $U$2:$U$421&lt;3.75), $X91), 1)"),0.805)</f>
        <v>0.805</v>
      </c>
      <c r="AC91" s="20">
        <f>IFERROR(__xludf.DUMMYFUNCTION("iferror(PERCENTRANK.INC(FILTER($X$2:$X$421, $U$2:$U$421&lt;4.25), $X91), 1)"),0.789)</f>
        <v>0.789</v>
      </c>
      <c r="AD91" s="20">
        <f>IFERROR(__xludf.DUMMYFUNCTION("iferror(PERCENTRANK.INC(FILTER($X$2:$X$421, $U$2:$U$421&gt;=4.1), $X91), 0.01)"),0.01)</f>
        <v>0.01</v>
      </c>
      <c r="AE91" s="20"/>
    </row>
    <row r="92" ht="14.25" customHeight="1">
      <c r="A92" s="17" t="s">
        <v>298</v>
      </c>
      <c r="B92" s="17" t="s">
        <v>299</v>
      </c>
      <c r="C92" s="18">
        <v>12.0</v>
      </c>
      <c r="D92" s="17" t="s">
        <v>99</v>
      </c>
      <c r="E92" s="17" t="s">
        <v>120</v>
      </c>
      <c r="F92" s="18">
        <v>438.0</v>
      </c>
      <c r="G92" s="18">
        <v>363.0</v>
      </c>
      <c r="H92" s="18">
        <v>225.0</v>
      </c>
      <c r="I92" s="19">
        <v>0.62</v>
      </c>
      <c r="J92" s="18">
        <v>2930.0</v>
      </c>
      <c r="K92" s="18">
        <v>8.1</v>
      </c>
      <c r="L92" s="18">
        <v>24.0</v>
      </c>
      <c r="M92" s="18">
        <v>13.0</v>
      </c>
      <c r="N92" s="18">
        <v>41.0</v>
      </c>
      <c r="O92" s="18">
        <v>16.0</v>
      </c>
      <c r="P92" s="20">
        <f t="shared" si="1"/>
        <v>3.633470986</v>
      </c>
      <c r="Q92" s="20">
        <f t="shared" si="2"/>
        <v>51.28070804</v>
      </c>
      <c r="R92" s="25"/>
      <c r="S92" s="20">
        <v>3.6334709860749466</v>
      </c>
      <c r="T92" s="22">
        <v>5.18</v>
      </c>
      <c r="U92" s="31"/>
      <c r="V92" s="30"/>
      <c r="W92" s="18">
        <v>0.95</v>
      </c>
      <c r="X92" s="22">
        <f t="shared" si="8"/>
        <v>1.267518583</v>
      </c>
      <c r="Y92" s="20">
        <f t="shared" si="4"/>
        <v>28.3059685</v>
      </c>
      <c r="Z92" s="20">
        <f t="shared" si="6"/>
        <v>-22.97473954</v>
      </c>
      <c r="AA92" s="20"/>
      <c r="AB92" s="20">
        <f>IFERROR(__xludf.DUMMYFUNCTION("iferror(PERCENTRANK.INC(FILTER($X$2:$X$421, $U$2:$U$421&lt;3.75), $X92), 1)"),0.955)</f>
        <v>0.955</v>
      </c>
      <c r="AC92" s="20">
        <f>IFERROR(__xludf.DUMMYFUNCTION("iferror(PERCENTRANK.INC(FILTER($X$2:$X$421, $U$2:$U$421&lt;4.25), $X92), 1)"),0.936)</f>
        <v>0.936</v>
      </c>
      <c r="AD92" s="20">
        <f>IFERROR(__xludf.DUMMYFUNCTION("iferror(PERCENTRANK.INC(FILTER($X$2:$X$421, $U$2:$U$421&gt;=4.1), $X92), 0.01)"),0.01)</f>
        <v>0.01</v>
      </c>
      <c r="AE92" s="20"/>
    </row>
    <row r="93" ht="14.25" customHeight="1">
      <c r="A93" s="17" t="s">
        <v>300</v>
      </c>
      <c r="B93" s="17" t="s">
        <v>301</v>
      </c>
      <c r="C93" s="18">
        <v>15.0</v>
      </c>
      <c r="D93" s="17" t="s">
        <v>99</v>
      </c>
      <c r="E93" s="17" t="s">
        <v>105</v>
      </c>
      <c r="F93" s="18">
        <v>352.0</v>
      </c>
      <c r="G93" s="18">
        <v>324.0</v>
      </c>
      <c r="H93" s="18">
        <v>190.0</v>
      </c>
      <c r="I93" s="19">
        <v>0.586</v>
      </c>
      <c r="J93" s="18">
        <v>2084.0</v>
      </c>
      <c r="K93" s="18">
        <v>6.4</v>
      </c>
      <c r="L93" s="18">
        <v>16.0</v>
      </c>
      <c r="M93" s="18">
        <v>3.0</v>
      </c>
      <c r="N93" s="18">
        <v>17.0</v>
      </c>
      <c r="O93" s="18">
        <v>8.0</v>
      </c>
      <c r="P93" s="20">
        <f t="shared" si="1"/>
        <v>3.819253459</v>
      </c>
      <c r="Q93" s="20">
        <f t="shared" si="2"/>
        <v>53.40967244</v>
      </c>
      <c r="R93" s="24"/>
      <c r="S93" s="20">
        <v>3.819253459034792</v>
      </c>
      <c r="T93" s="22">
        <v>2.29</v>
      </c>
      <c r="W93" s="26">
        <v>0.9</v>
      </c>
      <c r="X93" s="22">
        <f t="shared" si="8"/>
        <v>0.9163880189</v>
      </c>
      <c r="Y93" s="20">
        <f t="shared" si="4"/>
        <v>27.90184822</v>
      </c>
      <c r="Z93" s="20">
        <f t="shared" si="6"/>
        <v>-25.50782422</v>
      </c>
      <c r="AA93" s="20"/>
      <c r="AB93" s="20">
        <f>IFERROR(__xludf.DUMMYFUNCTION("iferror(PERCENTRANK.INC(FILTER($X$2:$X$421, $U$2:$U$421&lt;3.75), $X93), 1)"),0.91)</f>
        <v>0.91</v>
      </c>
      <c r="AC93" s="20">
        <f>IFERROR(__xludf.DUMMYFUNCTION("iferror(PERCENTRANK.INC(FILTER($X$2:$X$421, $U$2:$U$421&lt;4.25), $X93), 1)"),0.892)</f>
        <v>0.892</v>
      </c>
      <c r="AD93" s="20">
        <f>IFERROR(__xludf.DUMMYFUNCTION("iferror(PERCENTRANK.INC(FILTER($X$2:$X$421, $U$2:$U$421&gt;=4.1), $X93), 0.01)"),0.01)</f>
        <v>0.01</v>
      </c>
      <c r="AE93" s="20"/>
    </row>
    <row r="94" ht="14.25" customHeight="1">
      <c r="A94" s="17" t="s">
        <v>302</v>
      </c>
      <c r="B94" s="17" t="s">
        <v>303</v>
      </c>
      <c r="C94" s="18">
        <v>5.0</v>
      </c>
      <c r="D94" s="17" t="s">
        <v>99</v>
      </c>
      <c r="E94" s="17" t="s">
        <v>125</v>
      </c>
      <c r="F94" s="18">
        <v>441.0</v>
      </c>
      <c r="G94" s="18">
        <v>417.0</v>
      </c>
      <c r="H94" s="18">
        <v>235.0</v>
      </c>
      <c r="I94" s="19">
        <v>0.564</v>
      </c>
      <c r="J94" s="18">
        <v>3091.0</v>
      </c>
      <c r="K94" s="18">
        <v>7.4</v>
      </c>
      <c r="L94" s="18">
        <v>17.0</v>
      </c>
      <c r="M94" s="18">
        <v>9.0</v>
      </c>
      <c r="N94" s="18">
        <v>6.0</v>
      </c>
      <c r="O94" s="18">
        <v>20.0</v>
      </c>
      <c r="P94" s="20">
        <f t="shared" si="1"/>
        <v>3.700773253</v>
      </c>
      <c r="Q94" s="20">
        <f t="shared" si="2"/>
        <v>52.0519548</v>
      </c>
      <c r="R94" s="24"/>
      <c r="S94" s="20">
        <v>3.700773253266775</v>
      </c>
      <c r="T94" s="22">
        <v>1.97</v>
      </c>
      <c r="U94" s="30"/>
      <c r="V94" s="30"/>
      <c r="W94" s="18">
        <v>0.95</v>
      </c>
      <c r="X94" s="22">
        <f t="shared" si="8"/>
        <v>0.8228601886</v>
      </c>
      <c r="Y94" s="20">
        <f t="shared" si="4"/>
        <v>27.79420595</v>
      </c>
      <c r="Z94" s="20">
        <f t="shared" si="6"/>
        <v>-24.25774886</v>
      </c>
      <c r="AA94" s="20"/>
      <c r="AB94" s="20">
        <f>IFERROR(__xludf.DUMMYFUNCTION("iferror(PERCENTRANK.INC(FILTER($X$2:$X$421, $U$2:$U$421&lt;3.75), $X94), 1)"),0.83)</f>
        <v>0.83</v>
      </c>
      <c r="AC94" s="20">
        <f>IFERROR(__xludf.DUMMYFUNCTION("iferror(PERCENTRANK.INC(FILTER($X$2:$X$421, $U$2:$U$421&lt;4.25), $X94), 1)"),0.814)</f>
        <v>0.814</v>
      </c>
      <c r="AD94" s="20">
        <f>IFERROR(__xludf.DUMMYFUNCTION("iferror(PERCENTRANK.INC(FILTER($X$2:$X$421, $U$2:$U$421&gt;=4.1), $X94), 0.01)"),0.01)</f>
        <v>0.01</v>
      </c>
      <c r="AE94" s="20"/>
    </row>
    <row r="95" ht="14.25" customHeight="1">
      <c r="A95" s="17" t="s">
        <v>304</v>
      </c>
      <c r="B95" s="17" t="s">
        <v>305</v>
      </c>
      <c r="C95" s="18">
        <v>47.0</v>
      </c>
      <c r="D95" s="17" t="s">
        <v>99</v>
      </c>
      <c r="E95" s="17" t="s">
        <v>102</v>
      </c>
      <c r="F95" s="18">
        <v>390.0</v>
      </c>
      <c r="G95" s="18">
        <v>345.0</v>
      </c>
      <c r="H95" s="18">
        <v>213.0</v>
      </c>
      <c r="I95" s="19">
        <v>0.617</v>
      </c>
      <c r="J95" s="18">
        <v>2616.0</v>
      </c>
      <c r="K95" s="18">
        <v>7.6</v>
      </c>
      <c r="L95" s="18">
        <v>14.0</v>
      </c>
      <c r="M95" s="18">
        <v>6.0</v>
      </c>
      <c r="N95" s="18">
        <v>15.0</v>
      </c>
      <c r="O95" s="18">
        <v>15.0</v>
      </c>
      <c r="P95" s="20">
        <f t="shared" si="1"/>
        <v>3.567874853</v>
      </c>
      <c r="Q95" s="20">
        <f t="shared" si="2"/>
        <v>50.52901262</v>
      </c>
      <c r="R95" s="24"/>
      <c r="S95" s="20">
        <v>3.5678748528428095</v>
      </c>
      <c r="T95" s="22">
        <v>1.01</v>
      </c>
      <c r="W95" s="26">
        <v>1.0</v>
      </c>
      <c r="X95" s="22">
        <f t="shared" si="8"/>
        <v>0.6331631051</v>
      </c>
      <c r="Y95" s="20">
        <f t="shared" si="4"/>
        <v>27.57588135</v>
      </c>
      <c r="Z95" s="20">
        <f t="shared" si="6"/>
        <v>-22.95313127</v>
      </c>
      <c r="AA95" s="20"/>
      <c r="AB95" s="20">
        <f>IFERROR(__xludf.DUMMYFUNCTION("iferror(PERCENTRANK.INC(FILTER($X$2:$X$421, $U$2:$U$421&lt;3.75), $X95), 1)"),0.738)</f>
        <v>0.738</v>
      </c>
      <c r="AC95" s="20">
        <f>IFERROR(__xludf.DUMMYFUNCTION("iferror(PERCENTRANK.INC(FILTER($X$2:$X$421, $U$2:$U$421&lt;4.25), $X95), 1)"),0.723)</f>
        <v>0.723</v>
      </c>
      <c r="AD95" s="20">
        <f>IFERROR(__xludf.DUMMYFUNCTION("iferror(PERCENTRANK.INC(FILTER($X$2:$X$421, $U$2:$U$421&gt;=4.1), $X95), 0.01)"),0.01)</f>
        <v>0.01</v>
      </c>
      <c r="AE95" s="20"/>
    </row>
    <row r="96" ht="14.25" customHeight="1">
      <c r="A96" s="17" t="s">
        <v>306</v>
      </c>
      <c r="B96" s="17" t="s">
        <v>307</v>
      </c>
      <c r="C96" s="18">
        <v>15.0</v>
      </c>
      <c r="D96" s="17" t="s">
        <v>99</v>
      </c>
      <c r="E96" s="17" t="s">
        <v>164</v>
      </c>
      <c r="F96" s="18">
        <v>305.0</v>
      </c>
      <c r="G96" s="18">
        <v>261.0</v>
      </c>
      <c r="H96" s="18">
        <v>185.0</v>
      </c>
      <c r="I96" s="19">
        <v>0.709</v>
      </c>
      <c r="J96" s="18">
        <v>2039.0</v>
      </c>
      <c r="K96" s="18">
        <v>7.8</v>
      </c>
      <c r="L96" s="18">
        <v>18.0</v>
      </c>
      <c r="M96" s="18">
        <v>6.0</v>
      </c>
      <c r="N96" s="18">
        <v>28.0</v>
      </c>
      <c r="O96" s="18">
        <v>11.0</v>
      </c>
      <c r="P96" s="20">
        <f t="shared" si="1"/>
        <v>3.562643246</v>
      </c>
      <c r="Q96" s="20">
        <f t="shared" si="2"/>
        <v>50.46906131</v>
      </c>
      <c r="R96" s="24"/>
      <c r="S96" s="20">
        <v>3.56264324621569</v>
      </c>
      <c r="T96" s="22">
        <v>1.0</v>
      </c>
      <c r="W96" s="26">
        <v>1.0</v>
      </c>
      <c r="X96" s="22">
        <f t="shared" si="8"/>
        <v>0.6309568382</v>
      </c>
      <c r="Y96" s="20">
        <f t="shared" si="4"/>
        <v>27.57334213</v>
      </c>
      <c r="Z96" s="20">
        <f t="shared" si="6"/>
        <v>-22.89571917</v>
      </c>
      <c r="AA96" s="20"/>
      <c r="AB96" s="20">
        <f>IFERROR(__xludf.DUMMYFUNCTION("iferror(PERCENTRANK.INC(FILTER($X$2:$X$421, $U$2:$U$421&lt;3.75), $X96), 1)"),0.735)</f>
        <v>0.735</v>
      </c>
      <c r="AC96" s="20">
        <f>IFERROR(__xludf.DUMMYFUNCTION("iferror(PERCENTRANK.INC(FILTER($X$2:$X$421, $U$2:$U$421&lt;4.25), $X96), 1)"),0.721)</f>
        <v>0.721</v>
      </c>
      <c r="AD96" s="20">
        <f>IFERROR(__xludf.DUMMYFUNCTION("iferror(PERCENTRANK.INC(FILTER($X$2:$X$421, $U$2:$U$421&gt;=4.1), $X96), 0.01)"),0.01)</f>
        <v>0.01</v>
      </c>
      <c r="AE96" s="20"/>
    </row>
    <row r="97" ht="14.25" customHeight="1">
      <c r="A97" s="17" t="s">
        <v>308</v>
      </c>
      <c r="B97" s="17" t="s">
        <v>309</v>
      </c>
      <c r="C97" s="18">
        <v>11.0</v>
      </c>
      <c r="D97" s="17" t="s">
        <v>99</v>
      </c>
      <c r="E97" s="17" t="s">
        <v>176</v>
      </c>
      <c r="F97" s="18">
        <v>394.0</v>
      </c>
      <c r="G97" s="18">
        <v>293.0</v>
      </c>
      <c r="H97" s="18">
        <v>159.0</v>
      </c>
      <c r="I97" s="19">
        <v>0.543</v>
      </c>
      <c r="J97" s="18">
        <v>2343.0</v>
      </c>
      <c r="K97" s="18">
        <v>8.0</v>
      </c>
      <c r="L97" s="18">
        <v>18.0</v>
      </c>
      <c r="M97" s="18">
        <v>8.0</v>
      </c>
      <c r="N97" s="18">
        <v>37.0</v>
      </c>
      <c r="O97" s="18">
        <v>8.0</v>
      </c>
      <c r="P97" s="20">
        <f t="shared" si="1"/>
        <v>3.442449367</v>
      </c>
      <c r="Q97" s="20">
        <f t="shared" si="2"/>
        <v>49.09170592</v>
      </c>
      <c r="R97" s="24"/>
      <c r="S97" s="20">
        <v>3.4424493671454055</v>
      </c>
      <c r="T97" s="22">
        <v>9.61</v>
      </c>
      <c r="W97" s="26">
        <v>0.9</v>
      </c>
      <c r="X97" s="22">
        <f t="shared" si="8"/>
        <v>1.906230665</v>
      </c>
      <c r="Y97" s="20">
        <f t="shared" si="4"/>
        <v>29.04106971</v>
      </c>
      <c r="Z97" s="20">
        <f t="shared" si="6"/>
        <v>-20.0506362</v>
      </c>
      <c r="AA97" s="20"/>
      <c r="AB97" s="20">
        <f>IFERROR(__xludf.DUMMYFUNCTION("iferror(PERCENTRANK.INC(FILTER($X$2:$X$421, $U$2:$U$421&lt;3.75), $X97), 1)"),0.978)</f>
        <v>0.978</v>
      </c>
      <c r="AC97" s="20">
        <f>IFERROR(__xludf.DUMMYFUNCTION("iferror(PERCENTRANK.INC(FILTER($X$2:$X$421, $U$2:$U$421&lt;4.25), $X97), 1)"),0.958)</f>
        <v>0.958</v>
      </c>
      <c r="AD97" s="20">
        <f>IFERROR(__xludf.DUMMYFUNCTION("iferror(PERCENTRANK.INC(FILTER($X$2:$X$421, $U$2:$U$421&gt;=4.1), $X97), 0.01)"),0.01)</f>
        <v>0.01</v>
      </c>
      <c r="AE97" s="20"/>
    </row>
    <row r="98" ht="14.25" customHeight="1">
      <c r="A98" s="17" t="s">
        <v>310</v>
      </c>
      <c r="B98" s="17" t="s">
        <v>311</v>
      </c>
      <c r="C98" s="18">
        <v>7.0</v>
      </c>
      <c r="D98" s="17" t="s">
        <v>99</v>
      </c>
      <c r="E98" s="17" t="s">
        <v>164</v>
      </c>
      <c r="F98" s="18">
        <v>519.0</v>
      </c>
      <c r="G98" s="18">
        <v>484.0</v>
      </c>
      <c r="H98" s="18">
        <v>273.0</v>
      </c>
      <c r="I98" s="19">
        <v>0.564</v>
      </c>
      <c r="J98" s="18">
        <v>2963.0</v>
      </c>
      <c r="K98" s="18">
        <v>6.1</v>
      </c>
      <c r="L98" s="18">
        <v>17.0</v>
      </c>
      <c r="M98" s="18">
        <v>9.0</v>
      </c>
      <c r="N98" s="18">
        <v>9.0</v>
      </c>
      <c r="O98" s="18">
        <v>13.0</v>
      </c>
      <c r="P98" s="20">
        <f t="shared" si="1"/>
        <v>3.429519356</v>
      </c>
      <c r="Q98" s="20">
        <f t="shared" si="2"/>
        <v>48.94353514</v>
      </c>
      <c r="R98" s="24"/>
      <c r="S98" s="20">
        <v>3.429519356231787</v>
      </c>
      <c r="T98" s="22">
        <v>7.24</v>
      </c>
      <c r="W98" s="26">
        <v>1.0</v>
      </c>
      <c r="X98" s="22">
        <f t="shared" si="8"/>
        <v>1.548985113</v>
      </c>
      <c r="Y98" s="20">
        <f t="shared" si="4"/>
        <v>28.62991162</v>
      </c>
      <c r="Z98" s="20">
        <f t="shared" si="6"/>
        <v>-20.31362352</v>
      </c>
      <c r="AA98" s="20"/>
      <c r="AB98" s="20">
        <f>IFERROR(__xludf.DUMMYFUNCTION("iferror(PERCENTRANK.INC(FILTER($X$2:$X$421, $U$2:$U$421&lt;3.75), $X98), 1)"),0.973)</f>
        <v>0.973</v>
      </c>
      <c r="AC98" s="20">
        <f>IFERROR(__xludf.DUMMYFUNCTION("iferror(PERCENTRANK.INC(FILTER($X$2:$X$421, $U$2:$U$421&lt;4.25), $X98), 1)"),0.953)</f>
        <v>0.953</v>
      </c>
      <c r="AD98" s="20">
        <f>IFERROR(__xludf.DUMMYFUNCTION("iferror(PERCENTRANK.INC(FILTER($X$2:$X$421, $U$2:$U$421&gt;=4.1), $X98), 0.01)"),0.01)</f>
        <v>0.01</v>
      </c>
      <c r="AE98" s="20"/>
    </row>
    <row r="99" ht="14.25" customHeight="1">
      <c r="A99" s="17" t="s">
        <v>312</v>
      </c>
      <c r="B99" s="17" t="s">
        <v>313</v>
      </c>
      <c r="C99" s="18">
        <v>2.0</v>
      </c>
      <c r="D99" s="17" t="s">
        <v>99</v>
      </c>
      <c r="E99" s="17" t="s">
        <v>152</v>
      </c>
      <c r="F99" s="18">
        <v>443.0</v>
      </c>
      <c r="G99" s="18">
        <v>363.0</v>
      </c>
      <c r="H99" s="18">
        <v>242.0</v>
      </c>
      <c r="I99" s="19">
        <v>0.667</v>
      </c>
      <c r="J99" s="18">
        <v>2601.0</v>
      </c>
      <c r="K99" s="18">
        <v>7.2</v>
      </c>
      <c r="L99" s="18">
        <v>15.0</v>
      </c>
      <c r="M99" s="18">
        <v>6.0</v>
      </c>
      <c r="N99" s="18">
        <v>29.0</v>
      </c>
      <c r="O99" s="18">
        <v>14.0</v>
      </c>
      <c r="P99" s="20">
        <f t="shared" si="1"/>
        <v>3.597152252</v>
      </c>
      <c r="Q99" s="20">
        <f t="shared" si="2"/>
        <v>50.86451542</v>
      </c>
      <c r="R99" s="25"/>
      <c r="S99" s="20">
        <v>3.5971522515593035</v>
      </c>
      <c r="T99" s="22">
        <v>1.09</v>
      </c>
      <c r="U99" s="31"/>
      <c r="V99" s="30"/>
      <c r="W99" s="18">
        <v>0.95</v>
      </c>
      <c r="X99" s="22">
        <f t="shared" si="8"/>
        <v>0.649115554</v>
      </c>
      <c r="Y99" s="20">
        <f t="shared" si="4"/>
        <v>27.59424121</v>
      </c>
      <c r="Z99" s="20">
        <f t="shared" si="6"/>
        <v>-23.27027421</v>
      </c>
      <c r="AA99" s="20"/>
      <c r="AB99" s="20">
        <f>IFERROR(__xludf.DUMMYFUNCTION("iferror(PERCENTRANK.INC(FILTER($X$2:$X$421, $U$2:$U$421&lt;3.75), $X99), 1)"),0.748)</f>
        <v>0.748</v>
      </c>
      <c r="AC99" s="20">
        <f>IFERROR(__xludf.DUMMYFUNCTION("iferror(PERCENTRANK.INC(FILTER($X$2:$X$421, $U$2:$U$421&lt;4.25), $X99), 1)"),0.733)</f>
        <v>0.733</v>
      </c>
      <c r="AD99" s="20">
        <f>IFERROR(__xludf.DUMMYFUNCTION("iferror(PERCENTRANK.INC(FILTER($X$2:$X$421, $U$2:$U$421&gt;=4.1), $X99), 0.01)"),0.01)</f>
        <v>0.01</v>
      </c>
      <c r="AE99" s="20"/>
    </row>
    <row r="100" ht="14.25" customHeight="1">
      <c r="A100" s="17" t="s">
        <v>314</v>
      </c>
      <c r="B100" s="17" t="s">
        <v>315</v>
      </c>
      <c r="C100" s="18">
        <v>13.0</v>
      </c>
      <c r="D100" s="17" t="s">
        <v>99</v>
      </c>
      <c r="E100" s="17" t="s">
        <v>176</v>
      </c>
      <c r="F100" s="18">
        <v>392.0</v>
      </c>
      <c r="G100" s="18">
        <v>339.0</v>
      </c>
      <c r="H100" s="18">
        <v>192.0</v>
      </c>
      <c r="I100" s="19">
        <v>0.566</v>
      </c>
      <c r="J100" s="18">
        <v>2425.0</v>
      </c>
      <c r="K100" s="18">
        <v>7.2</v>
      </c>
      <c r="L100" s="18">
        <v>16.0</v>
      </c>
      <c r="M100" s="18">
        <v>6.0</v>
      </c>
      <c r="N100" s="18">
        <v>20.0</v>
      </c>
      <c r="O100" s="18">
        <v>14.0</v>
      </c>
      <c r="P100" s="20">
        <f t="shared" si="1"/>
        <v>3.587903244</v>
      </c>
      <c r="Q100" s="20">
        <f t="shared" si="2"/>
        <v>50.75852691</v>
      </c>
      <c r="R100" s="24"/>
      <c r="S100" s="20">
        <v>3.587903243754139</v>
      </c>
      <c r="T100" s="22">
        <v>0.56</v>
      </c>
      <c r="W100" s="26">
        <v>0.9</v>
      </c>
      <c r="X100" s="22">
        <f t="shared" si="8"/>
        <v>0.5683669379</v>
      </c>
      <c r="Y100" s="20">
        <f t="shared" si="4"/>
        <v>27.50130668</v>
      </c>
      <c r="Z100" s="20">
        <f t="shared" si="6"/>
        <v>-23.25722023</v>
      </c>
      <c r="AA100" s="20"/>
      <c r="AB100" s="20">
        <f>IFERROR(__xludf.DUMMYFUNCTION("iferror(PERCENTRANK.INC(FILTER($X$2:$X$421, $U$2:$U$421&lt;3.75), $X100), 1)"),0.698)</f>
        <v>0.698</v>
      </c>
      <c r="AC100" s="20">
        <f>IFERROR(__xludf.DUMMYFUNCTION("iferror(PERCENTRANK.INC(FILTER($X$2:$X$421, $U$2:$U$421&lt;4.25), $X100), 1)"),0.684)</f>
        <v>0.684</v>
      </c>
      <c r="AD100" s="20">
        <f>IFERROR(__xludf.DUMMYFUNCTION("iferror(PERCENTRANK.INC(FILTER($X$2:$X$421, $U$2:$U$421&gt;=4.1), $X100), 0.01)"),0.01)</f>
        <v>0.01</v>
      </c>
      <c r="AE100" s="20"/>
    </row>
    <row r="101" ht="14.25" customHeight="1">
      <c r="A101" s="17" t="s">
        <v>316</v>
      </c>
      <c r="B101" s="17" t="s">
        <v>317</v>
      </c>
      <c r="C101" s="18">
        <v>9.0</v>
      </c>
      <c r="D101" s="17" t="s">
        <v>99</v>
      </c>
      <c r="E101" s="17" t="s">
        <v>111</v>
      </c>
      <c r="F101" s="18">
        <v>305.0</v>
      </c>
      <c r="G101" s="18">
        <v>256.0</v>
      </c>
      <c r="H101" s="18">
        <v>161.0</v>
      </c>
      <c r="I101" s="19">
        <v>0.629</v>
      </c>
      <c r="J101" s="18">
        <v>1987.0</v>
      </c>
      <c r="K101" s="18">
        <v>7.8</v>
      </c>
      <c r="L101" s="18">
        <v>13.0</v>
      </c>
      <c r="M101" s="18">
        <v>3.0</v>
      </c>
      <c r="N101" s="18">
        <v>20.0</v>
      </c>
      <c r="O101" s="18">
        <v>4.0</v>
      </c>
      <c r="P101" s="20">
        <f t="shared" si="1"/>
        <v>3.56792923</v>
      </c>
      <c r="Q101" s="20">
        <f t="shared" si="2"/>
        <v>50.52963575</v>
      </c>
      <c r="R101" s="24"/>
      <c r="S101" s="20">
        <v>3.5679292295081972</v>
      </c>
      <c r="T101" s="22">
        <v>1.42</v>
      </c>
      <c r="W101" s="26">
        <v>0.9</v>
      </c>
      <c r="X101" s="22">
        <f t="shared" si="8"/>
        <v>0.7481893844</v>
      </c>
      <c r="Y101" s="20">
        <f t="shared" si="4"/>
        <v>27.70826644</v>
      </c>
      <c r="Z101" s="20">
        <f t="shared" si="6"/>
        <v>-22.82136931</v>
      </c>
      <c r="AA101" s="20"/>
      <c r="AB101" s="20">
        <f>IFERROR(__xludf.DUMMYFUNCTION("iferror(PERCENTRANK.INC(FILTER($X$2:$X$421, $U$2:$U$421&lt;3.75), $X101), 1)"),0.793)</f>
        <v>0.793</v>
      </c>
      <c r="AC101" s="20">
        <f>IFERROR(__xludf.DUMMYFUNCTION("iferror(PERCENTRANK.INC(FILTER($X$2:$X$421, $U$2:$U$421&lt;4.25), $X101), 1)"),0.777)</f>
        <v>0.777</v>
      </c>
      <c r="AD101" s="20">
        <f>IFERROR(__xludf.DUMMYFUNCTION("iferror(PERCENTRANK.INC(FILTER($X$2:$X$421, $U$2:$U$421&gt;=4.1), $X101), 0.01)"),0.01)</f>
        <v>0.01</v>
      </c>
      <c r="AE101" s="20"/>
    </row>
    <row r="102" ht="14.25" customHeight="1">
      <c r="A102" s="17" t="s">
        <v>318</v>
      </c>
      <c r="B102" s="17" t="s">
        <v>319</v>
      </c>
      <c r="C102" s="18">
        <v>15.0</v>
      </c>
      <c r="D102" s="17" t="s">
        <v>99</v>
      </c>
      <c r="E102" s="17" t="s">
        <v>117</v>
      </c>
      <c r="F102" s="18">
        <v>346.0</v>
      </c>
      <c r="G102" s="18">
        <v>320.0</v>
      </c>
      <c r="H102" s="18">
        <v>174.0</v>
      </c>
      <c r="I102" s="19">
        <v>0.544</v>
      </c>
      <c r="J102" s="18">
        <v>2171.0</v>
      </c>
      <c r="K102" s="18">
        <v>6.8</v>
      </c>
      <c r="L102" s="18">
        <v>18.0</v>
      </c>
      <c r="M102" s="18">
        <v>7.0</v>
      </c>
      <c r="N102" s="18">
        <v>15.0</v>
      </c>
      <c r="O102" s="18">
        <v>9.0</v>
      </c>
      <c r="P102" s="20">
        <f t="shared" si="1"/>
        <v>3.386755399</v>
      </c>
      <c r="Q102" s="20">
        <f t="shared" si="2"/>
        <v>48.45348384</v>
      </c>
      <c r="R102" s="24"/>
      <c r="S102" s="20">
        <v>3.3867553988439307</v>
      </c>
      <c r="T102" s="22">
        <v>1.3</v>
      </c>
      <c r="U102" s="30"/>
      <c r="V102" s="30"/>
      <c r="W102" s="18">
        <v>0.9</v>
      </c>
      <c r="X102" s="22">
        <f t="shared" si="8"/>
        <v>0.7030133098</v>
      </c>
      <c r="Y102" s="20">
        <f t="shared" si="4"/>
        <v>27.65627277</v>
      </c>
      <c r="Z102" s="20">
        <f t="shared" si="6"/>
        <v>-20.79721107</v>
      </c>
      <c r="AA102" s="20"/>
      <c r="AB102" s="20">
        <f>IFERROR(__xludf.DUMMYFUNCTION("iferror(PERCENTRANK.INC(FILTER($X$2:$X$421, $U$2:$U$421&lt;3.75), $X102), 1)"),0.768)</f>
        <v>0.768</v>
      </c>
      <c r="AC102" s="20">
        <f>IFERROR(__xludf.DUMMYFUNCTION("iferror(PERCENTRANK.INC(FILTER($X$2:$X$421, $U$2:$U$421&lt;4.25), $X102), 1)"),0.752)</f>
        <v>0.752</v>
      </c>
      <c r="AD102" s="20">
        <f>IFERROR(__xludf.DUMMYFUNCTION("iferror(PERCENTRANK.INC(FILTER($X$2:$X$421, $U$2:$U$421&gt;=4.1), $X102), 0.01)"),0.01)</f>
        <v>0.01</v>
      </c>
      <c r="AE102" s="20"/>
    </row>
    <row r="103" ht="14.25" customHeight="1">
      <c r="A103" s="17" t="s">
        <v>320</v>
      </c>
      <c r="B103" s="17" t="s">
        <v>321</v>
      </c>
      <c r="C103" s="18">
        <v>2.0</v>
      </c>
      <c r="D103" s="17" t="s">
        <v>99</v>
      </c>
      <c r="E103" s="17" t="s">
        <v>100</v>
      </c>
      <c r="F103" s="18">
        <v>338.0</v>
      </c>
      <c r="G103" s="18">
        <v>299.0</v>
      </c>
      <c r="H103" s="18">
        <v>189.0</v>
      </c>
      <c r="I103" s="19">
        <v>0.632</v>
      </c>
      <c r="J103" s="18">
        <v>2306.0</v>
      </c>
      <c r="K103" s="18">
        <v>7.7</v>
      </c>
      <c r="L103" s="18">
        <v>20.0</v>
      </c>
      <c r="M103" s="18">
        <v>9.0</v>
      </c>
      <c r="N103" s="18">
        <v>12.0</v>
      </c>
      <c r="O103" s="18">
        <v>14.0</v>
      </c>
      <c r="P103" s="20">
        <f t="shared" si="1"/>
        <v>3.454262847</v>
      </c>
      <c r="Q103" s="20">
        <f t="shared" si="2"/>
        <v>49.22708187</v>
      </c>
      <c r="R103" s="24"/>
      <c r="S103" s="20">
        <v>3.454262847440185</v>
      </c>
      <c r="T103" s="22">
        <v>2.63</v>
      </c>
      <c r="W103" s="26">
        <v>0.9</v>
      </c>
      <c r="X103" s="22">
        <f t="shared" si="8"/>
        <v>0.9126394271</v>
      </c>
      <c r="Y103" s="20">
        <f t="shared" si="4"/>
        <v>27.89753392</v>
      </c>
      <c r="Z103" s="20">
        <f t="shared" si="6"/>
        <v>-21.32954795</v>
      </c>
      <c r="AA103" s="20"/>
      <c r="AB103" s="20">
        <f>IFERROR(__xludf.DUMMYFUNCTION("iferror(PERCENTRANK.INC(FILTER($X$2:$X$421, $U$2:$U$421&lt;3.75), $X103), 1)"),0.905)</f>
        <v>0.905</v>
      </c>
      <c r="AC103" s="20">
        <f>IFERROR(__xludf.DUMMYFUNCTION("iferror(PERCENTRANK.INC(FILTER($X$2:$X$421, $U$2:$U$421&lt;4.25), $X103), 1)"),0.887)</f>
        <v>0.887</v>
      </c>
      <c r="AD103" s="20">
        <f>IFERROR(__xludf.DUMMYFUNCTION("iferror(PERCENTRANK.INC(FILTER($X$2:$X$421, $U$2:$U$421&gt;=4.1), $X103), 0.01)"),0.01)</f>
        <v>0.01</v>
      </c>
      <c r="AE103" s="20"/>
    </row>
    <row r="104" ht="14.25" customHeight="1">
      <c r="A104" s="17" t="s">
        <v>322</v>
      </c>
      <c r="B104" s="17" t="s">
        <v>323</v>
      </c>
      <c r="C104" s="18">
        <v>1.0</v>
      </c>
      <c r="D104" s="17" t="s">
        <v>99</v>
      </c>
      <c r="E104" s="17" t="s">
        <v>188</v>
      </c>
      <c r="F104" s="18">
        <v>439.0</v>
      </c>
      <c r="G104" s="18">
        <v>427.0</v>
      </c>
      <c r="H104" s="18">
        <v>238.0</v>
      </c>
      <c r="I104" s="19">
        <v>0.557</v>
      </c>
      <c r="J104" s="18">
        <v>3116.0</v>
      </c>
      <c r="K104" s="18">
        <v>7.3</v>
      </c>
      <c r="L104" s="18">
        <v>15.0</v>
      </c>
      <c r="M104" s="18">
        <v>9.0</v>
      </c>
      <c r="N104" s="18">
        <v>2.0</v>
      </c>
      <c r="O104" s="18">
        <v>11.0</v>
      </c>
      <c r="P104" s="20">
        <f t="shared" si="1"/>
        <v>3.493534292</v>
      </c>
      <c r="Q104" s="20">
        <f t="shared" si="2"/>
        <v>49.67711091</v>
      </c>
      <c r="R104" s="24"/>
      <c r="S104" s="20">
        <v>3.4935342920465398</v>
      </c>
      <c r="T104" s="22">
        <v>1.82</v>
      </c>
      <c r="W104" s="26">
        <v>0.9</v>
      </c>
      <c r="X104" s="22">
        <f t="shared" si="8"/>
        <v>0.7708286366</v>
      </c>
      <c r="Y104" s="20">
        <f t="shared" si="4"/>
        <v>27.73432222</v>
      </c>
      <c r="Z104" s="20">
        <f t="shared" si="6"/>
        <v>-21.94278868</v>
      </c>
      <c r="AA104" s="20"/>
      <c r="AB104" s="20">
        <f>IFERROR(__xludf.DUMMYFUNCTION("iferror(PERCENTRANK.INC(FILTER($X$2:$X$421, $U$2:$U$421&lt;3.75), $X104), 1)"),0.803)</f>
        <v>0.803</v>
      </c>
      <c r="AC104" s="20">
        <f>IFERROR(__xludf.DUMMYFUNCTION("iferror(PERCENTRANK.INC(FILTER($X$2:$X$421, $U$2:$U$421&lt;4.25), $X104), 1)"),0.787)</f>
        <v>0.787</v>
      </c>
      <c r="AD104" s="20">
        <f>IFERROR(__xludf.DUMMYFUNCTION("iferror(PERCENTRANK.INC(FILTER($X$2:$X$421, $U$2:$U$421&gt;=4.1), $X104), 0.01)"),0.01)</f>
        <v>0.01</v>
      </c>
      <c r="AE104" s="20"/>
    </row>
    <row r="105" ht="14.25" customHeight="1">
      <c r="A105" s="17" t="s">
        <v>324</v>
      </c>
      <c r="B105" s="17" t="s">
        <v>325</v>
      </c>
      <c r="C105" s="18">
        <v>10.0</v>
      </c>
      <c r="D105" s="17" t="s">
        <v>99</v>
      </c>
      <c r="E105" s="17" t="s">
        <v>146</v>
      </c>
      <c r="F105" s="18">
        <v>358.0</v>
      </c>
      <c r="G105" s="18">
        <v>309.0</v>
      </c>
      <c r="H105" s="18">
        <v>200.0</v>
      </c>
      <c r="I105" s="19">
        <v>0.647</v>
      </c>
      <c r="J105" s="18">
        <v>2444.0</v>
      </c>
      <c r="K105" s="18">
        <v>7.9</v>
      </c>
      <c r="L105" s="18">
        <v>12.0</v>
      </c>
      <c r="M105" s="18">
        <v>5.0</v>
      </c>
      <c r="N105" s="18">
        <v>28.0</v>
      </c>
      <c r="O105" s="18">
        <v>10.0</v>
      </c>
      <c r="P105" s="20">
        <f t="shared" si="1"/>
        <v>3.401626742</v>
      </c>
      <c r="Q105" s="20">
        <f t="shared" si="2"/>
        <v>48.6239012</v>
      </c>
      <c r="R105" s="25"/>
      <c r="S105" s="20">
        <v>3.4016267418596664</v>
      </c>
      <c r="T105" s="22">
        <v>0.79</v>
      </c>
      <c r="U105" s="31"/>
      <c r="V105" s="30"/>
      <c r="W105" s="18">
        <v>0.9</v>
      </c>
      <c r="X105" s="22">
        <f t="shared" si="8"/>
        <v>0.6287440113</v>
      </c>
      <c r="Y105" s="20">
        <f t="shared" si="4"/>
        <v>27.57079536</v>
      </c>
      <c r="Z105" s="20">
        <f t="shared" si="6"/>
        <v>-21.05310584</v>
      </c>
      <c r="AA105" s="20"/>
      <c r="AB105" s="20">
        <f>IFERROR(__xludf.DUMMYFUNCTION("iferror(PERCENTRANK.INC(FILTER($X$2:$X$421, $U$2:$U$421&lt;3.75), $X105), 1)"),0.733)</f>
        <v>0.733</v>
      </c>
      <c r="AC105" s="20">
        <f>IFERROR(__xludf.DUMMYFUNCTION("iferror(PERCENTRANK.INC(FILTER($X$2:$X$421, $U$2:$U$421&lt;4.25), $X105), 1)"),0.718)</f>
        <v>0.718</v>
      </c>
      <c r="AD105" s="20">
        <f>IFERROR(__xludf.DUMMYFUNCTION("iferror(PERCENTRANK.INC(FILTER($X$2:$X$421, $U$2:$U$421&gt;=4.1), $X105), 0.01)"),0.01)</f>
        <v>0.01</v>
      </c>
      <c r="AE105" s="20"/>
    </row>
    <row r="106" ht="14.25" customHeight="1">
      <c r="A106" s="17" t="s">
        <v>326</v>
      </c>
      <c r="B106" s="17" t="s">
        <v>327</v>
      </c>
      <c r="C106" s="18">
        <v>3.0</v>
      </c>
      <c r="D106" s="17" t="s">
        <v>99</v>
      </c>
      <c r="E106" s="17" t="s">
        <v>130</v>
      </c>
      <c r="F106" s="18">
        <v>531.0</v>
      </c>
      <c r="G106" s="18">
        <v>481.0</v>
      </c>
      <c r="H106" s="18">
        <v>295.0</v>
      </c>
      <c r="I106" s="19">
        <v>0.613</v>
      </c>
      <c r="J106" s="18">
        <v>3177.0</v>
      </c>
      <c r="K106" s="18">
        <v>6.6</v>
      </c>
      <c r="L106" s="18">
        <v>17.0</v>
      </c>
      <c r="M106" s="18">
        <v>10.0</v>
      </c>
      <c r="N106" s="18">
        <v>30.0</v>
      </c>
      <c r="O106" s="18">
        <v>17.0</v>
      </c>
      <c r="P106" s="20">
        <f t="shared" si="1"/>
        <v>3.425119397</v>
      </c>
      <c r="Q106" s="20">
        <f t="shared" si="2"/>
        <v>48.89311404</v>
      </c>
      <c r="R106" s="24"/>
      <c r="S106" s="20">
        <v>3.425119396584329</v>
      </c>
      <c r="T106" s="22">
        <v>-1.25</v>
      </c>
      <c r="W106" s="26">
        <v>1.0</v>
      </c>
      <c r="X106" s="22">
        <f t="shared" si="8"/>
        <v>0.2748911185</v>
      </c>
      <c r="Y106" s="20">
        <f t="shared" si="4"/>
        <v>27.16354193</v>
      </c>
      <c r="Z106" s="20">
        <f t="shared" si="6"/>
        <v>-21.72957211</v>
      </c>
      <c r="AA106" s="20"/>
      <c r="AB106" s="20">
        <f>IFERROR(__xludf.DUMMYFUNCTION("iferror(PERCENTRANK.INC(FILTER($X$2:$X$421, $U$2:$U$421&lt;3.75), $X106), 1)"),0.53)</f>
        <v>0.53</v>
      </c>
      <c r="AC106" s="20">
        <f>IFERROR(__xludf.DUMMYFUNCTION("iferror(PERCENTRANK.INC(FILTER($X$2:$X$421, $U$2:$U$421&lt;4.25), $X106), 1)"),0.52)</f>
        <v>0.52</v>
      </c>
      <c r="AD106" s="20">
        <f>IFERROR(__xludf.DUMMYFUNCTION("iferror(PERCENTRANK.INC(FILTER($X$2:$X$421, $U$2:$U$421&gt;=4.1), $X106), 0.01)"),0.01)</f>
        <v>0.01</v>
      </c>
      <c r="AE106" s="20"/>
    </row>
    <row r="107" ht="14.25" customHeight="1">
      <c r="A107" s="17" t="s">
        <v>328</v>
      </c>
      <c r="B107" s="17" t="s">
        <v>329</v>
      </c>
      <c r="C107" s="18">
        <v>2.0</v>
      </c>
      <c r="D107" s="17" t="s">
        <v>99</v>
      </c>
      <c r="E107" s="17" t="s">
        <v>102</v>
      </c>
      <c r="F107" s="18">
        <v>391.0</v>
      </c>
      <c r="G107" s="18">
        <v>356.0</v>
      </c>
      <c r="H107" s="18">
        <v>209.0</v>
      </c>
      <c r="I107" s="19">
        <v>0.587</v>
      </c>
      <c r="J107" s="18">
        <v>2425.0</v>
      </c>
      <c r="K107" s="18">
        <v>6.8</v>
      </c>
      <c r="L107" s="18">
        <v>18.0</v>
      </c>
      <c r="M107" s="18">
        <v>8.0</v>
      </c>
      <c r="N107" s="18">
        <v>10.0</v>
      </c>
      <c r="O107" s="18">
        <v>18.0</v>
      </c>
      <c r="P107" s="20">
        <f t="shared" si="1"/>
        <v>3.390084114</v>
      </c>
      <c r="Q107" s="20">
        <f t="shared" si="2"/>
        <v>48.49162907</v>
      </c>
      <c r="R107" s="24"/>
      <c r="S107" s="20">
        <v>3.3900841142274203</v>
      </c>
      <c r="T107" s="22">
        <v>1.36</v>
      </c>
      <c r="U107" s="30"/>
      <c r="V107" s="30"/>
      <c r="W107" s="18">
        <v>1.0</v>
      </c>
      <c r="X107" s="22">
        <f t="shared" si="8"/>
        <v>0.6616613554</v>
      </c>
      <c r="Y107" s="20">
        <f t="shared" si="4"/>
        <v>27.60868032</v>
      </c>
      <c r="Z107" s="20">
        <f t="shared" si="6"/>
        <v>-20.88294875</v>
      </c>
      <c r="AA107" s="20"/>
      <c r="AB107" s="20">
        <f>IFERROR(__xludf.DUMMYFUNCTION("iferror(PERCENTRANK.INC(FILTER($X$2:$X$421, $U$2:$U$421&lt;3.75), $X107), 1)"),0.75)</f>
        <v>0.75</v>
      </c>
      <c r="AC107" s="20">
        <f>IFERROR(__xludf.DUMMYFUNCTION("iferror(PERCENTRANK.INC(FILTER($X$2:$X$421, $U$2:$U$421&lt;4.25), $X107), 1)"),0.735)</f>
        <v>0.735</v>
      </c>
      <c r="AD107" s="20">
        <f>IFERROR(__xludf.DUMMYFUNCTION("iferror(PERCENTRANK.INC(FILTER($X$2:$X$421, $U$2:$U$421&gt;=4.1), $X107), 0.01)"),0.01)</f>
        <v>0.01</v>
      </c>
      <c r="AE107" s="20"/>
    </row>
    <row r="108" ht="14.25" customHeight="1">
      <c r="A108" s="17" t="s">
        <v>330</v>
      </c>
      <c r="B108" s="17" t="s">
        <v>331</v>
      </c>
      <c r="C108" s="18">
        <v>10.0</v>
      </c>
      <c r="D108" s="17" t="s">
        <v>99</v>
      </c>
      <c r="E108" s="17" t="s">
        <v>179</v>
      </c>
      <c r="F108" s="18">
        <v>417.0</v>
      </c>
      <c r="G108" s="18">
        <v>346.0</v>
      </c>
      <c r="H108" s="18">
        <v>208.0</v>
      </c>
      <c r="I108" s="19">
        <v>0.601</v>
      </c>
      <c r="J108" s="18">
        <v>2827.0</v>
      </c>
      <c r="K108" s="18">
        <v>8.2</v>
      </c>
      <c r="L108" s="18">
        <v>19.0</v>
      </c>
      <c r="M108" s="18">
        <v>12.0</v>
      </c>
      <c r="N108" s="18">
        <v>27.0</v>
      </c>
      <c r="O108" s="18">
        <v>22.0</v>
      </c>
      <c r="P108" s="20">
        <f t="shared" si="1"/>
        <v>3.178191747</v>
      </c>
      <c r="Q108" s="20">
        <f t="shared" si="2"/>
        <v>46.06345971</v>
      </c>
      <c r="R108" s="24"/>
      <c r="S108" s="20">
        <v>3.178191746538029</v>
      </c>
      <c r="T108" s="22">
        <v>1.19</v>
      </c>
      <c r="U108" s="30"/>
      <c r="V108" s="30"/>
      <c r="W108" s="18">
        <v>1.0</v>
      </c>
      <c r="X108" s="22">
        <f t="shared" si="8"/>
        <v>0.6075558858</v>
      </c>
      <c r="Y108" s="20">
        <f t="shared" si="4"/>
        <v>27.5464097</v>
      </c>
      <c r="Z108" s="20">
        <f t="shared" si="6"/>
        <v>-18.51705001</v>
      </c>
      <c r="AA108" s="20"/>
      <c r="AB108" s="20">
        <f>IFERROR(__xludf.DUMMYFUNCTION("iferror(PERCENTRANK.INC(FILTER($X$2:$X$421, $U$2:$U$421&lt;3.75), $X108), 1)"),0.725)</f>
        <v>0.725</v>
      </c>
      <c r="AC108" s="20">
        <f>IFERROR(__xludf.DUMMYFUNCTION("iferror(PERCENTRANK.INC(FILTER($X$2:$X$421, $U$2:$U$421&lt;4.25), $X108), 1)"),0.711)</f>
        <v>0.711</v>
      </c>
      <c r="AD108" s="20">
        <f>IFERROR(__xludf.DUMMYFUNCTION("iferror(PERCENTRANK.INC(FILTER($X$2:$X$421, $U$2:$U$421&gt;=4.1), $X108), 0.01)"),0.01)</f>
        <v>0.01</v>
      </c>
      <c r="AE108" s="20"/>
    </row>
    <row r="109" ht="14.25" customHeight="1">
      <c r="A109" s="17" t="s">
        <v>332</v>
      </c>
      <c r="B109" s="17" t="s">
        <v>333</v>
      </c>
      <c r="C109" s="18">
        <v>1.0</v>
      </c>
      <c r="D109" s="17" t="s">
        <v>99</v>
      </c>
      <c r="E109" s="17" t="s">
        <v>149</v>
      </c>
      <c r="F109" s="18">
        <v>466.0</v>
      </c>
      <c r="G109" s="18">
        <v>432.0</v>
      </c>
      <c r="H109" s="18">
        <v>254.0</v>
      </c>
      <c r="I109" s="19">
        <v>0.588</v>
      </c>
      <c r="J109" s="18">
        <v>2910.0</v>
      </c>
      <c r="K109" s="18">
        <v>6.7</v>
      </c>
      <c r="L109" s="18">
        <v>18.0</v>
      </c>
      <c r="M109" s="18">
        <v>11.0</v>
      </c>
      <c r="N109" s="18">
        <v>12.0</v>
      </c>
      <c r="O109" s="18">
        <v>16.0</v>
      </c>
      <c r="P109" s="20">
        <f t="shared" si="1"/>
        <v>3.174735297</v>
      </c>
      <c r="Q109" s="20">
        <f t="shared" si="2"/>
        <v>46.02385072</v>
      </c>
      <c r="R109" s="25"/>
      <c r="S109" s="20">
        <v>3.174735297408997</v>
      </c>
      <c r="T109" s="22">
        <v>1.09</v>
      </c>
      <c r="U109" s="31"/>
      <c r="V109" s="30"/>
      <c r="W109" s="18">
        <v>0.95</v>
      </c>
      <c r="X109" s="22">
        <f t="shared" si="8"/>
        <v>0.5920892652</v>
      </c>
      <c r="Y109" s="20">
        <f t="shared" si="4"/>
        <v>27.52860899</v>
      </c>
      <c r="Z109" s="20">
        <f t="shared" si="6"/>
        <v>-18.49524173</v>
      </c>
      <c r="AA109" s="20"/>
      <c r="AB109" s="20">
        <f>IFERROR(__xludf.DUMMYFUNCTION("iferror(PERCENTRANK.INC(FILTER($X$2:$X$421, $U$2:$U$421&lt;3.75), $X109), 1)"),0.71)</f>
        <v>0.71</v>
      </c>
      <c r="AC109" s="20">
        <f>IFERROR(__xludf.DUMMYFUNCTION("iferror(PERCENTRANK.INC(FILTER($X$2:$X$421, $U$2:$U$421&lt;4.25), $X109), 1)"),0.696)</f>
        <v>0.696</v>
      </c>
      <c r="AD109" s="20">
        <f>IFERROR(__xludf.DUMMYFUNCTION("iferror(PERCENTRANK.INC(FILTER($X$2:$X$421, $U$2:$U$421&gt;=4.1), $X109), 0.01)"),0.01)</f>
        <v>0.01</v>
      </c>
      <c r="AE109" s="20"/>
    </row>
    <row r="110" ht="14.25" customHeight="1">
      <c r="A110" s="17" t="s">
        <v>334</v>
      </c>
      <c r="B110" s="17" t="s">
        <v>335</v>
      </c>
      <c r="C110" s="18">
        <v>7.0</v>
      </c>
      <c r="D110" s="17" t="s">
        <v>99</v>
      </c>
      <c r="E110" s="17" t="s">
        <v>130</v>
      </c>
      <c r="F110" s="18">
        <v>409.0</v>
      </c>
      <c r="G110" s="18">
        <v>377.0</v>
      </c>
      <c r="H110" s="18">
        <v>237.0</v>
      </c>
      <c r="I110" s="19">
        <v>0.629</v>
      </c>
      <c r="J110" s="18">
        <v>2678.0</v>
      </c>
      <c r="K110" s="18">
        <v>7.1</v>
      </c>
      <c r="L110" s="18">
        <v>14.0</v>
      </c>
      <c r="M110" s="18">
        <v>7.0</v>
      </c>
      <c r="N110" s="18">
        <v>20.0</v>
      </c>
      <c r="O110" s="18">
        <v>19.0</v>
      </c>
      <c r="P110" s="20">
        <f t="shared" si="1"/>
        <v>3.331584942</v>
      </c>
      <c r="Q110" s="20">
        <f t="shared" si="2"/>
        <v>47.82126091</v>
      </c>
      <c r="R110" s="25"/>
      <c r="S110" s="20">
        <v>3.331584942111509</v>
      </c>
      <c r="T110" s="22">
        <v>0.33</v>
      </c>
      <c r="W110" s="26">
        <v>1.0</v>
      </c>
      <c r="X110" s="22">
        <f t="shared" si="8"/>
        <v>0.5242508543</v>
      </c>
      <c r="Y110" s="20">
        <f t="shared" si="4"/>
        <v>27.45053297</v>
      </c>
      <c r="Z110" s="20">
        <f t="shared" si="6"/>
        <v>-20.37072795</v>
      </c>
      <c r="AA110" s="20"/>
      <c r="AB110" s="20">
        <f>IFERROR(__xludf.DUMMYFUNCTION("iferror(PERCENTRANK.INC(FILTER($X$2:$X$421, $U$2:$U$421&lt;3.75), $X110), 1)"),0.665)</f>
        <v>0.665</v>
      </c>
      <c r="AC110" s="20">
        <f>IFERROR(__xludf.DUMMYFUNCTION("iferror(PERCENTRANK.INC(FILTER($X$2:$X$421, $U$2:$U$421&lt;4.25), $X110), 1)"),0.652)</f>
        <v>0.652</v>
      </c>
      <c r="AD110" s="20">
        <f>IFERROR(__xludf.DUMMYFUNCTION("iferror(PERCENTRANK.INC(FILTER($X$2:$X$421, $U$2:$U$421&gt;=4.1), $X110), 0.01)"),0.01)</f>
        <v>0.01</v>
      </c>
      <c r="AE110" s="20"/>
    </row>
    <row r="111" ht="14.25" customHeight="1">
      <c r="A111" s="17" t="s">
        <v>336</v>
      </c>
      <c r="B111" s="17" t="s">
        <v>337</v>
      </c>
      <c r="C111" s="18">
        <v>11.0</v>
      </c>
      <c r="D111" s="17" t="s">
        <v>99</v>
      </c>
      <c r="E111" s="17" t="s">
        <v>141</v>
      </c>
      <c r="F111" s="18">
        <v>398.0</v>
      </c>
      <c r="G111" s="18">
        <v>364.0</v>
      </c>
      <c r="H111" s="18">
        <v>228.0</v>
      </c>
      <c r="I111" s="19">
        <v>0.626</v>
      </c>
      <c r="J111" s="18">
        <v>2274.0</v>
      </c>
      <c r="K111" s="18">
        <v>6.3</v>
      </c>
      <c r="L111" s="18">
        <v>16.0</v>
      </c>
      <c r="M111" s="18">
        <v>7.0</v>
      </c>
      <c r="N111" s="18">
        <v>16.0</v>
      </c>
      <c r="O111" s="18">
        <v>12.0</v>
      </c>
      <c r="P111" s="20">
        <f t="shared" si="1"/>
        <v>3.159007369</v>
      </c>
      <c r="Q111" s="20">
        <f t="shared" si="2"/>
        <v>45.84361735</v>
      </c>
      <c r="R111" s="24"/>
      <c r="S111" s="20">
        <v>3.1590073686012476</v>
      </c>
      <c r="T111" s="22">
        <v>-0.44</v>
      </c>
      <c r="U111" s="30"/>
      <c r="V111" s="30"/>
      <c r="W111" s="18">
        <v>0.9</v>
      </c>
      <c r="X111" s="22">
        <f t="shared" si="8"/>
        <v>0.38415855</v>
      </c>
      <c r="Y111" s="20">
        <f t="shared" si="4"/>
        <v>27.28929909</v>
      </c>
      <c r="Z111" s="20">
        <f t="shared" si="6"/>
        <v>-18.55431826</v>
      </c>
      <c r="AA111" s="20"/>
      <c r="AB111" s="20">
        <f>IFERROR(__xludf.DUMMYFUNCTION("iferror(PERCENTRANK.INC(FILTER($X$2:$X$421, $U$2:$U$421&lt;3.75), $X111), 1)"),0.588)</f>
        <v>0.588</v>
      </c>
      <c r="AC111" s="20">
        <f>IFERROR(__xludf.DUMMYFUNCTION("iferror(PERCENTRANK.INC(FILTER($X$2:$X$421, $U$2:$U$421&lt;4.25), $X111), 1)"),0.576)</f>
        <v>0.576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338</v>
      </c>
      <c r="B112" s="17" t="s">
        <v>339</v>
      </c>
      <c r="C112" s="18">
        <v>8.0</v>
      </c>
      <c r="D112" s="17" t="s">
        <v>99</v>
      </c>
      <c r="E112" s="17" t="s">
        <v>105</v>
      </c>
      <c r="F112" s="18">
        <v>366.0</v>
      </c>
      <c r="G112" s="18">
        <v>301.0</v>
      </c>
      <c r="H112" s="18">
        <v>209.0</v>
      </c>
      <c r="I112" s="19">
        <v>0.694</v>
      </c>
      <c r="J112" s="18">
        <v>2044.0</v>
      </c>
      <c r="K112" s="18">
        <v>6.8</v>
      </c>
      <c r="L112" s="18">
        <v>10.0</v>
      </c>
      <c r="M112" s="18">
        <v>2.0</v>
      </c>
      <c r="N112" s="18">
        <v>24.0</v>
      </c>
      <c r="O112" s="18">
        <v>8.0</v>
      </c>
      <c r="P112" s="20">
        <f t="shared" si="1"/>
        <v>3.305221771</v>
      </c>
      <c r="Q112" s="20">
        <f t="shared" si="2"/>
        <v>47.51915355</v>
      </c>
      <c r="R112" s="24"/>
      <c r="S112" s="20">
        <v>3.3052217710364356</v>
      </c>
      <c r="T112" s="22">
        <v>0.86</v>
      </c>
      <c r="U112" s="30"/>
      <c r="V112" s="30"/>
      <c r="W112" s="18">
        <v>0.9</v>
      </c>
      <c r="X112" s="22">
        <f>IFERROR((U112*0.7+T112*0.15+S112*0.15*#REF!),0)</f>
        <v>0</v>
      </c>
      <c r="Y112" s="20">
        <f t="shared" si="4"/>
        <v>26.84716652</v>
      </c>
      <c r="Z112" s="20">
        <f t="shared" si="6"/>
        <v>-20.67198703</v>
      </c>
      <c r="AA112" s="20"/>
      <c r="AB112" s="20">
        <f>IFERROR(__xludf.DUMMYFUNCTION("iferror(PERCENTRANK.INC(FILTER($X$2:$X$421, $U$2:$U$421&lt;3.75), $X112), 1)"),0.255)</f>
        <v>0.255</v>
      </c>
      <c r="AC112" s="20">
        <f>IFERROR(__xludf.DUMMYFUNCTION("iferror(PERCENTRANK.INC(FILTER($X$2:$X$421, $U$2:$U$421&lt;4.25), $X112), 1)"),0.25)</f>
        <v>0.25</v>
      </c>
      <c r="AD112" s="20">
        <f>IFERROR(__xludf.DUMMYFUNCTION("iferror(PERCENTRANK.INC(FILTER($X$2:$X$421, $U$2:$U$421&gt;=4.1), $X112), 0.01)"),0.01)</f>
        <v>0.01</v>
      </c>
      <c r="AE112" s="20"/>
    </row>
    <row r="113" ht="14.25" customHeight="1">
      <c r="A113" s="17" t="s">
        <v>340</v>
      </c>
      <c r="B113" s="17" t="s">
        <v>341</v>
      </c>
      <c r="C113" s="18">
        <v>2.0</v>
      </c>
      <c r="D113" s="17" t="s">
        <v>99</v>
      </c>
      <c r="E113" s="17" t="s">
        <v>135</v>
      </c>
      <c r="F113" s="18">
        <v>393.0</v>
      </c>
      <c r="G113" s="18">
        <v>318.0</v>
      </c>
      <c r="H113" s="18">
        <v>213.0</v>
      </c>
      <c r="I113" s="19">
        <v>0.67</v>
      </c>
      <c r="J113" s="18">
        <v>2174.0</v>
      </c>
      <c r="K113" s="18">
        <v>6.8</v>
      </c>
      <c r="L113" s="18">
        <v>16.0</v>
      </c>
      <c r="M113" s="18">
        <v>7.0</v>
      </c>
      <c r="N113" s="18">
        <v>25.0</v>
      </c>
      <c r="O113" s="18">
        <v>10.0</v>
      </c>
      <c r="P113" s="20">
        <f t="shared" si="1"/>
        <v>3.127119536</v>
      </c>
      <c r="Q113" s="20">
        <f t="shared" si="2"/>
        <v>45.47820042</v>
      </c>
      <c r="R113" s="24"/>
      <c r="S113" s="20">
        <v>3.127119535743434</v>
      </c>
      <c r="T113" s="22">
        <v>3.72</v>
      </c>
      <c r="W113" s="26">
        <v>0.9</v>
      </c>
      <c r="X113" s="22">
        <f t="shared" ref="X113:X116" si="9">IFERROR((U113*0.7+T113*0.15+S113*0.15*W117),0)</f>
        <v>1.02706793</v>
      </c>
      <c r="Y113" s="20">
        <f t="shared" si="4"/>
        <v>28.02923103</v>
      </c>
      <c r="Z113" s="20">
        <f t="shared" si="6"/>
        <v>-17.44896939</v>
      </c>
      <c r="AA113" s="20"/>
      <c r="AB113" s="20">
        <f>IFERROR(__xludf.DUMMYFUNCTION("iferror(PERCENTRANK.INC(FILTER($X$2:$X$421, $U$2:$U$421&lt;3.75), $X113), 1)"),0.938)</f>
        <v>0.938</v>
      </c>
      <c r="AC113" s="20">
        <f>IFERROR(__xludf.DUMMYFUNCTION("iferror(PERCENTRANK.INC(FILTER($X$2:$X$421, $U$2:$U$421&lt;4.25), $X113), 1)"),0.919)</f>
        <v>0.919</v>
      </c>
      <c r="AD113" s="20">
        <f>IFERROR(__xludf.DUMMYFUNCTION("iferror(PERCENTRANK.INC(FILTER($X$2:$X$421, $U$2:$U$421&gt;=4.1), $X113), 0.01)"),0.01)</f>
        <v>0.01</v>
      </c>
      <c r="AE113" s="20"/>
    </row>
    <row r="114" ht="14.25" customHeight="1">
      <c r="A114" s="17" t="s">
        <v>342</v>
      </c>
      <c r="B114" s="17" t="s">
        <v>343</v>
      </c>
      <c r="C114" s="18">
        <v>10.0</v>
      </c>
      <c r="D114" s="17" t="s">
        <v>99</v>
      </c>
      <c r="E114" s="17" t="s">
        <v>105</v>
      </c>
      <c r="F114" s="18">
        <v>184.0</v>
      </c>
      <c r="G114" s="18">
        <v>148.0</v>
      </c>
      <c r="H114" s="18">
        <v>86.0</v>
      </c>
      <c r="I114" s="19">
        <v>0.581</v>
      </c>
      <c r="J114" s="18">
        <v>1306.0</v>
      </c>
      <c r="K114" s="18">
        <v>8.8</v>
      </c>
      <c r="L114" s="18">
        <v>10.0</v>
      </c>
      <c r="M114" s="18">
        <v>1.0</v>
      </c>
      <c r="N114" s="18">
        <v>8.0</v>
      </c>
      <c r="O114" s="18">
        <v>4.0</v>
      </c>
      <c r="P114" s="20">
        <f t="shared" si="1"/>
        <v>3.215767118</v>
      </c>
      <c r="Q114" s="20">
        <f t="shared" si="2"/>
        <v>46.49405269</v>
      </c>
      <c r="R114" s="24"/>
      <c r="S114" s="20">
        <v>3.215767117508813</v>
      </c>
      <c r="T114" s="22">
        <v>1.58</v>
      </c>
      <c r="U114" s="30"/>
      <c r="V114" s="30"/>
      <c r="W114" s="18">
        <v>0.9</v>
      </c>
      <c r="X114" s="22">
        <f t="shared" si="9"/>
        <v>0.7193650676</v>
      </c>
      <c r="Y114" s="20">
        <f t="shared" si="4"/>
        <v>27.6750922</v>
      </c>
      <c r="Z114" s="20">
        <f t="shared" si="6"/>
        <v>-18.81896049</v>
      </c>
      <c r="AA114" s="20"/>
      <c r="AB114" s="20">
        <f>IFERROR(__xludf.DUMMYFUNCTION("iferror(PERCENTRANK.INC(FILTER($X$2:$X$421, $U$2:$U$421&lt;3.75), $X114), 1)"),0.778)</f>
        <v>0.778</v>
      </c>
      <c r="AC114" s="20">
        <f>IFERROR(__xludf.DUMMYFUNCTION("iferror(PERCENTRANK.INC(FILTER($X$2:$X$421, $U$2:$U$421&lt;4.25), $X114), 1)"),0.762)</f>
        <v>0.762</v>
      </c>
      <c r="AD114" s="20">
        <f>IFERROR(__xludf.DUMMYFUNCTION("iferror(PERCENTRANK.INC(FILTER($X$2:$X$421, $U$2:$U$421&gt;=4.1), $X114), 0.01)"),0.01)</f>
        <v>0.01</v>
      </c>
      <c r="AE114" s="20"/>
    </row>
    <row r="115" ht="14.25" customHeight="1">
      <c r="A115" s="17" t="s">
        <v>344</v>
      </c>
      <c r="B115" s="17" t="s">
        <v>345</v>
      </c>
      <c r="C115" s="18">
        <v>11.0</v>
      </c>
      <c r="D115" s="17" t="s">
        <v>99</v>
      </c>
      <c r="E115" s="17" t="s">
        <v>120</v>
      </c>
      <c r="F115" s="18">
        <v>433.0</v>
      </c>
      <c r="G115" s="18">
        <v>379.0</v>
      </c>
      <c r="H115" s="18">
        <v>225.0</v>
      </c>
      <c r="I115" s="19">
        <v>0.594</v>
      </c>
      <c r="J115" s="18">
        <v>2218.0</v>
      </c>
      <c r="K115" s="18">
        <v>5.8</v>
      </c>
      <c r="L115" s="18">
        <v>16.0</v>
      </c>
      <c r="M115" s="18">
        <v>7.0</v>
      </c>
      <c r="N115" s="18">
        <v>22.0</v>
      </c>
      <c r="O115" s="18">
        <v>6.0</v>
      </c>
      <c r="P115" s="20">
        <f t="shared" si="1"/>
        <v>3.047084778</v>
      </c>
      <c r="Q115" s="20">
        <f t="shared" si="2"/>
        <v>44.56104636</v>
      </c>
      <c r="R115" s="24"/>
      <c r="S115" s="20">
        <v>3.0470847782605257</v>
      </c>
      <c r="T115" s="22">
        <v>-0.85</v>
      </c>
      <c r="U115" s="30"/>
      <c r="V115" s="30"/>
      <c r="W115" s="18">
        <v>0.95</v>
      </c>
      <c r="X115" s="22">
        <f t="shared" si="9"/>
        <v>0.2838564451</v>
      </c>
      <c r="Y115" s="20">
        <f t="shared" si="4"/>
        <v>27.17386022</v>
      </c>
      <c r="Z115" s="20">
        <f t="shared" si="6"/>
        <v>-17.38718613</v>
      </c>
      <c r="AA115" s="20"/>
      <c r="AB115" s="20">
        <f>IFERROR(__xludf.DUMMYFUNCTION("iferror(PERCENTRANK.INC(FILTER($X$2:$X$421, $U$2:$U$421&lt;3.75), $X115), 1)"),0.533)</f>
        <v>0.533</v>
      </c>
      <c r="AC115" s="20">
        <f>IFERROR(__xludf.DUMMYFUNCTION("iferror(PERCENTRANK.INC(FILTER($X$2:$X$421, $U$2:$U$421&lt;4.25), $X115), 1)"),0.522)</f>
        <v>0.522</v>
      </c>
      <c r="AD115" s="20">
        <f>IFERROR(__xludf.DUMMYFUNCTION("iferror(PERCENTRANK.INC(FILTER($X$2:$X$421, $U$2:$U$421&gt;=4.1), $X115), 0.01)"),0.01)</f>
        <v>0.01</v>
      </c>
      <c r="AE115" s="20"/>
    </row>
    <row r="116" ht="14.25" customHeight="1">
      <c r="A116" s="17" t="s">
        <v>346</v>
      </c>
      <c r="B116" s="17" t="s">
        <v>347</v>
      </c>
      <c r="C116" s="18">
        <v>8.0</v>
      </c>
      <c r="D116" s="17" t="s">
        <v>99</v>
      </c>
      <c r="E116" s="17" t="s">
        <v>108</v>
      </c>
      <c r="F116" s="18">
        <v>227.0</v>
      </c>
      <c r="G116" s="18">
        <v>202.0</v>
      </c>
      <c r="H116" s="18">
        <v>128.0</v>
      </c>
      <c r="I116" s="19">
        <v>0.634</v>
      </c>
      <c r="J116" s="18">
        <v>1337.0</v>
      </c>
      <c r="K116" s="18">
        <v>6.6</v>
      </c>
      <c r="L116" s="18">
        <v>13.0</v>
      </c>
      <c r="M116" s="18">
        <v>2.0</v>
      </c>
      <c r="N116" s="18">
        <v>8.0</v>
      </c>
      <c r="O116" s="18">
        <v>3.0</v>
      </c>
      <c r="P116" s="20">
        <f t="shared" si="1"/>
        <v>3.110914521</v>
      </c>
      <c r="Q116" s="20">
        <f t="shared" si="2"/>
        <v>45.29249991</v>
      </c>
      <c r="R116" s="24"/>
      <c r="S116" s="20">
        <v>3.110914521132289</v>
      </c>
      <c r="T116" s="22">
        <v>1.37</v>
      </c>
      <c r="W116" s="26">
        <v>0.95</v>
      </c>
      <c r="X116" s="22">
        <f t="shared" si="9"/>
        <v>0.6488053193</v>
      </c>
      <c r="Y116" s="20">
        <f t="shared" si="4"/>
        <v>27.59388416</v>
      </c>
      <c r="Z116" s="20">
        <f t="shared" si="6"/>
        <v>-17.69861576</v>
      </c>
      <c r="AA116" s="20"/>
      <c r="AB116" s="20">
        <f>IFERROR(__xludf.DUMMYFUNCTION("iferror(PERCENTRANK.INC(FILTER($X$2:$X$421, $U$2:$U$421&lt;3.75), $X116), 1)"),0.745)</f>
        <v>0.745</v>
      </c>
      <c r="AC116" s="20">
        <f>IFERROR(__xludf.DUMMYFUNCTION("iferror(PERCENTRANK.INC(FILTER($X$2:$X$421, $U$2:$U$421&lt;4.25), $X116), 1)"),0.73)</f>
        <v>0.73</v>
      </c>
      <c r="AD116" s="20">
        <f>IFERROR(__xludf.DUMMYFUNCTION("iferror(PERCENTRANK.INC(FILTER($X$2:$X$421, $U$2:$U$421&gt;=4.1), $X116), 0.01)"),0.01)</f>
        <v>0.01</v>
      </c>
      <c r="AE116" s="20"/>
    </row>
    <row r="117" ht="14.25" customHeight="1">
      <c r="A117" s="17" t="s">
        <v>348</v>
      </c>
      <c r="B117" s="17" t="s">
        <v>349</v>
      </c>
      <c r="C117" s="18">
        <v>5.0</v>
      </c>
      <c r="D117" s="17" t="s">
        <v>99</v>
      </c>
      <c r="E117" s="17" t="s">
        <v>164</v>
      </c>
      <c r="F117" s="18">
        <v>407.0</v>
      </c>
      <c r="G117" s="18">
        <v>381.0</v>
      </c>
      <c r="H117" s="18">
        <v>229.0</v>
      </c>
      <c r="I117" s="19">
        <v>0.601</v>
      </c>
      <c r="J117" s="18">
        <v>2240.0</v>
      </c>
      <c r="K117" s="18">
        <v>5.9</v>
      </c>
      <c r="L117" s="18">
        <v>16.0</v>
      </c>
      <c r="M117" s="18">
        <v>7.0</v>
      </c>
      <c r="N117" s="18">
        <v>21.0</v>
      </c>
      <c r="O117" s="18">
        <v>9.0</v>
      </c>
      <c r="P117" s="20">
        <f t="shared" si="1"/>
        <v>3.071712311</v>
      </c>
      <c r="Q117" s="20">
        <f t="shared" si="2"/>
        <v>44.84326426</v>
      </c>
      <c r="R117" s="24"/>
      <c r="S117" s="20">
        <v>3.071712310607673</v>
      </c>
      <c r="T117" s="22">
        <v>1.89</v>
      </c>
      <c r="W117" s="26">
        <v>1.0</v>
      </c>
      <c r="X117" s="22">
        <f t="shared" ref="X117:X126" si="10">IFERROR((U117*0.7+T117*0.15+S117*0.15*W122),0)</f>
        <v>0.6981811619</v>
      </c>
      <c r="Y117" s="20">
        <f t="shared" si="4"/>
        <v>27.65071139</v>
      </c>
      <c r="Z117" s="20">
        <f t="shared" si="6"/>
        <v>-17.19255287</v>
      </c>
      <c r="AA117" s="20"/>
      <c r="AB117" s="20">
        <f>IFERROR(__xludf.DUMMYFUNCTION("iferror(PERCENTRANK.INC(FILTER($X$2:$X$421, $U$2:$U$421&lt;3.75), $X117), 1)"),0.765)</f>
        <v>0.765</v>
      </c>
      <c r="AC117" s="20">
        <f>IFERROR(__xludf.DUMMYFUNCTION("iferror(PERCENTRANK.INC(FILTER($X$2:$X$421, $U$2:$U$421&lt;4.25), $X117), 1)"),0.75)</f>
        <v>0.75</v>
      </c>
      <c r="AD117" s="20">
        <f>IFERROR(__xludf.DUMMYFUNCTION("iferror(PERCENTRANK.INC(FILTER($X$2:$X$421, $U$2:$U$421&gt;=4.1), $X117), 0.01)"),0.01)</f>
        <v>0.01</v>
      </c>
      <c r="AE117" s="20"/>
    </row>
    <row r="118" ht="14.25" customHeight="1">
      <c r="A118" s="17" t="s">
        <v>350</v>
      </c>
      <c r="B118" s="17" t="s">
        <v>351</v>
      </c>
      <c r="C118" s="18">
        <v>9.0</v>
      </c>
      <c r="D118" s="17" t="s">
        <v>99</v>
      </c>
      <c r="E118" s="17" t="s">
        <v>130</v>
      </c>
      <c r="F118" s="18">
        <v>330.0</v>
      </c>
      <c r="G118" s="18">
        <v>295.0</v>
      </c>
      <c r="H118" s="18">
        <v>193.0</v>
      </c>
      <c r="I118" s="19">
        <v>0.654</v>
      </c>
      <c r="J118" s="18">
        <v>2053.0</v>
      </c>
      <c r="K118" s="18">
        <v>7.0</v>
      </c>
      <c r="L118" s="18">
        <v>12.0</v>
      </c>
      <c r="M118" s="18">
        <v>5.0</v>
      </c>
      <c r="N118" s="18">
        <v>16.0</v>
      </c>
      <c r="O118" s="18">
        <v>10.0</v>
      </c>
      <c r="P118" s="20">
        <f t="shared" si="1"/>
        <v>2.991374507</v>
      </c>
      <c r="Q118" s="20">
        <f t="shared" si="2"/>
        <v>43.92263746</v>
      </c>
      <c r="R118" s="24"/>
      <c r="S118" s="20">
        <v>2.991374507447355</v>
      </c>
      <c r="T118" s="22">
        <v>1.13</v>
      </c>
      <c r="U118" s="30"/>
      <c r="V118" s="30"/>
      <c r="W118" s="18">
        <v>1.0</v>
      </c>
      <c r="X118" s="22">
        <f t="shared" si="10"/>
        <v>0.5733355585</v>
      </c>
      <c r="Y118" s="20">
        <f t="shared" si="4"/>
        <v>27.50702513</v>
      </c>
      <c r="Z118" s="20">
        <f t="shared" si="6"/>
        <v>-16.41561233</v>
      </c>
      <c r="AA118" s="20"/>
      <c r="AB118" s="20">
        <f>IFERROR(__xludf.DUMMYFUNCTION("iferror(PERCENTRANK.INC(FILTER($X$2:$X$421, $U$2:$U$421&lt;3.75), $X118), 1)"),0.703)</f>
        <v>0.703</v>
      </c>
      <c r="AC118" s="20">
        <f>IFERROR(__xludf.DUMMYFUNCTION("iferror(PERCENTRANK.INC(FILTER($X$2:$X$421, $U$2:$U$421&lt;4.25), $X118), 1)"),0.689)</f>
        <v>0.689</v>
      </c>
      <c r="AD118" s="20">
        <f>IFERROR(__xludf.DUMMYFUNCTION("iferror(PERCENTRANK.INC(FILTER($X$2:$X$421, $U$2:$U$421&gt;=4.1), $X118), 0.01)"),0.01)</f>
        <v>0.01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105</v>
      </c>
      <c r="F119" s="18">
        <v>360.0</v>
      </c>
      <c r="G119" s="18">
        <v>321.0</v>
      </c>
      <c r="H119" s="18">
        <v>172.0</v>
      </c>
      <c r="I119" s="19">
        <v>0.536</v>
      </c>
      <c r="J119" s="18">
        <v>2322.0</v>
      </c>
      <c r="K119" s="18">
        <v>7.2</v>
      </c>
      <c r="L119" s="18">
        <v>12.0</v>
      </c>
      <c r="M119" s="18">
        <v>6.0</v>
      </c>
      <c r="N119" s="18">
        <v>22.0</v>
      </c>
      <c r="O119" s="18">
        <v>11.0</v>
      </c>
      <c r="P119" s="20">
        <f t="shared" si="1"/>
        <v>3.020826559</v>
      </c>
      <c r="Q119" s="20">
        <f t="shared" si="2"/>
        <v>44.26014168</v>
      </c>
      <c r="R119" s="24"/>
      <c r="S119" s="20">
        <v>3.0208265586708207</v>
      </c>
      <c r="T119" s="22">
        <v>-2.41</v>
      </c>
      <c r="W119" s="26">
        <v>0.9</v>
      </c>
      <c r="X119" s="22">
        <f t="shared" si="10"/>
        <v>0.04631158542</v>
      </c>
      <c r="Y119" s="20">
        <f t="shared" si="4"/>
        <v>26.90046706</v>
      </c>
      <c r="Z119" s="20">
        <f t="shared" si="6"/>
        <v>-17.35967462</v>
      </c>
      <c r="AA119" s="20"/>
      <c r="AB119" s="20">
        <f>IFERROR(__xludf.DUMMYFUNCTION("iferror(PERCENTRANK.INC(FILTER($X$2:$X$421, $U$2:$U$421&lt;3.75), $X119), 1)"),0.315)</f>
        <v>0.315</v>
      </c>
      <c r="AC119" s="20">
        <f>IFERROR(__xludf.DUMMYFUNCTION("iferror(PERCENTRANK.INC(FILTER($X$2:$X$421, $U$2:$U$421&lt;4.25), $X119), 1)"),0.309)</f>
        <v>0.309</v>
      </c>
      <c r="AD119" s="20">
        <f>IFERROR(__xludf.DUMMYFUNCTION("iferror(PERCENTRANK.INC(FILTER($X$2:$X$421, $U$2:$U$421&gt;=4.1), $X119), 0.01)"),0.01)</f>
        <v>0.01</v>
      </c>
      <c r="AE119" s="20"/>
    </row>
    <row r="120" ht="14.25" customHeight="1">
      <c r="A120" s="17" t="s">
        <v>354</v>
      </c>
      <c r="B120" s="17" t="s">
        <v>355</v>
      </c>
      <c r="C120" s="18">
        <v>1.0</v>
      </c>
      <c r="D120" s="17" t="s">
        <v>99</v>
      </c>
      <c r="E120" s="17" t="s">
        <v>108</v>
      </c>
      <c r="F120" s="18">
        <v>578.0</v>
      </c>
      <c r="G120" s="18">
        <v>504.0</v>
      </c>
      <c r="H120" s="18">
        <v>320.0</v>
      </c>
      <c r="I120" s="19">
        <v>0.635</v>
      </c>
      <c r="J120" s="18">
        <v>3143.0</v>
      </c>
      <c r="K120" s="18">
        <v>6.2</v>
      </c>
      <c r="L120" s="18">
        <v>16.0</v>
      </c>
      <c r="M120" s="18">
        <v>11.0</v>
      </c>
      <c r="N120" s="18">
        <v>32.0</v>
      </c>
      <c r="O120" s="18">
        <v>20.0</v>
      </c>
      <c r="P120" s="20">
        <f t="shared" si="1"/>
        <v>3.019735646</v>
      </c>
      <c r="Q120" s="20">
        <f t="shared" si="2"/>
        <v>44.24764043</v>
      </c>
      <c r="R120" s="24"/>
      <c r="S120" s="20">
        <v>3.0197356464546607</v>
      </c>
      <c r="T120" s="22">
        <v>-3.15</v>
      </c>
      <c r="U120" s="30"/>
      <c r="V120" s="30"/>
      <c r="W120" s="18">
        <v>0.95</v>
      </c>
      <c r="X120" s="22">
        <f t="shared" si="10"/>
        <v>-0.06483568773</v>
      </c>
      <c r="Y120" s="20">
        <f t="shared" si="4"/>
        <v>26.77254637</v>
      </c>
      <c r="Z120" s="20">
        <f t="shared" si="6"/>
        <v>-17.47509406</v>
      </c>
      <c r="AA120" s="20"/>
      <c r="AB120" s="20">
        <f>IFERROR(__xludf.DUMMYFUNCTION("iferror(PERCENTRANK.INC(FILTER($X$2:$X$421, $U$2:$U$421&lt;3.75), $X120), 1)"),0.2)</f>
        <v>0.2</v>
      </c>
      <c r="AC120" s="20">
        <f>IFERROR(__xludf.DUMMYFUNCTION("iferror(PERCENTRANK.INC(FILTER($X$2:$X$421, $U$2:$U$421&lt;4.25), $X120), 1)"),0.196)</f>
        <v>0.196</v>
      </c>
      <c r="AD120" s="20">
        <f>IFERROR(__xludf.DUMMYFUNCTION("iferror(PERCENTRANK.INC(FILTER($X$2:$X$421, $U$2:$U$421&gt;=4.1), $X120), 0.01)"),0.01)</f>
        <v>0.01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157</v>
      </c>
      <c r="F121" s="18">
        <v>326.0</v>
      </c>
      <c r="G121" s="18">
        <v>291.0</v>
      </c>
      <c r="H121" s="18">
        <v>157.0</v>
      </c>
      <c r="I121" s="19">
        <v>0.539</v>
      </c>
      <c r="J121" s="18">
        <v>2092.0</v>
      </c>
      <c r="K121" s="18">
        <v>7.2</v>
      </c>
      <c r="L121" s="18">
        <v>13.0</v>
      </c>
      <c r="M121" s="18">
        <v>6.0</v>
      </c>
      <c r="N121" s="18">
        <v>22.0</v>
      </c>
      <c r="O121" s="18">
        <v>13.0</v>
      </c>
      <c r="P121" s="20">
        <f t="shared" si="1"/>
        <v>2.942149506</v>
      </c>
      <c r="Q121" s="20">
        <f t="shared" si="2"/>
        <v>43.35854616</v>
      </c>
      <c r="R121" s="24"/>
      <c r="S121" s="20">
        <v>2.942149505808193</v>
      </c>
      <c r="T121" s="22">
        <v>0.54</v>
      </c>
      <c r="U121" s="30"/>
      <c r="V121" s="30"/>
      <c r="W121" s="18">
        <v>0.9</v>
      </c>
      <c r="X121" s="22">
        <f t="shared" si="10"/>
        <v>0.5223224259</v>
      </c>
      <c r="Y121" s="20">
        <f t="shared" si="4"/>
        <v>27.44831351</v>
      </c>
      <c r="Z121" s="20">
        <f t="shared" si="6"/>
        <v>-15.91023265</v>
      </c>
      <c r="AA121" s="20"/>
      <c r="AB121" s="20">
        <f>IFERROR(__xludf.DUMMYFUNCTION("iferror(PERCENTRANK.INC(FILTER($X$2:$X$421, $U$2:$U$421&lt;3.75), $X121), 1)"),0.663)</f>
        <v>0.663</v>
      </c>
      <c r="AC121" s="20">
        <f>IFERROR(__xludf.DUMMYFUNCTION("iferror(PERCENTRANK.INC(FILTER($X$2:$X$421, $U$2:$U$421&lt;4.25), $X121), 1)"),0.65)</f>
        <v>0.65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358</v>
      </c>
      <c r="B122" s="17" t="s">
        <v>190</v>
      </c>
      <c r="C122" s="18">
        <v>3.0</v>
      </c>
      <c r="D122" s="17" t="s">
        <v>99</v>
      </c>
      <c r="E122" s="17" t="s">
        <v>146</v>
      </c>
      <c r="F122" s="18">
        <v>83.0</v>
      </c>
      <c r="G122" s="18">
        <v>74.0</v>
      </c>
      <c r="H122" s="18">
        <v>49.0</v>
      </c>
      <c r="I122" s="19">
        <v>0.662</v>
      </c>
      <c r="J122" s="18">
        <v>791.0</v>
      </c>
      <c r="K122" s="18">
        <v>10.7</v>
      </c>
      <c r="L122" s="18">
        <v>8.0</v>
      </c>
      <c r="M122" s="18">
        <v>1.0</v>
      </c>
      <c r="N122" s="18">
        <v>2.0</v>
      </c>
      <c r="O122" s="18">
        <v>2.0</v>
      </c>
      <c r="P122" s="20">
        <f t="shared" si="1"/>
        <v>2.849715993</v>
      </c>
      <c r="Q122" s="20">
        <f t="shared" si="2"/>
        <v>42.29930922</v>
      </c>
      <c r="R122" s="25"/>
      <c r="S122" s="20">
        <v>2.8497159928362095</v>
      </c>
      <c r="T122" s="22">
        <v>1.09</v>
      </c>
      <c r="U122" s="31"/>
      <c r="V122" s="30"/>
      <c r="W122" s="18">
        <v>0.9</v>
      </c>
      <c r="X122" s="22">
        <f t="shared" si="10"/>
        <v>0.548211659</v>
      </c>
      <c r="Y122" s="20">
        <f t="shared" si="4"/>
        <v>27.47810974</v>
      </c>
      <c r="Z122" s="20">
        <f t="shared" si="6"/>
        <v>-14.82119948</v>
      </c>
      <c r="AA122" s="20"/>
      <c r="AB122" s="20">
        <f>IFERROR(__xludf.DUMMYFUNCTION("iferror(PERCENTRANK.INC(FILTER($X$2:$X$421, $U$2:$U$421&lt;3.75), $X122), 1)"),0.683)</f>
        <v>0.683</v>
      </c>
      <c r="AC122" s="20">
        <f>IFERROR(__xludf.DUMMYFUNCTION("iferror(PERCENTRANK.INC(FILTER($X$2:$X$421, $U$2:$U$421&lt;4.25), $X122), 1)"),0.669)</f>
        <v>0.669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360</v>
      </c>
      <c r="C123" s="18">
        <v>3.0</v>
      </c>
      <c r="D123" s="17" t="s">
        <v>99</v>
      </c>
      <c r="E123" s="17" t="s">
        <v>188</v>
      </c>
      <c r="F123" s="18">
        <v>326.0</v>
      </c>
      <c r="G123" s="18">
        <v>273.0</v>
      </c>
      <c r="H123" s="18">
        <v>159.0</v>
      </c>
      <c r="I123" s="19">
        <v>0.582</v>
      </c>
      <c r="J123" s="18">
        <v>1966.0</v>
      </c>
      <c r="K123" s="18">
        <v>7.2</v>
      </c>
      <c r="L123" s="18">
        <v>14.0</v>
      </c>
      <c r="M123" s="18">
        <v>6.0</v>
      </c>
      <c r="N123" s="18">
        <v>9.0</v>
      </c>
      <c r="O123" s="18">
        <v>14.0</v>
      </c>
      <c r="P123" s="20">
        <f t="shared" si="1"/>
        <v>2.996240997</v>
      </c>
      <c r="Q123" s="20">
        <f t="shared" si="2"/>
        <v>43.97840474</v>
      </c>
      <c r="R123" s="24"/>
      <c r="S123" s="20">
        <v>2.9962409970111685</v>
      </c>
      <c r="T123" s="22">
        <v>2.97</v>
      </c>
      <c r="U123" s="30"/>
      <c r="V123" s="30"/>
      <c r="W123" s="18">
        <v>0.9</v>
      </c>
      <c r="X123" s="22">
        <f t="shared" si="10"/>
        <v>0.8949361496</v>
      </c>
      <c r="Y123" s="20">
        <f t="shared" si="4"/>
        <v>27.87715901</v>
      </c>
      <c r="Z123" s="20">
        <f t="shared" si="6"/>
        <v>-16.10124573</v>
      </c>
      <c r="AA123" s="20"/>
      <c r="AB123" s="20">
        <f>IFERROR(__xludf.DUMMYFUNCTION("iferror(PERCENTRANK.INC(FILTER($X$2:$X$421, $U$2:$U$421&lt;3.75), $X123), 1)"),0.888)</f>
        <v>0.888</v>
      </c>
      <c r="AC123" s="20">
        <f>IFERROR(__xludf.DUMMYFUNCTION("iferror(PERCENTRANK.INC(FILTER($X$2:$X$421, $U$2:$U$421&lt;4.25), $X123), 1)"),0.87)</f>
        <v>0.87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361</v>
      </c>
      <c r="B124" s="17" t="s">
        <v>362</v>
      </c>
      <c r="C124" s="18">
        <v>4.0</v>
      </c>
      <c r="D124" s="17" t="s">
        <v>99</v>
      </c>
      <c r="E124" s="17" t="s">
        <v>138</v>
      </c>
      <c r="F124" s="18">
        <v>343.0</v>
      </c>
      <c r="G124" s="18">
        <v>291.0</v>
      </c>
      <c r="H124" s="18">
        <v>171.0</v>
      </c>
      <c r="I124" s="19">
        <v>0.588</v>
      </c>
      <c r="J124" s="18">
        <v>2137.0</v>
      </c>
      <c r="K124" s="18">
        <v>7.3</v>
      </c>
      <c r="L124" s="18">
        <v>15.0</v>
      </c>
      <c r="M124" s="18">
        <v>8.0</v>
      </c>
      <c r="N124" s="18">
        <v>21.0</v>
      </c>
      <c r="O124" s="18">
        <v>13.0</v>
      </c>
      <c r="P124" s="20">
        <f t="shared" si="1"/>
        <v>2.838752679</v>
      </c>
      <c r="Q124" s="20">
        <f t="shared" si="2"/>
        <v>42.1736757</v>
      </c>
      <c r="R124" s="25"/>
      <c r="S124" s="20">
        <v>2.838752678588962</v>
      </c>
      <c r="T124" s="22">
        <v>6.39</v>
      </c>
      <c r="U124" s="31"/>
      <c r="V124" s="30"/>
      <c r="W124" s="18">
        <v>0.9</v>
      </c>
      <c r="X124" s="22">
        <f t="shared" si="10"/>
        <v>1.341731612</v>
      </c>
      <c r="Y124" s="20">
        <f t="shared" si="4"/>
        <v>28.39138114</v>
      </c>
      <c r="Z124" s="20">
        <f t="shared" si="6"/>
        <v>-13.78229456</v>
      </c>
      <c r="AA124" s="20"/>
      <c r="AB124" s="20">
        <f>IFERROR(__xludf.DUMMYFUNCTION("iferror(PERCENTRANK.INC(FILTER($X$2:$X$421, $U$2:$U$421&lt;3.75), $X124), 1)"),0.96)</f>
        <v>0.96</v>
      </c>
      <c r="AC124" s="20">
        <f>IFERROR(__xludf.DUMMYFUNCTION("iferror(PERCENTRANK.INC(FILTER($X$2:$X$421, $U$2:$U$421&lt;4.25), $X124), 1)"),0.941)</f>
        <v>0.941</v>
      </c>
      <c r="AD124" s="20">
        <f>IFERROR(__xludf.DUMMYFUNCTION("iferror(PERCENTRANK.INC(FILTER($X$2:$X$421, $U$2:$U$421&gt;=4.1), $X124), 0.01)"),0.01)</f>
        <v>0.01</v>
      </c>
      <c r="AE124" s="20"/>
    </row>
    <row r="125" ht="14.25" customHeight="1">
      <c r="A125" s="17" t="s">
        <v>363</v>
      </c>
      <c r="B125" s="17" t="s">
        <v>140</v>
      </c>
      <c r="C125" s="18">
        <v>15.0</v>
      </c>
      <c r="D125" s="17" t="s">
        <v>99</v>
      </c>
      <c r="E125" s="17" t="s">
        <v>141</v>
      </c>
      <c r="F125" s="18">
        <v>177.0</v>
      </c>
      <c r="G125" s="18">
        <v>155.0</v>
      </c>
      <c r="H125" s="18">
        <v>92.0</v>
      </c>
      <c r="I125" s="19">
        <v>0.594</v>
      </c>
      <c r="J125" s="18">
        <v>1183.0</v>
      </c>
      <c r="K125" s="18">
        <v>7.6</v>
      </c>
      <c r="L125" s="18">
        <v>11.0</v>
      </c>
      <c r="M125" s="18">
        <v>2.0</v>
      </c>
      <c r="N125" s="18">
        <v>5.0</v>
      </c>
      <c r="O125" s="18">
        <v>4.0</v>
      </c>
      <c r="P125" s="20">
        <f t="shared" si="1"/>
        <v>2.885664251</v>
      </c>
      <c r="Q125" s="20">
        <f t="shared" si="2"/>
        <v>42.71125638</v>
      </c>
      <c r="R125" s="25"/>
      <c r="S125" s="20">
        <v>2.885664251139056</v>
      </c>
      <c r="T125" s="22">
        <v>0.91</v>
      </c>
      <c r="U125" s="31"/>
      <c r="V125" s="30"/>
      <c r="W125" s="18">
        <v>0.9</v>
      </c>
      <c r="X125" s="22">
        <f t="shared" si="10"/>
        <v>0.5260646739</v>
      </c>
      <c r="Y125" s="20">
        <f t="shared" si="4"/>
        <v>27.45262051</v>
      </c>
      <c r="Z125" s="20">
        <f t="shared" si="6"/>
        <v>-15.25863587</v>
      </c>
      <c r="AA125" s="20"/>
      <c r="AB125" s="20">
        <f>IFERROR(__xludf.DUMMYFUNCTION("iferror(PERCENTRANK.INC(FILTER($X$2:$X$421, $U$2:$U$421&lt;3.75), $X125), 1)"),0.67)</f>
        <v>0.67</v>
      </c>
      <c r="AC125" s="20">
        <f>IFERROR(__xludf.DUMMYFUNCTION("iferror(PERCENTRANK.INC(FILTER($X$2:$X$421, $U$2:$U$421&lt;4.25), $X125), 1)"),0.657)</f>
        <v>0.657</v>
      </c>
      <c r="AD125" s="20">
        <f>IFERROR(__xludf.DUMMYFUNCTION("iferror(PERCENTRANK.INC(FILTER($X$2:$X$421, $U$2:$U$421&gt;=4.1), $X125), 0.01)"),0.01)</f>
        <v>0.01</v>
      </c>
      <c r="AE125" s="20"/>
    </row>
    <row r="126" ht="14.25" customHeight="1">
      <c r="A126" s="17" t="s">
        <v>364</v>
      </c>
      <c r="B126" s="17" t="s">
        <v>365</v>
      </c>
      <c r="C126" s="18">
        <v>10.0</v>
      </c>
      <c r="D126" s="17" t="s">
        <v>99</v>
      </c>
      <c r="E126" s="17" t="s">
        <v>102</v>
      </c>
      <c r="F126" s="18">
        <v>310.0</v>
      </c>
      <c r="G126" s="18">
        <v>261.0</v>
      </c>
      <c r="H126" s="18">
        <v>154.0</v>
      </c>
      <c r="I126" s="19">
        <v>0.59</v>
      </c>
      <c r="J126" s="18">
        <v>1840.0</v>
      </c>
      <c r="K126" s="18">
        <v>7.0</v>
      </c>
      <c r="L126" s="18">
        <v>10.0</v>
      </c>
      <c r="M126" s="18">
        <v>3.0</v>
      </c>
      <c r="N126" s="18">
        <v>20.0</v>
      </c>
      <c r="O126" s="18">
        <v>12.0</v>
      </c>
      <c r="P126" s="20">
        <f t="shared" si="1"/>
        <v>2.954832262</v>
      </c>
      <c r="Q126" s="20">
        <f t="shared" si="2"/>
        <v>43.50388353</v>
      </c>
      <c r="R126" s="24"/>
      <c r="S126" s="20">
        <v>2.95483226177234</v>
      </c>
      <c r="T126" s="22">
        <v>-0.36</v>
      </c>
      <c r="W126" s="26">
        <v>1.0</v>
      </c>
      <c r="X126" s="22">
        <f t="shared" si="10"/>
        <v>0.3449023553</v>
      </c>
      <c r="Y126" s="20">
        <f t="shared" si="4"/>
        <v>27.24411868</v>
      </c>
      <c r="Z126" s="20">
        <f t="shared" si="6"/>
        <v>-16.25976485</v>
      </c>
      <c r="AA126" s="20"/>
      <c r="AB126" s="20">
        <f>IFERROR(__xludf.DUMMYFUNCTION("iferror(PERCENTRANK.INC(FILTER($X$2:$X$421, $U$2:$U$421&lt;3.75), $X126), 1)"),0.568)</f>
        <v>0.568</v>
      </c>
      <c r="AC126" s="20">
        <f>IFERROR(__xludf.DUMMYFUNCTION("iferror(PERCENTRANK.INC(FILTER($X$2:$X$421, $U$2:$U$421&lt;4.25), $X126), 1)"),0.556)</f>
        <v>0.556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366</v>
      </c>
      <c r="B127" s="17" t="s">
        <v>367</v>
      </c>
      <c r="C127" s="18">
        <v>11.0</v>
      </c>
      <c r="D127" s="17" t="s">
        <v>99</v>
      </c>
      <c r="E127" s="17" t="s">
        <v>176</v>
      </c>
      <c r="F127" s="18">
        <v>393.0</v>
      </c>
      <c r="G127" s="18">
        <v>360.0</v>
      </c>
      <c r="H127" s="18">
        <v>208.0</v>
      </c>
      <c r="I127" s="19">
        <v>0.578</v>
      </c>
      <c r="J127" s="18">
        <v>2326.0</v>
      </c>
      <c r="K127" s="18">
        <v>6.5</v>
      </c>
      <c r="L127" s="18">
        <v>17.0</v>
      </c>
      <c r="M127" s="18">
        <v>9.0</v>
      </c>
      <c r="N127" s="18">
        <v>17.0</v>
      </c>
      <c r="O127" s="18">
        <v>13.0</v>
      </c>
      <c r="P127" s="20">
        <f t="shared" si="1"/>
        <v>2.942700114</v>
      </c>
      <c r="Q127" s="20">
        <f t="shared" si="2"/>
        <v>43.36485582</v>
      </c>
      <c r="R127" s="25"/>
      <c r="S127" s="20">
        <v>2.9427001136556403</v>
      </c>
      <c r="T127" s="22">
        <v>-1.11</v>
      </c>
      <c r="U127" s="31"/>
      <c r="V127" s="30"/>
      <c r="W127" s="18">
        <v>0.9</v>
      </c>
      <c r="X127" s="22">
        <f>IFERROR((U127*0.7+T127*0.15+S127*0.15*#REF!),0)</f>
        <v>0</v>
      </c>
      <c r="Y127" s="20">
        <f t="shared" si="4"/>
        <v>26.84716652</v>
      </c>
      <c r="Z127" s="20">
        <f t="shared" si="6"/>
        <v>-16.51768931</v>
      </c>
      <c r="AA127" s="20"/>
      <c r="AB127" s="20">
        <f>IFERROR(__xludf.DUMMYFUNCTION("iferror(PERCENTRANK.INC(FILTER($X$2:$X$421, $U$2:$U$421&lt;3.75), $X127), 1)"),0.255)</f>
        <v>0.255</v>
      </c>
      <c r="AC127" s="20">
        <f>IFERROR(__xludf.DUMMYFUNCTION("iferror(PERCENTRANK.INC(FILTER($X$2:$X$421, $U$2:$U$421&lt;4.25), $X127), 1)"),0.25)</f>
        <v>0.25</v>
      </c>
      <c r="AD127" s="20">
        <f>IFERROR(__xludf.DUMMYFUNCTION("iferror(PERCENTRANK.INC(FILTER($X$2:$X$421, $U$2:$U$421&gt;=4.1), $X127), 0.01)"),0.01)</f>
        <v>0.01</v>
      </c>
      <c r="AE127" s="20"/>
    </row>
    <row r="128" ht="14.25" customHeight="1">
      <c r="A128" s="17" t="s">
        <v>368</v>
      </c>
      <c r="B128" s="17" t="s">
        <v>369</v>
      </c>
      <c r="C128" s="18">
        <v>9.0</v>
      </c>
      <c r="D128" s="17" t="s">
        <v>99</v>
      </c>
      <c r="E128" s="17" t="s">
        <v>130</v>
      </c>
      <c r="F128" s="18">
        <v>183.0</v>
      </c>
      <c r="G128" s="18">
        <v>164.0</v>
      </c>
      <c r="H128" s="18">
        <v>101.0</v>
      </c>
      <c r="I128" s="19">
        <v>0.616</v>
      </c>
      <c r="J128" s="18">
        <v>1333.0</v>
      </c>
      <c r="K128" s="18">
        <v>8.1</v>
      </c>
      <c r="L128" s="18">
        <v>10.0</v>
      </c>
      <c r="M128" s="18">
        <v>2.0</v>
      </c>
      <c r="N128" s="18">
        <v>13.0</v>
      </c>
      <c r="O128" s="18">
        <v>5.0</v>
      </c>
      <c r="P128" s="20">
        <f t="shared" si="1"/>
        <v>2.909283505</v>
      </c>
      <c r="Q128" s="20">
        <f t="shared" si="2"/>
        <v>42.98191996</v>
      </c>
      <c r="R128" s="24"/>
      <c r="S128" s="20">
        <v>2.9092835047314405</v>
      </c>
      <c r="T128" s="22">
        <v>3.9</v>
      </c>
      <c r="U128" s="30"/>
      <c r="V128" s="30"/>
      <c r="W128" s="18">
        <v>1.0</v>
      </c>
      <c r="X128" s="22">
        <f t="shared" ref="X128:X131" si="11">IFERROR((U128*0.7+T128*0.15+S128*0.15*W132),0)</f>
        <v>0.9777532731</v>
      </c>
      <c r="Y128" s="20">
        <f t="shared" si="4"/>
        <v>27.97247421</v>
      </c>
      <c r="Z128" s="20">
        <f t="shared" si="6"/>
        <v>-15.00944575</v>
      </c>
      <c r="AA128" s="20"/>
      <c r="AB128" s="20">
        <f>IFERROR(__xludf.DUMMYFUNCTION("iferror(PERCENTRANK.INC(FILTER($X$2:$X$421, $U$2:$U$421&lt;3.75), $X128), 1)"),0.93)</f>
        <v>0.93</v>
      </c>
      <c r="AC128" s="20">
        <f>IFERROR(__xludf.DUMMYFUNCTION("iferror(PERCENTRANK.INC(FILTER($X$2:$X$421, $U$2:$U$421&lt;4.25), $X128), 1)"),0.912)</f>
        <v>0.912</v>
      </c>
      <c r="AD128" s="20">
        <f>IFERROR(__xludf.DUMMYFUNCTION("iferror(PERCENTRANK.INC(FILTER($X$2:$X$421, $U$2:$U$421&gt;=4.1), $X128), 0.01)"),0.01)</f>
        <v>0.01</v>
      </c>
      <c r="AE128" s="20"/>
    </row>
    <row r="129" ht="14.25" customHeight="1">
      <c r="A129" s="17" t="s">
        <v>370</v>
      </c>
      <c r="B129" s="17" t="s">
        <v>371</v>
      </c>
      <c r="C129" s="18">
        <v>10.0</v>
      </c>
      <c r="D129" s="17" t="s">
        <v>99</v>
      </c>
      <c r="E129" s="17" t="s">
        <v>117</v>
      </c>
      <c r="F129" s="18">
        <v>236.0</v>
      </c>
      <c r="G129" s="18">
        <v>180.0</v>
      </c>
      <c r="H129" s="18">
        <v>120.0</v>
      </c>
      <c r="I129" s="19">
        <v>0.667</v>
      </c>
      <c r="J129" s="18">
        <v>1586.0</v>
      </c>
      <c r="K129" s="18">
        <v>8.8</v>
      </c>
      <c r="L129" s="18">
        <v>11.0</v>
      </c>
      <c r="M129" s="18">
        <v>4.0</v>
      </c>
      <c r="N129" s="18">
        <v>23.0</v>
      </c>
      <c r="O129" s="18">
        <v>8.0</v>
      </c>
      <c r="P129" s="20">
        <f t="shared" si="1"/>
        <v>2.892455817</v>
      </c>
      <c r="Q129" s="20">
        <f t="shared" si="2"/>
        <v>42.78908397</v>
      </c>
      <c r="R129" s="24"/>
      <c r="S129" s="20">
        <v>2.8924558173258004</v>
      </c>
      <c r="T129" s="22">
        <v>1.67</v>
      </c>
      <c r="U129" s="30"/>
      <c r="V129" s="30"/>
      <c r="W129" s="18">
        <v>0.9</v>
      </c>
      <c r="X129" s="22">
        <f t="shared" si="11"/>
        <v>0.6409815353</v>
      </c>
      <c r="Y129" s="20">
        <f t="shared" si="4"/>
        <v>27.58487967</v>
      </c>
      <c r="Z129" s="20">
        <f t="shared" si="6"/>
        <v>-15.2042043</v>
      </c>
      <c r="AA129" s="20"/>
      <c r="AB129" s="20">
        <f>IFERROR(__xludf.DUMMYFUNCTION("iferror(PERCENTRANK.INC(FILTER($X$2:$X$421, $U$2:$U$421&lt;3.75), $X129), 1)"),0.743)</f>
        <v>0.743</v>
      </c>
      <c r="AC129" s="20">
        <f>IFERROR(__xludf.DUMMYFUNCTION("iferror(PERCENTRANK.INC(FILTER($X$2:$X$421, $U$2:$U$421&lt;4.25), $X129), 1)"),0.728)</f>
        <v>0.728</v>
      </c>
      <c r="AD129" s="20">
        <f>IFERROR(__xludf.DUMMYFUNCTION("iferror(PERCENTRANK.INC(FILTER($X$2:$X$421, $U$2:$U$421&gt;=4.1), $X129), 0.01)"),0.01)</f>
        <v>0.01</v>
      </c>
      <c r="AE129" s="20"/>
    </row>
    <row r="130" ht="14.25" customHeight="1">
      <c r="A130" s="17" t="s">
        <v>372</v>
      </c>
      <c r="B130" s="17" t="s">
        <v>373</v>
      </c>
      <c r="C130" s="18">
        <v>6.0</v>
      </c>
      <c r="D130" s="17" t="s">
        <v>99</v>
      </c>
      <c r="E130" s="17" t="s">
        <v>176</v>
      </c>
      <c r="F130" s="18">
        <v>442.0</v>
      </c>
      <c r="G130" s="18">
        <v>376.0</v>
      </c>
      <c r="H130" s="18">
        <v>228.0</v>
      </c>
      <c r="I130" s="19">
        <v>0.606</v>
      </c>
      <c r="J130" s="18">
        <v>2252.0</v>
      </c>
      <c r="K130" s="18">
        <v>6.0</v>
      </c>
      <c r="L130" s="18">
        <v>12.0</v>
      </c>
      <c r="M130" s="18">
        <v>6.0</v>
      </c>
      <c r="N130" s="18">
        <v>24.0</v>
      </c>
      <c r="O130" s="18">
        <v>11.0</v>
      </c>
      <c r="P130" s="20">
        <f t="shared" si="1"/>
        <v>2.808139102</v>
      </c>
      <c r="Q130" s="20">
        <f t="shared" si="2"/>
        <v>41.82286104</v>
      </c>
      <c r="R130" s="25"/>
      <c r="S130" s="20">
        <v>2.8081391021469146</v>
      </c>
      <c r="T130" s="22">
        <v>-0.07</v>
      </c>
      <c r="U130" s="31"/>
      <c r="V130" s="30"/>
      <c r="W130" s="18">
        <v>0.9</v>
      </c>
      <c r="X130" s="22">
        <f t="shared" si="11"/>
        <v>0.4107208653</v>
      </c>
      <c r="Y130" s="20">
        <f t="shared" si="4"/>
        <v>27.31986997</v>
      </c>
      <c r="Z130" s="20">
        <f t="shared" si="6"/>
        <v>-14.50299107</v>
      </c>
      <c r="AA130" s="20"/>
      <c r="AB130" s="20">
        <f>IFERROR(__xludf.DUMMYFUNCTION("iferror(PERCENTRANK.INC(FILTER($X$2:$X$421, $U$2:$U$421&lt;3.75), $X130), 1)"),0.6)</f>
        <v>0.6</v>
      </c>
      <c r="AC130" s="20">
        <f>IFERROR(__xludf.DUMMYFUNCTION("iferror(PERCENTRANK.INC(FILTER($X$2:$X$421, $U$2:$U$421&lt;4.25), $X130), 1)"),0.588)</f>
        <v>0.588</v>
      </c>
      <c r="AD130" s="20">
        <f>IFERROR(__xludf.DUMMYFUNCTION("iferror(PERCENTRANK.INC(FILTER($X$2:$X$421, $U$2:$U$421&gt;=4.1), $X130), 0.01)"),0.01)</f>
        <v>0.01</v>
      </c>
      <c r="AE130" s="20"/>
    </row>
    <row r="131" ht="14.25" customHeight="1">
      <c r="A131" s="17" t="s">
        <v>374</v>
      </c>
      <c r="B131" s="17" t="s">
        <v>375</v>
      </c>
      <c r="C131" s="18">
        <v>18.0</v>
      </c>
      <c r="D131" s="17" t="s">
        <v>99</v>
      </c>
      <c r="E131" s="17" t="s">
        <v>105</v>
      </c>
      <c r="F131" s="18">
        <v>401.0</v>
      </c>
      <c r="G131" s="18">
        <v>354.0</v>
      </c>
      <c r="H131" s="18">
        <v>201.0</v>
      </c>
      <c r="I131" s="19">
        <v>0.568</v>
      </c>
      <c r="J131" s="18">
        <v>2607.0</v>
      </c>
      <c r="K131" s="18">
        <v>7.4</v>
      </c>
      <c r="L131" s="18">
        <v>17.0</v>
      </c>
      <c r="M131" s="18">
        <v>11.0</v>
      </c>
      <c r="N131" s="18">
        <v>25.0</v>
      </c>
      <c r="O131" s="18">
        <v>14.0</v>
      </c>
      <c r="P131" s="20">
        <f t="shared" si="1"/>
        <v>2.871593442</v>
      </c>
      <c r="Q131" s="20">
        <f t="shared" si="2"/>
        <v>42.55001269</v>
      </c>
      <c r="R131" s="24"/>
      <c r="S131" s="20">
        <v>2.871593442270032</v>
      </c>
      <c r="T131" s="22">
        <v>1.35</v>
      </c>
      <c r="U131" s="30"/>
      <c r="V131" s="30"/>
      <c r="W131" s="18">
        <v>0.9</v>
      </c>
      <c r="X131" s="22">
        <f t="shared" si="11"/>
        <v>0.6332390163</v>
      </c>
      <c r="Y131" s="20">
        <f t="shared" si="4"/>
        <v>27.57596872</v>
      </c>
      <c r="Z131" s="20">
        <f t="shared" si="6"/>
        <v>-14.97404397</v>
      </c>
      <c r="AA131" s="20"/>
      <c r="AB131" s="20">
        <f>IFERROR(__xludf.DUMMYFUNCTION("iferror(PERCENTRANK.INC(FILTER($X$2:$X$421, $U$2:$U$421&lt;3.75), $X131), 1)"),0.74)</f>
        <v>0.74</v>
      </c>
      <c r="AC131" s="20">
        <f>IFERROR(__xludf.DUMMYFUNCTION("iferror(PERCENTRANK.INC(FILTER($X$2:$X$421, $U$2:$U$421&lt;4.25), $X131), 1)"),0.725)</f>
        <v>0.725</v>
      </c>
      <c r="AD131" s="20">
        <f>IFERROR(__xludf.DUMMYFUNCTION("iferror(PERCENTRANK.INC(FILTER($X$2:$X$421, $U$2:$U$421&gt;=4.1), $X131), 0.01)"),0.01)</f>
        <v>0.01</v>
      </c>
      <c r="AE131" s="20"/>
    </row>
    <row r="132" ht="14.25" customHeight="1">
      <c r="A132" s="17" t="s">
        <v>376</v>
      </c>
      <c r="B132" s="17" t="s">
        <v>377</v>
      </c>
      <c r="C132" s="18">
        <v>10.0</v>
      </c>
      <c r="D132" s="17" t="s">
        <v>99</v>
      </c>
      <c r="E132" s="17" t="s">
        <v>141</v>
      </c>
      <c r="F132" s="18">
        <v>145.0</v>
      </c>
      <c r="G132" s="18">
        <v>131.0</v>
      </c>
      <c r="H132" s="18">
        <v>83.0</v>
      </c>
      <c r="I132" s="19">
        <v>0.634</v>
      </c>
      <c r="J132" s="18">
        <v>1136.0</v>
      </c>
      <c r="K132" s="18">
        <v>8.7</v>
      </c>
      <c r="L132" s="18">
        <v>7.0</v>
      </c>
      <c r="M132" s="18">
        <v>1.0</v>
      </c>
      <c r="N132" s="18">
        <v>4.0</v>
      </c>
      <c r="O132" s="18">
        <v>7.0</v>
      </c>
      <c r="P132" s="20">
        <f t="shared" si="1"/>
        <v>2.700903702</v>
      </c>
      <c r="Q132" s="20">
        <f t="shared" si="2"/>
        <v>40.59400265</v>
      </c>
      <c r="R132" s="25"/>
      <c r="S132" s="20">
        <v>2.7009037015003945</v>
      </c>
      <c r="T132" s="22">
        <v>3.71</v>
      </c>
      <c r="U132" s="31"/>
      <c r="V132" s="30"/>
      <c r="W132" s="18">
        <v>0.9</v>
      </c>
      <c r="X132" s="22">
        <f t="shared" ref="X132:X149" si="12">IFERROR((U132*0.7+T132*0.15+S132*0.15*W137),0)</f>
        <v>0.9413787775</v>
      </c>
      <c r="Y132" s="20">
        <f t="shared" si="4"/>
        <v>27.93061038</v>
      </c>
      <c r="Z132" s="20">
        <f t="shared" si="6"/>
        <v>-12.66339227</v>
      </c>
      <c r="AA132" s="20"/>
      <c r="AB132" s="20">
        <f>IFERROR(__xludf.DUMMYFUNCTION("iferror(PERCENTRANK.INC(FILTER($X$2:$X$421, $U$2:$U$421&lt;3.75), $X132), 1)"),0.915)</f>
        <v>0.915</v>
      </c>
      <c r="AC132" s="20">
        <f>IFERROR(__xludf.DUMMYFUNCTION("iferror(PERCENTRANK.INC(FILTER($X$2:$X$421, $U$2:$U$421&lt;4.25), $X132), 1)"),0.897)</f>
        <v>0.897</v>
      </c>
      <c r="AD132" s="20">
        <f>IFERROR(__xludf.DUMMYFUNCTION("iferror(PERCENTRANK.INC(FILTER($X$2:$X$421, $U$2:$U$421&gt;=4.1), $X132), 0.01)"),0.01)</f>
        <v>0.01</v>
      </c>
      <c r="AE132" s="20"/>
    </row>
    <row r="133" ht="14.25" customHeight="1">
      <c r="A133" s="17" t="s">
        <v>378</v>
      </c>
      <c r="B133" s="17" t="s">
        <v>379</v>
      </c>
      <c r="C133" s="18">
        <v>1.0</v>
      </c>
      <c r="D133" s="17" t="s">
        <v>99</v>
      </c>
      <c r="E133" s="17" t="s">
        <v>141</v>
      </c>
      <c r="F133" s="18">
        <v>249.0</v>
      </c>
      <c r="G133" s="18">
        <v>213.0</v>
      </c>
      <c r="H133" s="18">
        <v>131.0</v>
      </c>
      <c r="I133" s="19">
        <v>0.615</v>
      </c>
      <c r="J133" s="18">
        <v>1710.0</v>
      </c>
      <c r="K133" s="18">
        <v>8.0</v>
      </c>
      <c r="L133" s="18">
        <v>13.0</v>
      </c>
      <c r="M133" s="18">
        <v>6.0</v>
      </c>
      <c r="N133" s="18">
        <v>15.0</v>
      </c>
      <c r="O133" s="18">
        <v>6.0</v>
      </c>
      <c r="P133" s="20">
        <f t="shared" si="1"/>
        <v>2.769528825</v>
      </c>
      <c r="Q133" s="20">
        <f t="shared" si="2"/>
        <v>41.38040861</v>
      </c>
      <c r="R133" s="24"/>
      <c r="S133" s="20">
        <v>2.7695288248769727</v>
      </c>
      <c r="T133" s="22">
        <v>1.29</v>
      </c>
      <c r="U133" s="30"/>
      <c r="V133" s="30"/>
      <c r="W133" s="18">
        <v>0.9</v>
      </c>
      <c r="X133" s="22">
        <f t="shared" si="12"/>
        <v>0.5881578575</v>
      </c>
      <c r="Y133" s="20">
        <f t="shared" si="4"/>
        <v>27.52408428</v>
      </c>
      <c r="Z133" s="20">
        <f t="shared" si="6"/>
        <v>-13.85632433</v>
      </c>
      <c r="AA133" s="20"/>
      <c r="AB133" s="20">
        <f>IFERROR(__xludf.DUMMYFUNCTION("iferror(PERCENTRANK.INC(FILTER($X$2:$X$421, $U$2:$U$421&lt;3.75), $X133), 1)"),0.708)</f>
        <v>0.708</v>
      </c>
      <c r="AC133" s="20">
        <f>IFERROR(__xludf.DUMMYFUNCTION("iferror(PERCENTRANK.INC(FILTER($X$2:$X$421, $U$2:$U$421&lt;4.25), $X133), 1)"),0.694)</f>
        <v>0.694</v>
      </c>
      <c r="AD133" s="20">
        <f>IFERROR(__xludf.DUMMYFUNCTION("iferror(PERCENTRANK.INC(FILTER($X$2:$X$421, $U$2:$U$421&gt;=4.1), $X133), 0.01)"),0.01)</f>
        <v>0.01</v>
      </c>
      <c r="AE133" s="20"/>
    </row>
    <row r="134" ht="14.25" customHeight="1">
      <c r="A134" s="17" t="s">
        <v>380</v>
      </c>
      <c r="B134" s="17" t="s">
        <v>129</v>
      </c>
      <c r="C134" s="18">
        <v>6.0</v>
      </c>
      <c r="D134" s="17" t="s">
        <v>99</v>
      </c>
      <c r="E134" s="17" t="s">
        <v>130</v>
      </c>
      <c r="F134" s="18">
        <v>368.0</v>
      </c>
      <c r="G134" s="18">
        <v>304.0</v>
      </c>
      <c r="H134" s="18">
        <v>183.0</v>
      </c>
      <c r="I134" s="19">
        <v>0.602</v>
      </c>
      <c r="J134" s="18">
        <v>2224.0</v>
      </c>
      <c r="K134" s="18">
        <v>7.3</v>
      </c>
      <c r="L134" s="18">
        <v>15.0</v>
      </c>
      <c r="M134" s="18">
        <v>9.0</v>
      </c>
      <c r="N134" s="18">
        <v>28.0</v>
      </c>
      <c r="O134" s="18">
        <v>15.0</v>
      </c>
      <c r="P134" s="20">
        <f t="shared" si="1"/>
        <v>2.689853359</v>
      </c>
      <c r="Q134" s="20">
        <f t="shared" si="2"/>
        <v>40.46737184</v>
      </c>
      <c r="R134" s="24"/>
      <c r="S134" s="20">
        <v>2.6898533592677336</v>
      </c>
      <c r="T134" s="22">
        <v>1.46</v>
      </c>
      <c r="W134" s="26">
        <v>1.0</v>
      </c>
      <c r="X134" s="22">
        <f t="shared" si="12"/>
        <v>0.6023041037</v>
      </c>
      <c r="Y134" s="20">
        <f t="shared" si="4"/>
        <v>27.54036536</v>
      </c>
      <c r="Z134" s="20">
        <f t="shared" si="6"/>
        <v>-12.92700647</v>
      </c>
      <c r="AA134" s="20"/>
      <c r="AB134" s="20">
        <f>IFERROR(__xludf.DUMMYFUNCTION("iferror(PERCENTRANK.INC(FILTER($X$2:$X$421, $U$2:$U$421&lt;3.75), $X134), 1)"),0.72)</f>
        <v>0.72</v>
      </c>
      <c r="AC134" s="20">
        <f>IFERROR(__xludf.DUMMYFUNCTION("iferror(PERCENTRANK.INC(FILTER($X$2:$X$421, $U$2:$U$421&lt;4.25), $X134), 1)"),0.706)</f>
        <v>0.706</v>
      </c>
      <c r="AD134" s="20">
        <f>IFERROR(__xludf.DUMMYFUNCTION("iferror(PERCENTRANK.INC(FILTER($X$2:$X$421, $U$2:$U$421&gt;=4.1), $X134), 0.01)"),0.01)</f>
        <v>0.01</v>
      </c>
      <c r="AE134" s="20"/>
    </row>
    <row r="135" ht="14.25" customHeight="1">
      <c r="A135" s="17" t="s">
        <v>381</v>
      </c>
      <c r="B135" s="17" t="s">
        <v>382</v>
      </c>
      <c r="C135" s="18">
        <v>16.0</v>
      </c>
      <c r="D135" s="17" t="s">
        <v>99</v>
      </c>
      <c r="E135" s="17" t="s">
        <v>179</v>
      </c>
      <c r="F135" s="18">
        <v>410.0</v>
      </c>
      <c r="G135" s="18">
        <v>320.0</v>
      </c>
      <c r="H135" s="18">
        <v>180.0</v>
      </c>
      <c r="I135" s="19">
        <v>0.563</v>
      </c>
      <c r="J135" s="18">
        <v>2469.0</v>
      </c>
      <c r="K135" s="18">
        <v>7.7</v>
      </c>
      <c r="L135" s="18">
        <v>13.0</v>
      </c>
      <c r="M135" s="18">
        <v>9.0</v>
      </c>
      <c r="N135" s="18">
        <v>41.0</v>
      </c>
      <c r="O135" s="18">
        <v>13.0</v>
      </c>
      <c r="P135" s="20">
        <f t="shared" si="1"/>
        <v>2.684641</v>
      </c>
      <c r="Q135" s="20">
        <f t="shared" si="2"/>
        <v>40.40764108</v>
      </c>
      <c r="R135" s="24"/>
      <c r="S135" s="20">
        <v>2.6846410000000005</v>
      </c>
      <c r="T135" s="22">
        <v>-0.19</v>
      </c>
      <c r="W135" s="26">
        <v>1.0</v>
      </c>
      <c r="X135" s="22">
        <f t="shared" si="12"/>
        <v>0.333926535</v>
      </c>
      <c r="Y135" s="20">
        <f t="shared" si="4"/>
        <v>27.23148648</v>
      </c>
      <c r="Z135" s="20">
        <f t="shared" si="6"/>
        <v>-13.1761546</v>
      </c>
      <c r="AA135" s="20"/>
      <c r="AB135" s="20">
        <f>IFERROR(__xludf.DUMMYFUNCTION("iferror(PERCENTRANK.INC(FILTER($X$2:$X$421, $U$2:$U$421&lt;3.75), $X135), 1)"),0.558)</f>
        <v>0.558</v>
      </c>
      <c r="AC135" s="20">
        <f>IFERROR(__xludf.DUMMYFUNCTION("iferror(PERCENTRANK.INC(FILTER($X$2:$X$421, $U$2:$U$421&lt;4.25), $X135), 1)"),0.547)</f>
        <v>0.547</v>
      </c>
      <c r="AD135" s="20">
        <f>IFERROR(__xludf.DUMMYFUNCTION("iferror(PERCENTRANK.INC(FILTER($X$2:$X$421, $U$2:$U$421&gt;=4.1), $X135), 0.01)"),0.01)</f>
        <v>0.01</v>
      </c>
      <c r="AE135" s="20"/>
    </row>
    <row r="136" ht="14.25" customHeight="1">
      <c r="A136" s="17" t="s">
        <v>383</v>
      </c>
      <c r="B136" s="17" t="s">
        <v>384</v>
      </c>
      <c r="C136" s="18">
        <v>9.0</v>
      </c>
      <c r="D136" s="17" t="s">
        <v>99</v>
      </c>
      <c r="E136" s="17" t="s">
        <v>111</v>
      </c>
      <c r="F136" s="18">
        <v>296.0</v>
      </c>
      <c r="G136" s="18">
        <v>253.0</v>
      </c>
      <c r="H136" s="18">
        <v>155.0</v>
      </c>
      <c r="I136" s="19">
        <v>0.613</v>
      </c>
      <c r="J136" s="18">
        <v>1935.0</v>
      </c>
      <c r="K136" s="18">
        <v>7.7</v>
      </c>
      <c r="L136" s="18">
        <v>11.0</v>
      </c>
      <c r="M136" s="18">
        <v>6.0</v>
      </c>
      <c r="N136" s="18">
        <v>15.0</v>
      </c>
      <c r="O136" s="18">
        <v>9.0</v>
      </c>
      <c r="P136" s="20">
        <f t="shared" si="1"/>
        <v>2.671156826</v>
      </c>
      <c r="Q136" s="20">
        <f t="shared" si="2"/>
        <v>40.25311991</v>
      </c>
      <c r="R136" s="24"/>
      <c r="S136" s="20">
        <v>2.671156826300609</v>
      </c>
      <c r="T136" s="22">
        <v>1.1</v>
      </c>
      <c r="U136" s="30"/>
      <c r="V136" s="30"/>
      <c r="W136" s="18">
        <v>0.9</v>
      </c>
      <c r="X136" s="22">
        <f t="shared" si="12"/>
        <v>0.5256061716</v>
      </c>
      <c r="Y136" s="20">
        <f t="shared" si="4"/>
        <v>27.45209282</v>
      </c>
      <c r="Z136" s="20">
        <f t="shared" si="6"/>
        <v>-12.80102709</v>
      </c>
      <c r="AA136" s="20"/>
      <c r="AB136" s="20">
        <f>IFERROR(__xludf.DUMMYFUNCTION("iferror(PERCENTRANK.INC(FILTER($X$2:$X$421, $U$2:$U$421&lt;3.75), $X136), 1)"),0.668)</f>
        <v>0.668</v>
      </c>
      <c r="AC136" s="20">
        <f>IFERROR(__xludf.DUMMYFUNCTION("iferror(PERCENTRANK.INC(FILTER($X$2:$X$421, $U$2:$U$421&lt;4.25), $X136), 1)"),0.654)</f>
        <v>0.654</v>
      </c>
      <c r="AD136" s="20">
        <f>IFERROR(__xludf.DUMMYFUNCTION("iferror(PERCENTRANK.INC(FILTER($X$2:$X$421, $U$2:$U$421&gt;=4.1), $X136), 0.01)"),0.01)</f>
        <v>0.01</v>
      </c>
      <c r="AE136" s="20"/>
    </row>
    <row r="137" ht="14.25" customHeight="1">
      <c r="A137" s="17" t="s">
        <v>385</v>
      </c>
      <c r="B137" s="17" t="s">
        <v>386</v>
      </c>
      <c r="C137" s="18">
        <v>10.0</v>
      </c>
      <c r="D137" s="17" t="s">
        <v>99</v>
      </c>
      <c r="E137" s="17" t="s">
        <v>152</v>
      </c>
      <c r="F137" s="18">
        <v>403.0</v>
      </c>
      <c r="G137" s="18">
        <v>347.0</v>
      </c>
      <c r="H137" s="18">
        <v>191.0</v>
      </c>
      <c r="I137" s="19">
        <v>0.55</v>
      </c>
      <c r="J137" s="18">
        <v>2256.0</v>
      </c>
      <c r="K137" s="18">
        <v>6.5</v>
      </c>
      <c r="L137" s="18">
        <v>12.0</v>
      </c>
      <c r="M137" s="18">
        <v>7.0</v>
      </c>
      <c r="N137" s="18">
        <v>25.0</v>
      </c>
      <c r="O137" s="18">
        <v>15.0</v>
      </c>
      <c r="P137" s="20">
        <f t="shared" si="1"/>
        <v>2.662033128</v>
      </c>
      <c r="Q137" s="20">
        <f t="shared" si="2"/>
        <v>40.14856737</v>
      </c>
      <c r="R137" s="24"/>
      <c r="S137" s="20">
        <v>2.662033127981064</v>
      </c>
      <c r="T137" s="22">
        <v>-1.6</v>
      </c>
      <c r="W137" s="26">
        <v>0.95</v>
      </c>
      <c r="X137" s="22">
        <f t="shared" si="12"/>
        <v>0.1193744723</v>
      </c>
      <c r="Y137" s="20">
        <f t="shared" si="4"/>
        <v>26.984556</v>
      </c>
      <c r="Z137" s="20">
        <f t="shared" si="6"/>
        <v>-13.16401137</v>
      </c>
      <c r="AA137" s="20"/>
      <c r="AB137" s="20">
        <f>IFERROR(__xludf.DUMMYFUNCTION("iferror(PERCENTRANK.INC(FILTER($X$2:$X$421, $U$2:$U$421&lt;3.75), $X137), 1)"),0.393)</f>
        <v>0.393</v>
      </c>
      <c r="AC137" s="20">
        <f>IFERROR(__xludf.DUMMYFUNCTION("iferror(PERCENTRANK.INC(FILTER($X$2:$X$421, $U$2:$U$421&lt;4.25), $X137), 1)"),0.385)</f>
        <v>0.385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387</v>
      </c>
      <c r="B138" s="17" t="s">
        <v>388</v>
      </c>
      <c r="C138" s="18">
        <v>4.0</v>
      </c>
      <c r="D138" s="17" t="s">
        <v>99</v>
      </c>
      <c r="E138" s="17" t="s">
        <v>125</v>
      </c>
      <c r="F138" s="18">
        <v>315.0</v>
      </c>
      <c r="G138" s="18">
        <v>271.0</v>
      </c>
      <c r="H138" s="18">
        <v>156.0</v>
      </c>
      <c r="I138" s="19">
        <v>0.576</v>
      </c>
      <c r="J138" s="18">
        <v>2044.0</v>
      </c>
      <c r="K138" s="18">
        <v>7.5</v>
      </c>
      <c r="L138" s="18">
        <v>15.0</v>
      </c>
      <c r="M138" s="18">
        <v>8.0</v>
      </c>
      <c r="N138" s="18">
        <v>16.0</v>
      </c>
      <c r="O138" s="18">
        <v>13.0</v>
      </c>
      <c r="P138" s="20">
        <f t="shared" si="1"/>
        <v>2.800061965</v>
      </c>
      <c r="Q138" s="20">
        <f t="shared" si="2"/>
        <v>41.73030152</v>
      </c>
      <c r="R138" s="24"/>
      <c r="S138" s="20">
        <v>2.800061965442511</v>
      </c>
      <c r="T138" s="22">
        <v>1.03</v>
      </c>
      <c r="U138" s="30"/>
      <c r="V138" s="30"/>
      <c r="W138" s="18">
        <v>0.95</v>
      </c>
      <c r="X138" s="22">
        <f t="shared" si="12"/>
        <v>0.5325083653</v>
      </c>
      <c r="Y138" s="20">
        <f t="shared" si="4"/>
        <v>27.46003663</v>
      </c>
      <c r="Z138" s="20">
        <f t="shared" si="6"/>
        <v>-14.27026489</v>
      </c>
      <c r="AA138" s="20"/>
      <c r="AB138" s="20">
        <f>IFERROR(__xludf.DUMMYFUNCTION("iferror(PERCENTRANK.INC(FILTER($X$2:$X$421, $U$2:$U$421&lt;3.75), $X138), 1)"),0.678)</f>
        <v>0.678</v>
      </c>
      <c r="AC138" s="20">
        <f>IFERROR(__xludf.DUMMYFUNCTION("iferror(PERCENTRANK.INC(FILTER($X$2:$X$421, $U$2:$U$421&lt;4.25), $X138), 1)"),0.664)</f>
        <v>0.664</v>
      </c>
      <c r="AD138" s="20">
        <f>IFERROR(__xludf.DUMMYFUNCTION("iferror(PERCENTRANK.INC(FILTER($X$2:$X$421, $U$2:$U$421&gt;=4.1), $X138), 0.01)"),0.01)</f>
        <v>0.01</v>
      </c>
      <c r="AE138" s="20"/>
    </row>
    <row r="139" ht="14.25" customHeight="1">
      <c r="A139" s="17" t="s">
        <v>389</v>
      </c>
      <c r="B139" s="17" t="s">
        <v>390</v>
      </c>
      <c r="C139" s="18">
        <v>2.0</v>
      </c>
      <c r="D139" s="17" t="s">
        <v>99</v>
      </c>
      <c r="E139" s="17" t="s">
        <v>149</v>
      </c>
      <c r="F139" s="18">
        <v>216.0</v>
      </c>
      <c r="G139" s="18">
        <v>197.0</v>
      </c>
      <c r="H139" s="18">
        <v>129.0</v>
      </c>
      <c r="I139" s="19">
        <v>0.655</v>
      </c>
      <c r="J139" s="18">
        <v>1713.0</v>
      </c>
      <c r="K139" s="18">
        <v>8.7</v>
      </c>
      <c r="L139" s="18">
        <v>12.0</v>
      </c>
      <c r="M139" s="18">
        <v>6.0</v>
      </c>
      <c r="N139" s="18">
        <v>16.0</v>
      </c>
      <c r="O139" s="18">
        <v>9.0</v>
      </c>
      <c r="P139" s="20">
        <f t="shared" si="1"/>
        <v>2.722362703</v>
      </c>
      <c r="Q139" s="20">
        <f t="shared" si="2"/>
        <v>40.83991093</v>
      </c>
      <c r="R139" s="24"/>
      <c r="S139" s="20">
        <v>2.7223627025756723</v>
      </c>
      <c r="T139" s="22">
        <v>1.93</v>
      </c>
      <c r="U139" s="30"/>
      <c r="V139" s="30"/>
      <c r="W139" s="18">
        <v>0.95</v>
      </c>
      <c r="X139" s="22">
        <f t="shared" si="12"/>
        <v>0.6774366851</v>
      </c>
      <c r="Y139" s="20">
        <f t="shared" si="4"/>
        <v>27.62683633</v>
      </c>
      <c r="Z139" s="20">
        <f t="shared" si="6"/>
        <v>-13.2130746</v>
      </c>
      <c r="AA139" s="20"/>
      <c r="AB139" s="20">
        <f>IFERROR(__xludf.DUMMYFUNCTION("iferror(PERCENTRANK.INC(FILTER($X$2:$X$421, $U$2:$U$421&lt;3.75), $X139), 1)"),0.76)</f>
        <v>0.76</v>
      </c>
      <c r="AC139" s="20">
        <f>IFERROR(__xludf.DUMMYFUNCTION("iferror(PERCENTRANK.INC(FILTER($X$2:$X$421, $U$2:$U$421&lt;4.25), $X139), 1)"),0.745)</f>
        <v>0.745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391</v>
      </c>
      <c r="B140" s="17" t="s">
        <v>392</v>
      </c>
      <c r="C140" s="18">
        <v>6.0</v>
      </c>
      <c r="D140" s="17" t="s">
        <v>99</v>
      </c>
      <c r="E140" s="17" t="s">
        <v>157</v>
      </c>
      <c r="F140" s="18">
        <v>179.0</v>
      </c>
      <c r="G140" s="18">
        <v>149.0</v>
      </c>
      <c r="H140" s="18">
        <v>87.0</v>
      </c>
      <c r="I140" s="19">
        <v>0.584</v>
      </c>
      <c r="J140" s="18">
        <v>1175.0</v>
      </c>
      <c r="K140" s="18">
        <v>7.9</v>
      </c>
      <c r="L140" s="18">
        <v>9.0</v>
      </c>
      <c r="M140" s="18">
        <v>2.0</v>
      </c>
      <c r="N140" s="18">
        <v>11.0</v>
      </c>
      <c r="O140" s="18">
        <v>1.0</v>
      </c>
      <c r="P140" s="20">
        <f t="shared" si="1"/>
        <v>2.663266359</v>
      </c>
      <c r="Q140" s="20">
        <f t="shared" si="2"/>
        <v>40.16269951</v>
      </c>
      <c r="R140" s="25"/>
      <c r="S140" s="20">
        <v>2.663266358516741</v>
      </c>
      <c r="T140" s="22">
        <v>-2.1</v>
      </c>
      <c r="U140" s="31"/>
      <c r="V140" s="30"/>
      <c r="W140" s="18">
        <v>0.9</v>
      </c>
      <c r="X140" s="22">
        <f t="shared" si="12"/>
        <v>0.0445409584</v>
      </c>
      <c r="Y140" s="20">
        <f t="shared" si="4"/>
        <v>26.89842923</v>
      </c>
      <c r="Z140" s="20">
        <f t="shared" si="6"/>
        <v>-13.26427028</v>
      </c>
      <c r="AA140" s="20"/>
      <c r="AB140" s="20">
        <f>IFERROR(__xludf.DUMMYFUNCTION("iferror(PERCENTRANK.INC(FILTER($X$2:$X$421, $U$2:$U$421&lt;3.75), $X140), 1)"),0.313)</f>
        <v>0.313</v>
      </c>
      <c r="AC140" s="20">
        <f>IFERROR(__xludf.DUMMYFUNCTION("iferror(PERCENTRANK.INC(FILTER($X$2:$X$421, $U$2:$U$421&lt;4.25), $X140), 1)"),0.306)</f>
        <v>0.306</v>
      </c>
      <c r="AD140" s="20">
        <f>IFERROR(__xludf.DUMMYFUNCTION("iferror(PERCENTRANK.INC(FILTER($X$2:$X$421, $U$2:$U$421&gt;=4.1), $X140), 0.01)"),0.01)</f>
        <v>0.01</v>
      </c>
      <c r="AE140" s="20"/>
    </row>
    <row r="141" ht="14.25" customHeight="1">
      <c r="A141" s="17" t="s">
        <v>393</v>
      </c>
      <c r="B141" s="17" t="s">
        <v>394</v>
      </c>
      <c r="C141" s="18">
        <v>6.0</v>
      </c>
      <c r="D141" s="17" t="s">
        <v>99</v>
      </c>
      <c r="E141" s="17" t="s">
        <v>209</v>
      </c>
      <c r="F141" s="18">
        <v>394.0</v>
      </c>
      <c r="G141" s="18">
        <v>336.0</v>
      </c>
      <c r="H141" s="18">
        <v>200.0</v>
      </c>
      <c r="I141" s="19">
        <v>0.595</v>
      </c>
      <c r="J141" s="18">
        <v>1985.0</v>
      </c>
      <c r="K141" s="18">
        <v>5.9</v>
      </c>
      <c r="L141" s="18">
        <v>15.0</v>
      </c>
      <c r="M141" s="18">
        <v>7.0</v>
      </c>
      <c r="N141" s="18">
        <v>27.0</v>
      </c>
      <c r="O141" s="18">
        <v>11.0</v>
      </c>
      <c r="P141" s="20">
        <f t="shared" si="1"/>
        <v>2.723446605</v>
      </c>
      <c r="Q141" s="20">
        <f t="shared" si="2"/>
        <v>40.85233186</v>
      </c>
      <c r="R141" s="24"/>
      <c r="S141" s="20">
        <v>2.7234466050277986</v>
      </c>
      <c r="T141" s="22">
        <v>1.31</v>
      </c>
      <c r="U141" s="30"/>
      <c r="V141" s="30"/>
      <c r="W141" s="18">
        <v>0.9</v>
      </c>
      <c r="X141" s="22">
        <f t="shared" si="12"/>
        <v>0.5641652917</v>
      </c>
      <c r="Y141" s="20">
        <f t="shared" si="4"/>
        <v>27.49647096</v>
      </c>
      <c r="Z141" s="20">
        <f t="shared" si="6"/>
        <v>-13.3558609</v>
      </c>
      <c r="AA141" s="20"/>
      <c r="AB141" s="20">
        <f>IFERROR(__xludf.DUMMYFUNCTION("iferror(PERCENTRANK.INC(FILTER($X$2:$X$421, $U$2:$U$421&lt;3.75), $X141), 1)"),0.693)</f>
        <v>0.693</v>
      </c>
      <c r="AC141" s="20">
        <f>IFERROR(__xludf.DUMMYFUNCTION("iferror(PERCENTRANK.INC(FILTER($X$2:$X$421, $U$2:$U$421&lt;4.25), $X141), 1)"),0.679)</f>
        <v>0.679</v>
      </c>
      <c r="AD141" s="20">
        <f>IFERROR(__xludf.DUMMYFUNCTION("iferror(PERCENTRANK.INC(FILTER($X$2:$X$421, $U$2:$U$421&gt;=4.1), $X141), 0.01)"),0.01)</f>
        <v>0.01</v>
      </c>
      <c r="AE141" s="20"/>
    </row>
    <row r="142" ht="14.25" customHeight="1">
      <c r="A142" s="17" t="s">
        <v>395</v>
      </c>
      <c r="B142" s="17" t="s">
        <v>396</v>
      </c>
      <c r="C142" s="18">
        <v>8.0</v>
      </c>
      <c r="D142" s="17" t="s">
        <v>99</v>
      </c>
      <c r="E142" s="17" t="s">
        <v>157</v>
      </c>
      <c r="F142" s="18">
        <v>464.0</v>
      </c>
      <c r="G142" s="18">
        <v>439.0</v>
      </c>
      <c r="H142" s="18">
        <v>291.0</v>
      </c>
      <c r="I142" s="19">
        <v>0.663</v>
      </c>
      <c r="J142" s="18">
        <v>2972.0</v>
      </c>
      <c r="K142" s="18">
        <v>6.8</v>
      </c>
      <c r="L142" s="18">
        <v>17.0</v>
      </c>
      <c r="M142" s="18">
        <v>13.0</v>
      </c>
      <c r="N142" s="18">
        <v>23.0</v>
      </c>
      <c r="O142" s="18">
        <v>14.0</v>
      </c>
      <c r="P142" s="20">
        <f t="shared" si="1"/>
        <v>2.699159506</v>
      </c>
      <c r="Q142" s="20">
        <f t="shared" si="2"/>
        <v>40.57401513</v>
      </c>
      <c r="R142" s="24"/>
      <c r="S142" s="20">
        <v>2.699159506008954</v>
      </c>
      <c r="T142" s="22">
        <v>2.64</v>
      </c>
      <c r="U142" s="16">
        <v>4.25</v>
      </c>
      <c r="V142" s="16">
        <v>13.19</v>
      </c>
      <c r="W142" s="26">
        <v>0.9</v>
      </c>
      <c r="X142" s="22">
        <f t="shared" si="12"/>
        <v>3.775873926</v>
      </c>
      <c r="Y142" s="20">
        <f t="shared" si="4"/>
        <v>31.19286404</v>
      </c>
      <c r="Z142" s="20">
        <f t="shared" si="6"/>
        <v>-9.381151095</v>
      </c>
      <c r="AA142" s="20"/>
      <c r="AB142" s="20">
        <f>IFERROR(__xludf.DUMMYFUNCTION("iferror(PERCENTRANK.INC(FILTER($X$2:$X$421, $U$2:$U$421&lt;3.75), $X142), 1)"),0.995)</f>
        <v>0.995</v>
      </c>
      <c r="AC142" s="20">
        <f>IFERROR(__xludf.DUMMYFUNCTION("iferror(PERCENTRANK.INC(FILTER($X$2:$X$421, $U$2:$U$421&lt;4.25), $X142), 1)"),0.995)</f>
        <v>0.995</v>
      </c>
      <c r="AD142" s="20">
        <f>IFERROR(__xludf.DUMMYFUNCTION("iferror(PERCENTRANK.INC(FILTER($X$2:$X$421, $U$2:$U$421&gt;=4.1), $X142), 0.01)"),0.538)</f>
        <v>0.538</v>
      </c>
      <c r="AE142" s="20"/>
    </row>
    <row r="143" ht="14.25" customHeight="1">
      <c r="A143" s="17" t="s">
        <v>397</v>
      </c>
      <c r="B143" s="17" t="s">
        <v>319</v>
      </c>
      <c r="C143" s="18">
        <v>1.0</v>
      </c>
      <c r="D143" s="17" t="s">
        <v>99</v>
      </c>
      <c r="E143" s="17" t="s">
        <v>117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27.68946457</v>
      </c>
      <c r="Z143" s="20">
        <f t="shared" si="6"/>
        <v>-11.96618736</v>
      </c>
      <c r="AA143" s="20"/>
      <c r="AB143" s="20">
        <f>IFERROR(__xludf.DUMMYFUNCTION("iferror(PERCENTRANK.INC(FILTER($X$2:$X$421, $U$2:$U$421&lt;3.75), $X143), 1)"),0.79)</f>
        <v>0.79</v>
      </c>
      <c r="AC143" s="20">
        <f>IFERROR(__xludf.DUMMYFUNCTION("iferror(PERCENTRANK.INC(FILTER($X$2:$X$421, $U$2:$U$421&lt;4.25), $X143), 1)"),0.775)</f>
        <v>0.775</v>
      </c>
      <c r="AD143" s="20">
        <f>IFERROR(__xludf.DUMMYFUNCTION("iferror(PERCENTRANK.INC(FILTER($X$2:$X$421, $U$2:$U$421&gt;=4.1), $X143), 0.01)"),0.01)</f>
        <v>0.01</v>
      </c>
      <c r="AE143" s="20"/>
    </row>
    <row r="144" ht="14.25" customHeight="1">
      <c r="A144" s="17" t="s">
        <v>398</v>
      </c>
      <c r="B144" s="17" t="s">
        <v>399</v>
      </c>
      <c r="C144" s="18">
        <v>17.0</v>
      </c>
      <c r="D144" s="17" t="s">
        <v>99</v>
      </c>
      <c r="E144" s="17" t="s">
        <v>108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6">
        <v>0.95</v>
      </c>
      <c r="X144" s="22">
        <f t="shared" si="12"/>
        <v>0.8546769753</v>
      </c>
      <c r="Y144" s="20">
        <f t="shared" si="4"/>
        <v>27.83082426</v>
      </c>
      <c r="Z144" s="20">
        <f t="shared" si="6"/>
        <v>-12.49895563</v>
      </c>
      <c r="AA144" s="20"/>
      <c r="AB144" s="20">
        <f>IFERROR(__xludf.DUMMYFUNCTION("iferror(PERCENTRANK.INC(FILTER($X$2:$X$421, $U$2:$U$421&lt;3.75), $X144), 1)"),0.85)</f>
        <v>0.85</v>
      </c>
      <c r="AC144" s="20">
        <f>IFERROR(__xludf.DUMMYFUNCTION("iferror(PERCENTRANK.INC(FILTER($X$2:$X$421, $U$2:$U$421&lt;4.25), $X144), 1)"),0.833)</f>
        <v>0.833</v>
      </c>
      <c r="AD144" s="20">
        <f>IFERROR(__xludf.DUMMYFUNCTION("iferror(PERCENTRANK.INC(FILTER($X$2:$X$421, $U$2:$U$421&gt;=4.1), $X144), 0.01)"),0.01)</f>
        <v>0.01</v>
      </c>
      <c r="AE144" s="20"/>
    </row>
    <row r="145" ht="14.25" customHeight="1">
      <c r="A145" s="17" t="s">
        <v>400</v>
      </c>
      <c r="B145" s="17" t="s">
        <v>401</v>
      </c>
      <c r="C145" s="18">
        <v>17.0</v>
      </c>
      <c r="D145" s="17" t="s">
        <v>99</v>
      </c>
      <c r="E145" s="17" t="s">
        <v>209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27.15216406</v>
      </c>
      <c r="Z145" s="20">
        <f t="shared" si="6"/>
        <v>-11.28073841</v>
      </c>
      <c r="AA145" s="20"/>
      <c r="AB145" s="20">
        <f>IFERROR(__xludf.DUMMYFUNCTION("iferror(PERCENTRANK.INC(FILTER($X$2:$X$421, $U$2:$U$421&lt;3.75), $X145), 1)"),0.52)</f>
        <v>0.52</v>
      </c>
      <c r="AC145" s="20">
        <f>IFERROR(__xludf.DUMMYFUNCTION("iferror(PERCENTRANK.INC(FILTER($X$2:$X$421, $U$2:$U$421&lt;4.25), $X145), 1)"),0.51)</f>
        <v>0.51</v>
      </c>
      <c r="AD145" s="20">
        <f>IFERROR(__xludf.DUMMYFUNCTION("iferror(PERCENTRANK.INC(FILTER($X$2:$X$421, $U$2:$U$421&gt;=4.1), $X145), 0.01)"),0.01)</f>
        <v>0.01</v>
      </c>
      <c r="AE145" s="20"/>
    </row>
    <row r="146" ht="14.25" customHeight="1">
      <c r="A146" s="17" t="s">
        <v>402</v>
      </c>
      <c r="B146" s="17" t="s">
        <v>379</v>
      </c>
      <c r="C146" s="18">
        <v>7.0</v>
      </c>
      <c r="D146" s="17" t="s">
        <v>99</v>
      </c>
      <c r="E146" s="17" t="s">
        <v>141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27.36214277</v>
      </c>
      <c r="Z146" s="20">
        <f t="shared" si="6"/>
        <v>-11.62930021</v>
      </c>
      <c r="AA146" s="20"/>
      <c r="AB146" s="20">
        <f>IFERROR(__xludf.DUMMYFUNCTION("iferror(PERCENTRANK.INC(FILTER($X$2:$X$421, $U$2:$U$421&lt;3.75), $X146), 1)"),0.615)</f>
        <v>0.615</v>
      </c>
      <c r="AC146" s="20">
        <f>IFERROR(__xludf.DUMMYFUNCTION("iferror(PERCENTRANK.INC(FILTER($X$2:$X$421, $U$2:$U$421&lt;4.25), $X146), 1)"),0.603)</f>
        <v>0.603</v>
      </c>
      <c r="AD146" s="20">
        <f>IFERROR(__xludf.DUMMYFUNCTION("iferror(PERCENTRANK.INC(FILTER($X$2:$X$421, $U$2:$U$421&gt;=4.1), $X146), 0.01)"),0.01)</f>
        <v>0.01</v>
      </c>
      <c r="AE146" s="20"/>
    </row>
    <row r="147" ht="14.25" customHeight="1">
      <c r="A147" s="17" t="s">
        <v>403</v>
      </c>
      <c r="B147" s="17" t="s">
        <v>404</v>
      </c>
      <c r="C147" s="18">
        <v>11.0</v>
      </c>
      <c r="D147" s="17" t="s">
        <v>99</v>
      </c>
      <c r="E147" s="17" t="s">
        <v>164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6">
        <v>1.0</v>
      </c>
      <c r="X147" s="22">
        <f t="shared" si="12"/>
        <v>0.8958478172</v>
      </c>
      <c r="Y147" s="20">
        <f t="shared" si="4"/>
        <v>27.87820826</v>
      </c>
      <c r="Z147" s="20">
        <f t="shared" si="6"/>
        <v>-10.32552654</v>
      </c>
      <c r="AA147" s="20"/>
      <c r="AB147" s="20">
        <f>IFERROR(__xludf.DUMMYFUNCTION("iferror(PERCENTRANK.INC(FILTER($X$2:$X$421, $U$2:$U$421&lt;3.75), $X147), 1)"),0.89)</f>
        <v>0.89</v>
      </c>
      <c r="AC147" s="20">
        <f>IFERROR(__xludf.DUMMYFUNCTION("iferror(PERCENTRANK.INC(FILTER($X$2:$X$421, $U$2:$U$421&lt;4.25), $X147), 1)"),0.873)</f>
        <v>0.873</v>
      </c>
      <c r="AD147" s="20">
        <f>IFERROR(__xludf.DUMMYFUNCTION("iferror(PERCENTRANK.INC(FILTER($X$2:$X$421, $U$2:$U$421&gt;=4.1), $X147), 0.01)"),0.01)</f>
        <v>0.01</v>
      </c>
      <c r="AE147" s="20"/>
    </row>
    <row r="148" ht="14.25" customHeight="1">
      <c r="A148" s="17" t="s">
        <v>405</v>
      </c>
      <c r="B148" s="17" t="s">
        <v>406</v>
      </c>
      <c r="C148" s="18">
        <v>19.0</v>
      </c>
      <c r="D148" s="17" t="s">
        <v>99</v>
      </c>
      <c r="E148" s="17" t="s">
        <v>164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6">
        <v>1.0</v>
      </c>
      <c r="X148" s="22">
        <f t="shared" si="12"/>
        <v>0.5745194552</v>
      </c>
      <c r="Y148" s="20">
        <f t="shared" si="4"/>
        <v>27.50838769</v>
      </c>
      <c r="Z148" s="20">
        <f t="shared" si="6"/>
        <v>-12.17213039</v>
      </c>
      <c r="AA148" s="20"/>
      <c r="AB148" s="20">
        <f>IFERROR(__xludf.DUMMYFUNCTION("iferror(PERCENTRANK.INC(FILTER($X$2:$X$421, $U$2:$U$421&lt;3.75), $X148), 1)"),0.705)</f>
        <v>0.705</v>
      </c>
      <c r="AC148" s="20">
        <f>IFERROR(__xludf.DUMMYFUNCTION("iferror(PERCENTRANK.INC(FILTER($X$2:$X$421, $U$2:$U$421&lt;4.25), $X148), 1)"),0.691)</f>
        <v>0.691</v>
      </c>
      <c r="AD148" s="20">
        <f>IFERROR(__xludf.DUMMYFUNCTION("iferror(PERCENTRANK.INC(FILTER($X$2:$X$421, $U$2:$U$421&gt;=4.1), $X148), 0.01)"),0.01)</f>
        <v>0.01</v>
      </c>
      <c r="AE148" s="20"/>
    </row>
    <row r="149" ht="14.25" customHeight="1">
      <c r="A149" s="17" t="s">
        <v>407</v>
      </c>
      <c r="B149" s="17" t="s">
        <v>408</v>
      </c>
      <c r="C149" s="18">
        <v>1.0</v>
      </c>
      <c r="D149" s="17" t="s">
        <v>99</v>
      </c>
      <c r="E149" s="17" t="s">
        <v>130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27.27280597</v>
      </c>
      <c r="Z149" s="20">
        <f t="shared" si="6"/>
        <v>-12.36251369</v>
      </c>
      <c r="AA149" s="20"/>
      <c r="AB149" s="20">
        <f>IFERROR(__xludf.DUMMYFUNCTION("iferror(PERCENTRANK.INC(FILTER($X$2:$X$421, $U$2:$U$421&lt;3.75), $X149), 1)"),0.58)</f>
        <v>0.58</v>
      </c>
      <c r="AC149" s="20">
        <f>IFERROR(__xludf.DUMMYFUNCTION("iferror(PERCENTRANK.INC(FILTER($X$2:$X$421, $U$2:$U$421&lt;4.25), $X149), 1)"),0.569)</f>
        <v>0.569</v>
      </c>
      <c r="AD149" s="20">
        <f>IFERROR(__xludf.DUMMYFUNCTION("iferror(PERCENTRANK.INC(FILTER($X$2:$X$421, $U$2:$U$421&gt;=4.1), $X149), 0.01)"),0.01)</f>
        <v>0.01</v>
      </c>
      <c r="AE149" s="20"/>
    </row>
    <row r="150" ht="14.25" customHeight="1">
      <c r="A150" s="17" t="s">
        <v>409</v>
      </c>
      <c r="B150" s="17" t="s">
        <v>410</v>
      </c>
      <c r="C150" s="18">
        <v>12.0</v>
      </c>
      <c r="D150" s="17" t="s">
        <v>99</v>
      </c>
      <c r="E150" s="17" t="s">
        <v>149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26.84716652</v>
      </c>
      <c r="Z150" s="20">
        <f t="shared" si="6"/>
        <v>-12.69764061</v>
      </c>
      <c r="AA150" s="20"/>
      <c r="AB150" s="20">
        <f>IFERROR(__xludf.DUMMYFUNCTION("iferror(PERCENTRANK.INC(FILTER($X$2:$X$421, $U$2:$U$421&lt;3.75), $X150), 1)"),0.255)</f>
        <v>0.255</v>
      </c>
      <c r="AC150" s="20">
        <f>IFERROR(__xludf.DUMMYFUNCTION("iferror(PERCENTRANK.INC(FILTER($X$2:$X$421, $U$2:$U$421&lt;4.25), $X150), 1)"),0.25)</f>
        <v>0.25</v>
      </c>
      <c r="AD150" s="20">
        <f>IFERROR(__xludf.DUMMYFUNCTION("iferror(PERCENTRANK.INC(FILTER($X$2:$X$421, $U$2:$U$421&gt;=4.1), $X150), 0.01)"),0.01)</f>
        <v>0.01</v>
      </c>
      <c r="AE150" s="20"/>
    </row>
    <row r="151" ht="14.25" customHeight="1">
      <c r="A151" s="17" t="s">
        <v>411</v>
      </c>
      <c r="B151" s="17" t="s">
        <v>412</v>
      </c>
      <c r="C151" s="18">
        <v>2.0</v>
      </c>
      <c r="D151" s="17" t="s">
        <v>99</v>
      </c>
      <c r="E151" s="17" t="s">
        <v>149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5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27.42425239</v>
      </c>
      <c r="Z151" s="20">
        <f t="shared" si="6"/>
        <v>-12.04525239</v>
      </c>
      <c r="AA151" s="20"/>
      <c r="AB151" s="20">
        <f>IFERROR(__xludf.DUMMYFUNCTION("iferror(PERCENTRANK.INC(FILTER($X$2:$X$421, $U$2:$U$421&lt;3.75), $X151), 1)"),0.648)</f>
        <v>0.648</v>
      </c>
      <c r="AC151" s="20">
        <f>IFERROR(__xludf.DUMMYFUNCTION("iferror(PERCENTRANK.INC(FILTER($X$2:$X$421, $U$2:$U$421&lt;4.25), $X151), 1)"),0.635)</f>
        <v>0.635</v>
      </c>
      <c r="AD151" s="20">
        <f>IFERROR(__xludf.DUMMYFUNCTION("iferror(PERCENTRANK.INC(FILTER($X$2:$X$421, $U$2:$U$421&gt;=4.1), $X151), 0.01)"),0.01)</f>
        <v>0.01</v>
      </c>
      <c r="AE151" s="20"/>
    </row>
    <row r="152" ht="14.25" customHeight="1">
      <c r="A152" s="17" t="s">
        <v>413</v>
      </c>
      <c r="B152" s="17" t="s">
        <v>404</v>
      </c>
      <c r="C152" s="18">
        <v>2.0</v>
      </c>
      <c r="D152" s="17" t="s">
        <v>99</v>
      </c>
      <c r="E152" s="17" t="s">
        <v>164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27.43912781</v>
      </c>
      <c r="Z152" s="20">
        <f t="shared" si="6"/>
        <v>-11.02079664</v>
      </c>
      <c r="AA152" s="20"/>
      <c r="AB152" s="20">
        <f>IFERROR(__xludf.DUMMYFUNCTION("iferror(PERCENTRANK.INC(FILTER($X$2:$X$421, $U$2:$U$421&lt;3.75), $X152), 1)"),0.66)</f>
        <v>0.66</v>
      </c>
      <c r="AC152" s="20">
        <f>IFERROR(__xludf.DUMMYFUNCTION("iferror(PERCENTRANK.INC(FILTER($X$2:$X$421, $U$2:$U$421&lt;4.25), $X152), 1)"),0.647)</f>
        <v>0.647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414</v>
      </c>
      <c r="B153" s="17" t="s">
        <v>415</v>
      </c>
      <c r="C153" s="18">
        <v>11.0</v>
      </c>
      <c r="D153" s="17" t="s">
        <v>99</v>
      </c>
      <c r="E153" s="17" t="s">
        <v>152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27.50254734</v>
      </c>
      <c r="Z153" s="20">
        <f t="shared" si="6"/>
        <v>-11.63338229</v>
      </c>
      <c r="AA153" s="20"/>
      <c r="AB153" s="20">
        <f>IFERROR(__xludf.DUMMYFUNCTION("iferror(PERCENTRANK.INC(FILTER($X$2:$X$421, $U$2:$U$421&lt;3.75), $X153), 1)"),0.7)</f>
        <v>0.7</v>
      </c>
      <c r="AC153" s="20">
        <f>IFERROR(__xludf.DUMMYFUNCTION("iferror(PERCENTRANK.INC(FILTER($X$2:$X$421, $U$2:$U$421&lt;4.25), $X153), 1)"),0.686)</f>
        <v>0.686</v>
      </c>
      <c r="AD153" s="20">
        <f>IFERROR(__xludf.DUMMYFUNCTION("iferror(PERCENTRANK.INC(FILTER($X$2:$X$421, $U$2:$U$421&gt;=4.1), $X153), 0.01)"),0.01)</f>
        <v>0.01</v>
      </c>
      <c r="AE153" s="20"/>
    </row>
    <row r="154" ht="14.25" customHeight="1">
      <c r="A154" s="17" t="s">
        <v>416</v>
      </c>
      <c r="B154" s="17" t="s">
        <v>417</v>
      </c>
      <c r="C154" s="18">
        <v>10.0</v>
      </c>
      <c r="D154" s="17" t="s">
        <v>99</v>
      </c>
      <c r="E154" s="17" t="s">
        <v>141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6">
        <v>0.9</v>
      </c>
      <c r="X154" s="22">
        <f t="shared" si="13"/>
        <v>0.2090809157</v>
      </c>
      <c r="Y154" s="20">
        <f t="shared" si="4"/>
        <v>27.08780019</v>
      </c>
      <c r="Z154" s="20">
        <f t="shared" si="6"/>
        <v>-11.06973409</v>
      </c>
      <c r="AA154" s="20"/>
      <c r="AB154" s="20">
        <f>IFERROR(__xludf.DUMMYFUNCTION("iferror(PERCENTRANK.INC(FILTER($X$2:$X$421, $U$2:$U$421&lt;3.75), $X154), 1)"),0.473)</f>
        <v>0.473</v>
      </c>
      <c r="AC154" s="20">
        <f>IFERROR(__xludf.DUMMYFUNCTION("iferror(PERCENTRANK.INC(FILTER($X$2:$X$421, $U$2:$U$421&lt;4.25), $X154), 1)"),0.463)</f>
        <v>0.463</v>
      </c>
      <c r="AD154" s="20">
        <f>IFERROR(__xludf.DUMMYFUNCTION("iferror(PERCENTRANK.INC(FILTER($X$2:$X$421, $U$2:$U$421&gt;=4.1), $X154), 0.01)"),0.01)</f>
        <v>0.01</v>
      </c>
      <c r="AE154" s="20"/>
    </row>
    <row r="155" ht="14.25" customHeight="1">
      <c r="A155" s="17" t="s">
        <v>418</v>
      </c>
      <c r="B155" s="17" t="s">
        <v>419</v>
      </c>
      <c r="C155" s="18">
        <v>9.0</v>
      </c>
      <c r="D155" s="17" t="s">
        <v>99</v>
      </c>
      <c r="E155" s="17" t="s">
        <v>164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6">
        <v>1.0</v>
      </c>
      <c r="X155" s="22">
        <f t="shared" ref="X155:X421" si="14">IFERROR((U155*0.7+T155*0.15+S155*0.15*W160),0)</f>
        <v>0.1942383581</v>
      </c>
      <c r="Y155" s="20">
        <f t="shared" si="4"/>
        <v>27.07071772</v>
      </c>
      <c r="Z155" s="20">
        <f t="shared" si="6"/>
        <v>-11.15638779</v>
      </c>
      <c r="AA155" s="20"/>
      <c r="AB155" s="20">
        <f>IFERROR(__xludf.DUMMYFUNCTION("iferror(PERCENTRANK.INC(FILTER($X$2:$X$421, $U$2:$U$421&lt;3.75), $X155), 1)"),0.465)</f>
        <v>0.465</v>
      </c>
      <c r="AC155" s="20">
        <f>IFERROR(__xludf.DUMMYFUNCTION("iferror(PERCENTRANK.INC(FILTER($X$2:$X$421, $U$2:$U$421&lt;4.25), $X155), 1)"),0.456)</f>
        <v>0.456</v>
      </c>
      <c r="AD155" s="20">
        <f>IFERROR(__xludf.DUMMYFUNCTION("iferror(PERCENTRANK.INC(FILTER($X$2:$X$421, $U$2:$U$421&gt;=4.1), $X155), 0.01)"),0.01)</f>
        <v>0.01</v>
      </c>
      <c r="AE155" s="20"/>
    </row>
    <row r="156" ht="14.25" customHeight="1">
      <c r="A156" s="17" t="s">
        <v>420</v>
      </c>
      <c r="B156" s="17" t="s">
        <v>421</v>
      </c>
      <c r="C156" s="18">
        <v>4.0</v>
      </c>
      <c r="D156" s="17" t="s">
        <v>99</v>
      </c>
      <c r="E156" s="17" t="s">
        <v>108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27.23093923</v>
      </c>
      <c r="Z156" s="20">
        <f t="shared" si="6"/>
        <v>-10.0639261</v>
      </c>
      <c r="AA156" s="20"/>
      <c r="AB156" s="20">
        <f>IFERROR(__xludf.DUMMYFUNCTION("iferror(PERCENTRANK.INC(FILTER($X$2:$X$421, $U$2:$U$421&lt;3.75), $X156), 1)"),0.555)</f>
        <v>0.555</v>
      </c>
      <c r="AC156" s="20">
        <f>IFERROR(__xludf.DUMMYFUNCTION("iferror(PERCENTRANK.INC(FILTER($X$2:$X$421, $U$2:$U$421&lt;4.25), $X156), 1)"),0.544)</f>
        <v>0.544</v>
      </c>
      <c r="AD156" s="20">
        <f>IFERROR(__xludf.DUMMYFUNCTION("iferror(PERCENTRANK.INC(FILTER($X$2:$X$421, $U$2:$U$421&gt;=4.1), $X156), 0.01)"),0.01)</f>
        <v>0.01</v>
      </c>
      <c r="AE156" s="20"/>
    </row>
    <row r="157" ht="14.25" customHeight="1">
      <c r="A157" s="17" t="s">
        <v>422</v>
      </c>
      <c r="B157" s="17" t="s">
        <v>423</v>
      </c>
      <c r="C157" s="18">
        <v>7.0</v>
      </c>
      <c r="D157" s="17" t="s">
        <v>99</v>
      </c>
      <c r="E157" s="17" t="s">
        <v>188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26.61090786</v>
      </c>
      <c r="Z157" s="20">
        <f t="shared" si="6"/>
        <v>-9.949502374</v>
      </c>
      <c r="AA157" s="20"/>
      <c r="AB157" s="20">
        <f>IFERROR(__xludf.DUMMYFUNCTION("iferror(PERCENTRANK.INC(FILTER($X$2:$X$421, $U$2:$U$421&lt;3.75), $X157), 1)"),0.11)</f>
        <v>0.11</v>
      </c>
      <c r="AC157" s="20">
        <f>IFERROR(__xludf.DUMMYFUNCTION("iferror(PERCENTRANK.INC(FILTER($X$2:$X$421, $U$2:$U$421&lt;4.25), $X157), 1)"),0.108)</f>
        <v>0.108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424</v>
      </c>
      <c r="B158" s="17" t="s">
        <v>425</v>
      </c>
      <c r="C158" s="18">
        <v>2.0</v>
      </c>
      <c r="D158" s="17" t="s">
        <v>99</v>
      </c>
      <c r="E158" s="17" t="s">
        <v>125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27.35236511</v>
      </c>
      <c r="Z158" s="20">
        <f t="shared" si="6"/>
        <v>-9.749629824</v>
      </c>
      <c r="AA158" s="20"/>
      <c r="AB158" s="20">
        <f>IFERROR(__xludf.DUMMYFUNCTION("iferror(PERCENTRANK.INC(FILTER($X$2:$X$421, $U$2:$U$421&lt;3.75), $X158), 1)"),0.61)</f>
        <v>0.61</v>
      </c>
      <c r="AC158" s="20">
        <f>IFERROR(__xludf.DUMMYFUNCTION("iferror(PERCENTRANK.INC(FILTER($X$2:$X$421, $U$2:$U$421&lt;4.25), $X158), 1)"),0.598)</f>
        <v>0.598</v>
      </c>
      <c r="AD158" s="20">
        <f>IFERROR(__xludf.DUMMYFUNCTION("iferror(PERCENTRANK.INC(FILTER($X$2:$X$421, $U$2:$U$421&gt;=4.1), $X158), 0.01)"),0.01)</f>
        <v>0.01</v>
      </c>
      <c r="AE158" s="20"/>
    </row>
    <row r="159" ht="14.25" customHeight="1">
      <c r="A159" s="17" t="s">
        <v>426</v>
      </c>
      <c r="B159" s="17" t="s">
        <v>427</v>
      </c>
      <c r="C159" s="18">
        <v>10.0</v>
      </c>
      <c r="D159" s="17" t="s">
        <v>99</v>
      </c>
      <c r="E159" s="17" t="s">
        <v>108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27.53546303</v>
      </c>
      <c r="Z159" s="20">
        <f t="shared" si="6"/>
        <v>-8.773395898</v>
      </c>
      <c r="AA159" s="20"/>
      <c r="AB159" s="20">
        <f>IFERROR(__xludf.DUMMYFUNCTION("iferror(PERCENTRANK.INC(FILTER($X$2:$X$421, $U$2:$U$421&lt;3.75), $X159), 1)"),0.718)</f>
        <v>0.718</v>
      </c>
      <c r="AC159" s="20">
        <f>IFERROR(__xludf.DUMMYFUNCTION("iferror(PERCENTRANK.INC(FILTER($X$2:$X$421, $U$2:$U$421&lt;4.25), $X159), 1)"),0.703)</f>
        <v>0.703</v>
      </c>
      <c r="AD159" s="20">
        <f>IFERROR(__xludf.DUMMYFUNCTION("iferror(PERCENTRANK.INC(FILTER($X$2:$X$421, $U$2:$U$421&gt;=4.1), $X159), 0.01)"),0.01)</f>
        <v>0.01</v>
      </c>
      <c r="AE159" s="20"/>
    </row>
    <row r="160" ht="14.25" customHeight="1">
      <c r="A160" s="17" t="s">
        <v>428</v>
      </c>
      <c r="B160" s="17" t="s">
        <v>429</v>
      </c>
      <c r="C160" s="18">
        <v>13.0</v>
      </c>
      <c r="D160" s="17" t="s">
        <v>99</v>
      </c>
      <c r="E160" s="17" t="s">
        <v>111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27.42616517</v>
      </c>
      <c r="Z160" s="20">
        <f t="shared" si="6"/>
        <v>-9.514078217</v>
      </c>
      <c r="AA160" s="20"/>
      <c r="AB160" s="20">
        <f>IFERROR(__xludf.DUMMYFUNCTION("iferror(PERCENTRANK.INC(FILTER($X$2:$X$421, $U$2:$U$421&lt;3.75), $X160), 1)"),0.65)</f>
        <v>0.65</v>
      </c>
      <c r="AC160" s="20">
        <f>IFERROR(__xludf.DUMMYFUNCTION("iferror(PERCENTRANK.INC(FILTER($X$2:$X$421, $U$2:$U$421&lt;4.25), $X160), 1)"),0.637)</f>
        <v>0.637</v>
      </c>
      <c r="AD160" s="20">
        <f>IFERROR(__xludf.DUMMYFUNCTION("iferror(PERCENTRANK.INC(FILTER($X$2:$X$421, $U$2:$U$421&gt;=4.1), $X160), 0.01)"),0.01)</f>
        <v>0.01</v>
      </c>
      <c r="AE160" s="20"/>
    </row>
    <row r="161" ht="14.25" customHeight="1">
      <c r="A161" s="17" t="s">
        <v>430</v>
      </c>
      <c r="B161" s="17" t="s">
        <v>431</v>
      </c>
      <c r="C161" s="18">
        <v>10.0</v>
      </c>
      <c r="D161" s="17" t="s">
        <v>99</v>
      </c>
      <c r="E161" s="17" t="s">
        <v>179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27.43139945</v>
      </c>
      <c r="Z161" s="20">
        <f t="shared" si="6"/>
        <v>-10.12664749</v>
      </c>
      <c r="AA161" s="20"/>
      <c r="AB161" s="20">
        <f>IFERROR(__xludf.DUMMYFUNCTION("iferror(PERCENTRANK.INC(FILTER($X$2:$X$421, $U$2:$U$421&lt;3.75), $X161), 1)"),0.653)</f>
        <v>0.653</v>
      </c>
      <c r="AC161" s="20">
        <f>IFERROR(__xludf.DUMMYFUNCTION("iferror(PERCENTRANK.INC(FILTER($X$2:$X$421, $U$2:$U$421&lt;4.25), $X161), 1)"),0.64)</f>
        <v>0.64</v>
      </c>
      <c r="AD161" s="20">
        <f>IFERROR(__xludf.DUMMYFUNCTION("iferror(PERCENTRANK.INC(FILTER($X$2:$X$421, $U$2:$U$421&gt;=4.1), $X161), 0.01)"),0.01)</f>
        <v>0.01</v>
      </c>
      <c r="AE161" s="20"/>
    </row>
    <row r="162" ht="14.25" customHeight="1">
      <c r="A162" s="17" t="s">
        <v>432</v>
      </c>
      <c r="B162" s="17" t="s">
        <v>433</v>
      </c>
      <c r="C162" s="18">
        <v>1.0</v>
      </c>
      <c r="D162" s="17" t="s">
        <v>99</v>
      </c>
      <c r="E162" s="17" t="s">
        <v>120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27.09461174</v>
      </c>
      <c r="Z162" s="20">
        <f t="shared" si="6"/>
        <v>-9.057995912</v>
      </c>
      <c r="AA162" s="20"/>
      <c r="AB162" s="20">
        <f>IFERROR(__xludf.DUMMYFUNCTION("iferror(PERCENTRANK.INC(FILTER($X$2:$X$421, $U$2:$U$421&lt;3.75), $X162), 1)"),0.483)</f>
        <v>0.483</v>
      </c>
      <c r="AC162" s="20">
        <f>IFERROR(__xludf.DUMMYFUNCTION("iferror(PERCENTRANK.INC(FILTER($X$2:$X$421, $U$2:$U$421&lt;4.25), $X162), 1)"),0.473)</f>
        <v>0.473</v>
      </c>
      <c r="AD162" s="20">
        <f>IFERROR(__xludf.DUMMYFUNCTION("iferror(PERCENTRANK.INC(FILTER($X$2:$X$421, $U$2:$U$421&gt;=4.1), $X162), 0.01)"),0.01)</f>
        <v>0.01</v>
      </c>
      <c r="AE162" s="20"/>
    </row>
    <row r="163" ht="14.25" customHeight="1">
      <c r="A163" s="17" t="s">
        <v>434</v>
      </c>
      <c r="B163" s="17" t="s">
        <v>435</v>
      </c>
      <c r="C163" s="18">
        <v>9.0</v>
      </c>
      <c r="D163" s="17" t="s">
        <v>99</v>
      </c>
      <c r="E163" s="17" t="s">
        <v>125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6">
        <v>0.95</v>
      </c>
      <c r="X163" s="22">
        <f t="shared" si="14"/>
        <v>0.4695808265</v>
      </c>
      <c r="Y163" s="20">
        <f t="shared" si="4"/>
        <v>27.38761259</v>
      </c>
      <c r="Z163" s="20">
        <f t="shared" si="6"/>
        <v>-10.01971535</v>
      </c>
      <c r="AA163" s="20"/>
      <c r="AB163" s="20">
        <f>IFERROR(__xludf.DUMMYFUNCTION("iferror(PERCENTRANK.INC(FILTER($X$2:$X$421, $U$2:$U$421&lt;3.75), $X163), 1)"),0.63)</f>
        <v>0.63</v>
      </c>
      <c r="AC163" s="20">
        <f>IFERROR(__xludf.DUMMYFUNCTION("iferror(PERCENTRANK.INC(FILTER($X$2:$X$421, $U$2:$U$421&lt;4.25), $X163), 1)"),0.618)</f>
        <v>0.618</v>
      </c>
      <c r="AD163" s="20">
        <f>IFERROR(__xludf.DUMMYFUNCTION("iferror(PERCENTRANK.INC(FILTER($X$2:$X$421, $U$2:$U$421&gt;=4.1), $X163), 0.01)"),0.01)</f>
        <v>0.01</v>
      </c>
      <c r="AE163" s="20"/>
    </row>
    <row r="164" ht="14.25" customHeight="1">
      <c r="A164" s="17" t="s">
        <v>436</v>
      </c>
      <c r="B164" s="17" t="s">
        <v>437</v>
      </c>
      <c r="C164" s="18">
        <v>12.0</v>
      </c>
      <c r="D164" s="17" t="s">
        <v>99</v>
      </c>
      <c r="E164" s="17" t="s">
        <v>130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6">
        <v>1.0</v>
      </c>
      <c r="X164" s="22">
        <f t="shared" si="14"/>
        <v>0.512140065</v>
      </c>
      <c r="Y164" s="20">
        <f t="shared" si="4"/>
        <v>27.43659452</v>
      </c>
      <c r="Z164" s="20">
        <f t="shared" si="6"/>
        <v>-9.126913947</v>
      </c>
      <c r="AA164" s="20"/>
      <c r="AB164" s="20">
        <f>IFERROR(__xludf.DUMMYFUNCTION("iferror(PERCENTRANK.INC(FILTER($X$2:$X$421, $U$2:$U$421&lt;3.75), $X164), 1)"),0.655)</f>
        <v>0.655</v>
      </c>
      <c r="AC164" s="20">
        <f>IFERROR(__xludf.DUMMYFUNCTION("iferror(PERCENTRANK.INC(FILTER($X$2:$X$421, $U$2:$U$421&lt;4.25), $X164), 1)"),0.642)</f>
        <v>0.642</v>
      </c>
      <c r="AD164" s="20">
        <f>IFERROR(__xludf.DUMMYFUNCTION("iferror(PERCENTRANK.INC(FILTER($X$2:$X$421, $U$2:$U$421&gt;=4.1), $X164), 0.01)"),0.01)</f>
        <v>0.01</v>
      </c>
      <c r="AE164" s="20"/>
    </row>
    <row r="165" ht="14.25" customHeight="1">
      <c r="A165" s="17" t="s">
        <v>438</v>
      </c>
      <c r="B165" s="17" t="s">
        <v>439</v>
      </c>
      <c r="C165" s="18">
        <v>16.0</v>
      </c>
      <c r="D165" s="17" t="s">
        <v>99</v>
      </c>
      <c r="E165" s="17" t="s">
        <v>117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26.75829251</v>
      </c>
      <c r="Z165" s="20">
        <f t="shared" si="6"/>
        <v>-8.842746249</v>
      </c>
      <c r="AA165" s="20"/>
      <c r="AB165" s="20">
        <f>IFERROR(__xludf.DUMMYFUNCTION("iferror(PERCENTRANK.INC(FILTER($X$2:$X$421, $U$2:$U$421&lt;3.75), $X165), 1)"),0.193)</f>
        <v>0.193</v>
      </c>
      <c r="AC165" s="20">
        <f>IFERROR(__xludf.DUMMYFUNCTION("iferror(PERCENTRANK.INC(FILTER($X$2:$X$421, $U$2:$U$421&lt;4.25), $X165), 1)"),0.189)</f>
        <v>0.189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440</v>
      </c>
      <c r="B166" s="17" t="s">
        <v>441</v>
      </c>
      <c r="C166" s="18">
        <v>13.0</v>
      </c>
      <c r="D166" s="17" t="s">
        <v>99</v>
      </c>
      <c r="E166" s="17" t="s">
        <v>149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5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27.37294217</v>
      </c>
      <c r="Z166" s="20">
        <f t="shared" si="6"/>
        <v>-8.825051001</v>
      </c>
      <c r="AA166" s="20"/>
      <c r="AB166" s="20">
        <f>IFERROR(__xludf.DUMMYFUNCTION("iferror(PERCENTRANK.INC(FILTER($X$2:$X$421, $U$2:$U$421&lt;3.75), $X166), 1)"),0.623)</f>
        <v>0.623</v>
      </c>
      <c r="AC166" s="20">
        <f>IFERROR(__xludf.DUMMYFUNCTION("iferror(PERCENTRANK.INC(FILTER($X$2:$X$421, $U$2:$U$421&lt;4.25), $X166), 1)"),0.61)</f>
        <v>0.61</v>
      </c>
      <c r="AD166" s="20">
        <f>IFERROR(__xludf.DUMMYFUNCTION("iferror(PERCENTRANK.INC(FILTER($X$2:$X$421, $U$2:$U$421&gt;=4.1), $X166), 0.01)"),0.01)</f>
        <v>0.01</v>
      </c>
      <c r="AE166" s="20"/>
    </row>
    <row r="167" ht="14.25" customHeight="1">
      <c r="A167" s="17" t="s">
        <v>442</v>
      </c>
      <c r="B167" s="17" t="s">
        <v>443</v>
      </c>
      <c r="C167" s="18">
        <v>7.0</v>
      </c>
      <c r="D167" s="17" t="s">
        <v>99</v>
      </c>
      <c r="E167" s="17" t="s">
        <v>130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27.09282685</v>
      </c>
      <c r="Z167" s="20">
        <f t="shared" si="6"/>
        <v>-8.941302093</v>
      </c>
      <c r="AA167" s="20"/>
      <c r="AB167" s="20">
        <f>IFERROR(__xludf.DUMMYFUNCTION("iferror(PERCENTRANK.INC(FILTER($X$2:$X$421, $U$2:$U$421&lt;3.75), $X167), 1)"),0.48)</f>
        <v>0.48</v>
      </c>
      <c r="AC167" s="20">
        <f>IFERROR(__xludf.DUMMYFUNCTION("iferror(PERCENTRANK.INC(FILTER($X$2:$X$421, $U$2:$U$421&lt;4.25), $X167), 1)"),0.471)</f>
        <v>0.471</v>
      </c>
      <c r="AD167" s="20">
        <f>IFERROR(__xludf.DUMMYFUNCTION("iferror(PERCENTRANK.INC(FILTER($X$2:$X$421, $U$2:$U$421&gt;=4.1), $X167), 0.01)"),0.01)</f>
        <v>0.01</v>
      </c>
      <c r="AE167" s="20"/>
    </row>
    <row r="168" ht="14.25" customHeight="1">
      <c r="A168" s="17" t="s">
        <v>444</v>
      </c>
      <c r="B168" s="17" t="s">
        <v>445</v>
      </c>
      <c r="C168" s="18">
        <v>13.0</v>
      </c>
      <c r="D168" s="17" t="s">
        <v>99</v>
      </c>
      <c r="E168" s="17" t="s">
        <v>141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27.09159115</v>
      </c>
      <c r="Z168" s="20">
        <f t="shared" si="6"/>
        <v>-7.832680339</v>
      </c>
      <c r="AA168" s="20"/>
      <c r="AB168" s="20">
        <f>IFERROR(__xludf.DUMMYFUNCTION("iferror(PERCENTRANK.INC(FILTER($X$2:$X$421, $U$2:$U$421&lt;3.75), $X168), 1)"),0.478)</f>
        <v>0.478</v>
      </c>
      <c r="AC168" s="20">
        <f>IFERROR(__xludf.DUMMYFUNCTION("iferror(PERCENTRANK.INC(FILTER($X$2:$X$421, $U$2:$U$421&lt;4.25), $X168), 1)"),0.468)</f>
        <v>0.468</v>
      </c>
      <c r="AD168" s="20">
        <f>IFERROR(__xludf.DUMMYFUNCTION("iferror(PERCENTRANK.INC(FILTER($X$2:$X$421, $U$2:$U$421&gt;=4.1), $X168), 0.01)"),0.01)</f>
        <v>0.01</v>
      </c>
      <c r="AE168" s="20"/>
    </row>
    <row r="169" ht="14.25" customHeight="1">
      <c r="A169" s="17" t="s">
        <v>446</v>
      </c>
      <c r="B169" s="17" t="s">
        <v>447</v>
      </c>
      <c r="C169" s="18">
        <v>5.0</v>
      </c>
      <c r="D169" s="17" t="s">
        <v>99</v>
      </c>
      <c r="E169" s="17" t="s">
        <v>146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26.97673397</v>
      </c>
      <c r="Z169" s="20">
        <f t="shared" si="6"/>
        <v>-7.247182774</v>
      </c>
      <c r="AA169" s="20"/>
      <c r="AB169" s="20">
        <f>IFERROR(__xludf.DUMMYFUNCTION("iferror(PERCENTRANK.INC(FILTER($X$2:$X$421, $U$2:$U$421&lt;3.75), $X169), 1)"),0.38)</f>
        <v>0.38</v>
      </c>
      <c r="AC169" s="20">
        <f>IFERROR(__xludf.DUMMYFUNCTION("iferror(PERCENTRANK.INC(FILTER($X$2:$X$421, $U$2:$U$421&lt;4.25), $X169), 1)"),0.373)</f>
        <v>0.373</v>
      </c>
      <c r="AD169" s="20">
        <f>IFERROR(__xludf.DUMMYFUNCTION("iferror(PERCENTRANK.INC(FILTER($X$2:$X$421, $U$2:$U$421&gt;=4.1), $X169), 0.01)"),0.01)</f>
        <v>0.01</v>
      </c>
      <c r="AE169" s="20"/>
    </row>
    <row r="170" ht="14.25" customHeight="1">
      <c r="A170" s="17" t="s">
        <v>448</v>
      </c>
      <c r="B170" s="17" t="s">
        <v>449</v>
      </c>
      <c r="C170" s="18">
        <v>2.0</v>
      </c>
      <c r="D170" s="17" t="s">
        <v>99</v>
      </c>
      <c r="E170" s="17" t="s">
        <v>102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27.5306653</v>
      </c>
      <c r="Z170" s="20">
        <f t="shared" si="6"/>
        <v>-7.313282138</v>
      </c>
      <c r="AA170" s="20"/>
      <c r="AB170" s="20">
        <f>IFERROR(__xludf.DUMMYFUNCTION("iferror(PERCENTRANK.INC(FILTER($X$2:$X$421, $U$2:$U$421&lt;3.75), $X170), 1)"),0.713)</f>
        <v>0.713</v>
      </c>
      <c r="AC170" s="20">
        <f>IFERROR(__xludf.DUMMYFUNCTION("iferror(PERCENTRANK.INC(FILTER($X$2:$X$421, $U$2:$U$421&lt;4.25), $X170), 1)"),0.699)</f>
        <v>0.699</v>
      </c>
      <c r="AD170" s="20">
        <f>IFERROR(__xludf.DUMMYFUNCTION("iferror(PERCENTRANK.INC(FILTER($X$2:$X$421, $U$2:$U$421&gt;=4.1), $X170), 0.01)"),0.01)</f>
        <v>0.01</v>
      </c>
      <c r="AE170" s="20"/>
    </row>
    <row r="171" ht="14.25" customHeight="1">
      <c r="A171" s="17" t="s">
        <v>450</v>
      </c>
      <c r="B171" s="17" t="s">
        <v>451</v>
      </c>
      <c r="C171" s="18">
        <v>15.0</v>
      </c>
      <c r="D171" s="17" t="s">
        <v>99</v>
      </c>
      <c r="E171" s="17" t="s">
        <v>169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27.01733677</v>
      </c>
      <c r="Z171" s="20">
        <f t="shared" si="6"/>
        <v>-7.787457038</v>
      </c>
      <c r="AA171" s="20"/>
      <c r="AB171" s="20">
        <f>IFERROR(__xludf.DUMMYFUNCTION("iferror(PERCENTRANK.INC(FILTER($X$2:$X$421, $U$2:$U$421&lt;3.75), $X171), 1)"),0.42)</f>
        <v>0.42</v>
      </c>
      <c r="AC171" s="20">
        <f>IFERROR(__xludf.DUMMYFUNCTION("iferror(PERCENTRANK.INC(FILTER($X$2:$X$421, $U$2:$U$421&lt;4.25), $X171), 1)"),0.412)</f>
        <v>0.412</v>
      </c>
      <c r="AD171" s="20">
        <f>IFERROR(__xludf.DUMMYFUNCTION("iferror(PERCENTRANK.INC(FILTER($X$2:$X$421, $U$2:$U$421&gt;=4.1), $X171), 0.01)"),0.01)</f>
        <v>0.01</v>
      </c>
      <c r="AE171" s="20"/>
    </row>
    <row r="172" ht="14.25" customHeight="1">
      <c r="A172" s="17" t="s">
        <v>452</v>
      </c>
      <c r="B172" s="17" t="s">
        <v>163</v>
      </c>
      <c r="C172" s="18">
        <v>16.0</v>
      </c>
      <c r="D172" s="17" t="s">
        <v>99</v>
      </c>
      <c r="E172" s="17" t="s">
        <v>164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6">
        <v>1.0</v>
      </c>
      <c r="X172" s="22">
        <f t="shared" si="14"/>
        <v>0.49350675</v>
      </c>
      <c r="Y172" s="20">
        <f t="shared" si="4"/>
        <v>27.41514922</v>
      </c>
      <c r="Z172" s="20">
        <f t="shared" si="6"/>
        <v>-7.821328544</v>
      </c>
      <c r="AA172" s="20"/>
      <c r="AB172" s="20">
        <f>IFERROR(__xludf.DUMMYFUNCTION("iferror(PERCENTRANK.INC(FILTER($X$2:$X$421, $U$2:$U$421&lt;3.75), $X172), 1)"),0.643)</f>
        <v>0.643</v>
      </c>
      <c r="AC172" s="20">
        <f>IFERROR(__xludf.DUMMYFUNCTION("iferror(PERCENTRANK.INC(FILTER($X$2:$X$421, $U$2:$U$421&lt;4.25), $X172), 1)"),0.63)</f>
        <v>0.63</v>
      </c>
      <c r="AD172" s="20">
        <f>IFERROR(__xludf.DUMMYFUNCTION("iferror(PERCENTRANK.INC(FILTER($X$2:$X$421, $U$2:$U$421&gt;=4.1), $X172), 0.01)"),0.01)</f>
        <v>0.01</v>
      </c>
      <c r="AE172" s="20"/>
    </row>
    <row r="173" ht="14.25" customHeight="1">
      <c r="A173" s="17" t="s">
        <v>453</v>
      </c>
      <c r="B173" s="17" t="s">
        <v>427</v>
      </c>
      <c r="C173" s="18">
        <v>9.0</v>
      </c>
      <c r="D173" s="17" t="s">
        <v>99</v>
      </c>
      <c r="E173" s="17" t="s">
        <v>108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27.23638938</v>
      </c>
      <c r="Z173" s="20">
        <f t="shared" si="6"/>
        <v>-7.421156885</v>
      </c>
      <c r="AA173" s="20"/>
      <c r="AB173" s="20">
        <f>IFERROR(__xludf.DUMMYFUNCTION("iferror(PERCENTRANK.INC(FILTER($X$2:$X$421, $U$2:$U$421&lt;3.75), $X173), 1)"),0.56)</f>
        <v>0.56</v>
      </c>
      <c r="AC173" s="20">
        <f>IFERROR(__xludf.DUMMYFUNCTION("iferror(PERCENTRANK.INC(FILTER($X$2:$X$421, $U$2:$U$421&lt;4.25), $X173), 1)"),0.549)</f>
        <v>0.549</v>
      </c>
      <c r="AD173" s="20">
        <f>IFERROR(__xludf.DUMMYFUNCTION("iferror(PERCENTRANK.INC(FILTER($X$2:$X$421, $U$2:$U$421&gt;=4.1), $X173), 0.01)"),0.01)</f>
        <v>0.01</v>
      </c>
      <c r="AE173" s="20"/>
    </row>
    <row r="174" ht="14.25" customHeight="1">
      <c r="A174" s="17" t="s">
        <v>454</v>
      </c>
      <c r="B174" s="17" t="s">
        <v>455</v>
      </c>
      <c r="C174" s="18">
        <v>15.0</v>
      </c>
      <c r="D174" s="17" t="s">
        <v>99</v>
      </c>
      <c r="E174" s="17" t="s">
        <v>100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6">
        <v>0.9</v>
      </c>
      <c r="X174" s="22">
        <f t="shared" si="14"/>
        <v>-0.08868619036</v>
      </c>
      <c r="Y174" s="20">
        <f t="shared" si="4"/>
        <v>26.74509654</v>
      </c>
      <c r="Z174" s="20">
        <f t="shared" si="6"/>
        <v>-6.604874307</v>
      </c>
      <c r="AA174" s="20"/>
      <c r="AB174" s="20">
        <f>IFERROR(__xludf.DUMMYFUNCTION("iferror(PERCENTRANK.INC(FILTER($X$2:$X$421, $U$2:$U$421&lt;3.75), $X174), 1)"),0.183)</f>
        <v>0.183</v>
      </c>
      <c r="AC174" s="20">
        <f>IFERROR(__xludf.DUMMYFUNCTION("iferror(PERCENTRANK.INC(FILTER($X$2:$X$421, $U$2:$U$421&lt;4.25), $X174), 1)"),0.179)</f>
        <v>0.179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456</v>
      </c>
      <c r="B175" s="17" t="s">
        <v>457</v>
      </c>
      <c r="C175" s="18">
        <v>12.0</v>
      </c>
      <c r="D175" s="17" t="s">
        <v>99</v>
      </c>
      <c r="E175" s="17" t="s">
        <v>120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27.13659026</v>
      </c>
      <c r="Z175" s="20">
        <f t="shared" si="6"/>
        <v>-7.104134596</v>
      </c>
      <c r="AA175" s="20"/>
      <c r="AB175" s="20">
        <f>IFERROR(__xludf.DUMMYFUNCTION("iferror(PERCENTRANK.INC(FILTER($X$2:$X$421, $U$2:$U$421&lt;3.75), $X175), 1)"),0.505)</f>
        <v>0.505</v>
      </c>
      <c r="AC175" s="20">
        <f>IFERROR(__xludf.DUMMYFUNCTION("iferror(PERCENTRANK.INC(FILTER($X$2:$X$421, $U$2:$U$421&lt;4.25), $X175), 1)"),0.495)</f>
        <v>0.495</v>
      </c>
      <c r="AD175" s="20">
        <f>IFERROR(__xludf.DUMMYFUNCTION("iferror(PERCENTRANK.INC(FILTER($X$2:$X$421, $U$2:$U$421&gt;=4.1), $X175), 0.01)"),0.01)</f>
        <v>0.01</v>
      </c>
      <c r="AE175" s="20"/>
    </row>
    <row r="176" ht="14.25" customHeight="1">
      <c r="A176" s="17" t="s">
        <v>458</v>
      </c>
      <c r="B176" s="17" t="s">
        <v>459</v>
      </c>
      <c r="C176" s="18">
        <v>15.0</v>
      </c>
      <c r="D176" s="17" t="s">
        <v>99</v>
      </c>
      <c r="E176" s="17" t="s">
        <v>164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27.45722996</v>
      </c>
      <c r="Z176" s="20">
        <f t="shared" si="6"/>
        <v>-6.681090071</v>
      </c>
      <c r="AA176" s="20"/>
      <c r="AB176" s="20">
        <f>IFERROR(__xludf.DUMMYFUNCTION("iferror(PERCENTRANK.INC(FILTER($X$2:$X$421, $U$2:$U$421&lt;3.75), $X176), 1)"),0.673)</f>
        <v>0.673</v>
      </c>
      <c r="AC176" s="20">
        <f>IFERROR(__xludf.DUMMYFUNCTION("iferror(PERCENTRANK.INC(FILTER($X$2:$X$421, $U$2:$U$421&lt;4.25), $X176), 1)"),0.659)</f>
        <v>0.659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460</v>
      </c>
      <c r="B177" s="17" t="s">
        <v>461</v>
      </c>
      <c r="C177" s="18">
        <v>17.0</v>
      </c>
      <c r="D177" s="17" t="s">
        <v>99</v>
      </c>
      <c r="E177" s="17" t="s">
        <v>157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6">
        <v>0.9</v>
      </c>
      <c r="X177" s="22">
        <f t="shared" si="14"/>
        <v>0.1104622935</v>
      </c>
      <c r="Y177" s="20">
        <f t="shared" si="4"/>
        <v>26.97429886</v>
      </c>
      <c r="Z177" s="20">
        <f t="shared" si="6"/>
        <v>-5.924073417</v>
      </c>
      <c r="AA177" s="20"/>
      <c r="AB177" s="20">
        <f>IFERROR(__xludf.DUMMYFUNCTION("iferror(PERCENTRANK.INC(FILTER($X$2:$X$421, $U$2:$U$421&lt;3.75), $X177), 1)"),0.378)</f>
        <v>0.378</v>
      </c>
      <c r="AC177" s="20">
        <f>IFERROR(__xludf.DUMMYFUNCTION("iferror(PERCENTRANK.INC(FILTER($X$2:$X$421, $U$2:$U$421&lt;4.25), $X177), 1)"),0.37)</f>
        <v>0.37</v>
      </c>
      <c r="AD177" s="20">
        <f>IFERROR(__xludf.DUMMYFUNCTION("iferror(PERCENTRANK.INC(FILTER($X$2:$X$421, $U$2:$U$421&gt;=4.1), $X177), 0.01)"),0.01)</f>
        <v>0.01</v>
      </c>
      <c r="AE177" s="20"/>
    </row>
    <row r="178" ht="14.25" customHeight="1">
      <c r="A178" s="17" t="s">
        <v>462</v>
      </c>
      <c r="B178" s="17" t="s">
        <v>463</v>
      </c>
      <c r="C178" s="18">
        <v>12.0</v>
      </c>
      <c r="D178" s="17" t="s">
        <v>99</v>
      </c>
      <c r="E178" s="17" t="s">
        <v>100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25.73186062</v>
      </c>
      <c r="Z178" s="20">
        <f t="shared" si="6"/>
        <v>-8.352755973</v>
      </c>
      <c r="AA178" s="20"/>
      <c r="AB178" s="20">
        <f>IFERROR(__xludf.DUMMYFUNCTION("iferror(PERCENTRANK.INC(FILTER($X$2:$X$421, $U$2:$U$421&lt;3.75), $X178), 1)"),0.015)</f>
        <v>0.015</v>
      </c>
      <c r="AC178" s="20">
        <f>IFERROR(__xludf.DUMMYFUNCTION("iferror(PERCENTRANK.INC(FILTER($X$2:$X$421, $U$2:$U$421&lt;4.25), $X178), 1)"),0.015)</f>
        <v>0.015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464</v>
      </c>
      <c r="B179" s="17" t="s">
        <v>465</v>
      </c>
      <c r="C179" s="18">
        <v>8.0</v>
      </c>
      <c r="D179" s="17" t="s">
        <v>99</v>
      </c>
      <c r="E179" s="17" t="s">
        <v>179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6">
        <v>1.0</v>
      </c>
      <c r="X179" s="22">
        <f t="shared" si="14"/>
        <v>0.3055331531</v>
      </c>
      <c r="Y179" s="20">
        <f t="shared" si="4"/>
        <v>27.1988082</v>
      </c>
      <c r="Z179" s="20">
        <f t="shared" si="6"/>
        <v>-5.450924602</v>
      </c>
      <c r="AA179" s="20"/>
      <c r="AB179" s="20">
        <f>IFERROR(__xludf.DUMMYFUNCTION("iferror(PERCENTRANK.INC(FILTER($X$2:$X$421, $U$2:$U$421&lt;3.75), $X179), 1)"),0.543)</f>
        <v>0.543</v>
      </c>
      <c r="AC179" s="20">
        <f>IFERROR(__xludf.DUMMYFUNCTION("iferror(PERCENTRANK.INC(FILTER($X$2:$X$421, $U$2:$U$421&lt;4.25), $X179), 1)"),0.532)</f>
        <v>0.532</v>
      </c>
      <c r="AD179" s="20">
        <f>IFERROR(__xludf.DUMMYFUNCTION("iferror(PERCENTRANK.INC(FILTER($X$2:$X$421, $U$2:$U$421&gt;=4.1), $X179), 0.01)"),0.01)</f>
        <v>0.01</v>
      </c>
      <c r="AE179" s="20"/>
    </row>
    <row r="180" ht="14.25" customHeight="1">
      <c r="A180" s="17" t="s">
        <v>466</v>
      </c>
      <c r="B180" s="17" t="s">
        <v>307</v>
      </c>
      <c r="C180" s="18">
        <v>14.0</v>
      </c>
      <c r="D180" s="17" t="s">
        <v>99</v>
      </c>
      <c r="E180" s="17" t="s">
        <v>164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6">
        <v>1.0</v>
      </c>
      <c r="X180" s="22">
        <f t="shared" si="14"/>
        <v>0.8299581182</v>
      </c>
      <c r="Y180" s="20">
        <f t="shared" si="4"/>
        <v>27.80237504</v>
      </c>
      <c r="Z180" s="20">
        <f t="shared" si="6"/>
        <v>-5.399628144</v>
      </c>
      <c r="AA180" s="20"/>
      <c r="AB180" s="20">
        <f>IFERROR(__xludf.DUMMYFUNCTION("iferror(PERCENTRANK.INC(FILTER($X$2:$X$421, $U$2:$U$421&lt;3.75), $X180), 1)"),0.835)</f>
        <v>0.835</v>
      </c>
      <c r="AC180" s="20">
        <f>IFERROR(__xludf.DUMMYFUNCTION("iferror(PERCENTRANK.INC(FILTER($X$2:$X$421, $U$2:$U$421&lt;4.25), $X180), 1)"),0.819)</f>
        <v>0.819</v>
      </c>
      <c r="AD180" s="20">
        <f>IFERROR(__xludf.DUMMYFUNCTION("iferror(PERCENTRANK.INC(FILTER($X$2:$X$421, $U$2:$U$421&gt;=4.1), $X180), 0.01)"),0.01)</f>
        <v>0.01</v>
      </c>
      <c r="AE180" s="20"/>
    </row>
    <row r="181" ht="14.25" customHeight="1">
      <c r="A181" s="17" t="s">
        <v>467</v>
      </c>
      <c r="B181" s="17" t="s">
        <v>468</v>
      </c>
      <c r="C181" s="18">
        <v>3.0</v>
      </c>
      <c r="D181" s="17" t="s">
        <v>99</v>
      </c>
      <c r="E181" s="17" t="s">
        <v>111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6">
        <v>0.9</v>
      </c>
      <c r="X181" s="22">
        <f t="shared" si="14"/>
        <v>0.3895459465</v>
      </c>
      <c r="Y181" s="20">
        <f t="shared" si="4"/>
        <v>27.29549951</v>
      </c>
      <c r="Z181" s="20">
        <f t="shared" si="6"/>
        <v>-5.864628014</v>
      </c>
      <c r="AA181" s="20"/>
      <c r="AB181" s="20">
        <f>IFERROR(__xludf.DUMMYFUNCTION("iferror(PERCENTRANK.INC(FILTER($X$2:$X$421, $U$2:$U$421&lt;3.75), $X181), 1)"),0.59)</f>
        <v>0.59</v>
      </c>
      <c r="AC181" s="20">
        <f>IFERROR(__xludf.DUMMYFUNCTION("iferror(PERCENTRANK.INC(FILTER($X$2:$X$421, $U$2:$U$421&lt;4.25), $X181), 1)"),0.578)</f>
        <v>0.578</v>
      </c>
      <c r="AD181" s="20">
        <f>IFERROR(__xludf.DUMMYFUNCTION("iferror(PERCENTRANK.INC(FILTER($X$2:$X$421, $U$2:$U$421&gt;=4.1), $X181), 0.01)"),0.01)</f>
        <v>0.01</v>
      </c>
      <c r="AE181" s="20"/>
    </row>
    <row r="182" ht="14.25" customHeight="1">
      <c r="A182" s="17" t="s">
        <v>469</v>
      </c>
      <c r="B182" s="17" t="s">
        <v>281</v>
      </c>
      <c r="C182" s="18">
        <v>7.0</v>
      </c>
      <c r="D182" s="17" t="s">
        <v>99</v>
      </c>
      <c r="E182" s="17" t="s">
        <v>111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27.4980826</v>
      </c>
      <c r="Z182" s="20">
        <f t="shared" si="6"/>
        <v>-6.215464843</v>
      </c>
      <c r="AA182" s="20"/>
      <c r="AB182" s="20">
        <f>IFERROR(__xludf.DUMMYFUNCTION("iferror(PERCENTRANK.INC(FILTER($X$2:$X$421, $U$2:$U$421&lt;3.75), $X182), 1)"),0.695)</f>
        <v>0.695</v>
      </c>
      <c r="AC182" s="20">
        <f>IFERROR(__xludf.DUMMYFUNCTION("iferror(PERCENTRANK.INC(FILTER($X$2:$X$421, $U$2:$U$421&lt;4.25), $X182), 1)"),0.681)</f>
        <v>0.681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470</v>
      </c>
      <c r="B183" s="17" t="s">
        <v>471</v>
      </c>
      <c r="C183" s="18">
        <v>16.0</v>
      </c>
      <c r="D183" s="17" t="s">
        <v>99</v>
      </c>
      <c r="E183" s="17" t="s">
        <v>209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6">
        <v>0.9</v>
      </c>
      <c r="X183" s="22">
        <f t="shared" si="14"/>
        <v>0.1771719478</v>
      </c>
      <c r="Y183" s="20">
        <f t="shared" si="4"/>
        <v>27.05107579</v>
      </c>
      <c r="Z183" s="20">
        <f t="shared" si="6"/>
        <v>-6.555444439</v>
      </c>
      <c r="AA183" s="20"/>
      <c r="AB183" s="20">
        <f>IFERROR(__xludf.DUMMYFUNCTION("iferror(PERCENTRANK.INC(FILTER($X$2:$X$421, $U$2:$U$421&lt;3.75), $X183), 1)"),0.448)</f>
        <v>0.448</v>
      </c>
      <c r="AC183" s="20">
        <f>IFERROR(__xludf.DUMMYFUNCTION("iferror(PERCENTRANK.INC(FILTER($X$2:$X$421, $U$2:$U$421&lt;4.25), $X183), 1)"),0.439)</f>
        <v>0.439</v>
      </c>
      <c r="AD183" s="20">
        <f>IFERROR(__xludf.DUMMYFUNCTION("iferror(PERCENTRANK.INC(FILTER($X$2:$X$421, $U$2:$U$421&gt;=4.1), $X183), 0.01)"),0.01)</f>
        <v>0.01</v>
      </c>
      <c r="AE183" s="20"/>
    </row>
    <row r="184" ht="14.25" customHeight="1">
      <c r="A184" s="17" t="s">
        <v>472</v>
      </c>
      <c r="B184" s="17" t="s">
        <v>473</v>
      </c>
      <c r="C184" s="18">
        <v>16.0</v>
      </c>
      <c r="D184" s="17" t="s">
        <v>99</v>
      </c>
      <c r="E184" s="17" t="s">
        <v>100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27.39818939</v>
      </c>
      <c r="Z184" s="20">
        <f t="shared" si="6"/>
        <v>-4.944366506</v>
      </c>
      <c r="AA184" s="20"/>
      <c r="AB184" s="20">
        <f>IFERROR(__xludf.DUMMYFUNCTION("iferror(PERCENTRANK.INC(FILTER($X$2:$X$421, $U$2:$U$421&lt;3.75), $X184), 1)"),0.635)</f>
        <v>0.635</v>
      </c>
      <c r="AC184" s="20">
        <f>IFERROR(__xludf.DUMMYFUNCTION("iferror(PERCENTRANK.INC(FILTER($X$2:$X$421, $U$2:$U$421&lt;4.25), $X184), 1)"),0.623)</f>
        <v>0.623</v>
      </c>
      <c r="AD184" s="20">
        <f>IFERROR(__xludf.DUMMYFUNCTION("iferror(PERCENTRANK.INC(FILTER($X$2:$X$421, $U$2:$U$421&gt;=4.1), $X184), 0.01)"),0.01)</f>
        <v>0.01</v>
      </c>
      <c r="AE184" s="20"/>
    </row>
    <row r="185" ht="14.25" customHeight="1">
      <c r="A185" s="17" t="s">
        <v>474</v>
      </c>
      <c r="B185" s="17" t="s">
        <v>475</v>
      </c>
      <c r="C185" s="18">
        <v>10.0</v>
      </c>
      <c r="D185" s="17" t="s">
        <v>99</v>
      </c>
      <c r="E185" s="17" t="s">
        <v>108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6">
        <v>0.95</v>
      </c>
      <c r="X185" s="22">
        <f t="shared" si="14"/>
        <v>0.009904535728</v>
      </c>
      <c r="Y185" s="20">
        <f t="shared" si="4"/>
        <v>26.85856576</v>
      </c>
      <c r="Z185" s="20">
        <f t="shared" si="6"/>
        <v>-6.671539703</v>
      </c>
      <c r="AA185" s="20"/>
      <c r="AB185" s="20">
        <f>IFERROR(__xludf.DUMMYFUNCTION("iferror(PERCENTRANK.INC(FILTER($X$2:$X$421, $U$2:$U$421&lt;3.75), $X185), 1)"),0.275)</f>
        <v>0.275</v>
      </c>
      <c r="AC185" s="20">
        <f>IFERROR(__xludf.DUMMYFUNCTION("iferror(PERCENTRANK.INC(FILTER($X$2:$X$421, $U$2:$U$421&lt;4.25), $X185), 1)"),0.27)</f>
        <v>0.27</v>
      </c>
      <c r="AD185" s="20">
        <f>IFERROR(__xludf.DUMMYFUNCTION("iferror(PERCENTRANK.INC(FILTER($X$2:$X$421, $U$2:$U$421&gt;=4.1), $X185), 0.01)"),0.01)</f>
        <v>0.01</v>
      </c>
      <c r="AE185" s="20"/>
    </row>
    <row r="186" ht="14.25" customHeight="1">
      <c r="A186" s="17" t="s">
        <v>476</v>
      </c>
      <c r="B186" s="17" t="s">
        <v>477</v>
      </c>
      <c r="C186" s="18">
        <v>1.0</v>
      </c>
      <c r="D186" s="17" t="s">
        <v>99</v>
      </c>
      <c r="E186" s="17" t="s">
        <v>141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6">
        <v>0.9</v>
      </c>
      <c r="X186" s="22">
        <f t="shared" si="14"/>
        <v>0.09638069656</v>
      </c>
      <c r="Y186" s="20">
        <f t="shared" si="4"/>
        <v>26.95809219</v>
      </c>
      <c r="Z186" s="20">
        <f t="shared" si="6"/>
        <v>-6.527547298</v>
      </c>
      <c r="AA186" s="20"/>
      <c r="AB186" s="20">
        <f>IFERROR(__xludf.DUMMYFUNCTION("iferror(PERCENTRANK.INC(FILTER($X$2:$X$421, $U$2:$U$421&lt;3.75), $X186), 1)"),0.363)</f>
        <v>0.363</v>
      </c>
      <c r="AC186" s="20">
        <f>IFERROR(__xludf.DUMMYFUNCTION("iferror(PERCENTRANK.INC(FILTER($X$2:$X$421, $U$2:$U$421&lt;4.25), $X186), 1)"),0.355)</f>
        <v>0.355</v>
      </c>
      <c r="AD186" s="20">
        <f>IFERROR(__xludf.DUMMYFUNCTION("iferror(PERCENTRANK.INC(FILTER($X$2:$X$421, $U$2:$U$421&gt;=4.1), $X186), 0.01)"),0.01)</f>
        <v>0.01</v>
      </c>
      <c r="AE186" s="20"/>
    </row>
    <row r="187" ht="14.25" customHeight="1">
      <c r="A187" s="17" t="s">
        <v>478</v>
      </c>
      <c r="B187" s="17" t="s">
        <v>479</v>
      </c>
      <c r="C187" s="18">
        <v>3.0</v>
      </c>
      <c r="D187" s="17" t="s">
        <v>99</v>
      </c>
      <c r="E187" s="17" t="s">
        <v>176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27.09462317</v>
      </c>
      <c r="Z187" s="20">
        <f t="shared" si="6"/>
        <v>-6.111490998</v>
      </c>
      <c r="AA187" s="20"/>
      <c r="AB187" s="20">
        <f>IFERROR(__xludf.DUMMYFUNCTION("iferror(PERCENTRANK.INC(FILTER($X$2:$X$421, $U$2:$U$421&lt;3.75), $X187), 1)"),0.485)</f>
        <v>0.485</v>
      </c>
      <c r="AC187" s="20">
        <f>IFERROR(__xludf.DUMMYFUNCTION("iferror(PERCENTRANK.INC(FILTER($X$2:$X$421, $U$2:$U$421&lt;4.25), $X187), 1)"),0.475)</f>
        <v>0.475</v>
      </c>
      <c r="AD187" s="20">
        <f>IFERROR(__xludf.DUMMYFUNCTION("iferror(PERCENTRANK.INC(FILTER($X$2:$X$421, $U$2:$U$421&gt;=4.1), $X187), 0.01)"),0.01)</f>
        <v>0.01</v>
      </c>
      <c r="AE187" s="20"/>
    </row>
    <row r="188" ht="14.25" customHeight="1">
      <c r="A188" s="17" t="s">
        <v>480</v>
      </c>
      <c r="B188" s="17" t="s">
        <v>481</v>
      </c>
      <c r="C188" s="18">
        <v>9.0</v>
      </c>
      <c r="D188" s="17" t="s">
        <v>99</v>
      </c>
      <c r="E188" s="17" t="s">
        <v>179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27.31782005</v>
      </c>
      <c r="Z188" s="20">
        <f t="shared" si="6"/>
        <v>-4.687346973</v>
      </c>
      <c r="AA188" s="20"/>
      <c r="AB188" s="20">
        <f>IFERROR(__xludf.DUMMYFUNCTION("iferror(PERCENTRANK.INC(FILTER($X$2:$X$421, $U$2:$U$421&lt;3.75), $X188), 1)"),0.598)</f>
        <v>0.598</v>
      </c>
      <c r="AC188" s="20">
        <f>IFERROR(__xludf.DUMMYFUNCTION("iferror(PERCENTRANK.INC(FILTER($X$2:$X$421, $U$2:$U$421&lt;4.25), $X188), 1)"),0.586)</f>
        <v>0.586</v>
      </c>
      <c r="AD188" s="20">
        <f>IFERROR(__xludf.DUMMYFUNCTION("iferror(PERCENTRANK.INC(FILTER($X$2:$X$421, $U$2:$U$421&gt;=4.1), $X188), 0.01)"),0.01)</f>
        <v>0.01</v>
      </c>
      <c r="AE188" s="20"/>
    </row>
    <row r="189" ht="14.25" customHeight="1">
      <c r="A189" s="17" t="s">
        <v>482</v>
      </c>
      <c r="B189" s="17" t="s">
        <v>483</v>
      </c>
      <c r="C189" s="18">
        <v>4.0</v>
      </c>
      <c r="D189" s="17" t="s">
        <v>99</v>
      </c>
      <c r="E189" s="17" t="s">
        <v>152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27.14727153</v>
      </c>
      <c r="Z189" s="20">
        <f t="shared" si="6"/>
        <v>-6.030530112</v>
      </c>
      <c r="AA189" s="20"/>
      <c r="AB189" s="20">
        <f>IFERROR(__xludf.DUMMYFUNCTION("iferror(PERCENTRANK.INC(FILTER($X$2:$X$421, $U$2:$U$421&lt;3.75), $X189), 1)"),0.515)</f>
        <v>0.515</v>
      </c>
      <c r="AC189" s="20">
        <f>IFERROR(__xludf.DUMMYFUNCTION("iferror(PERCENTRANK.INC(FILTER($X$2:$X$421, $U$2:$U$421&lt;4.25), $X189), 1)"),0.505)</f>
        <v>0.505</v>
      </c>
      <c r="AD189" s="20">
        <f>IFERROR(__xludf.DUMMYFUNCTION("iferror(PERCENTRANK.INC(FILTER($X$2:$X$421, $U$2:$U$421&gt;=4.1), $X189), 0.01)"),0.01)</f>
        <v>0.01</v>
      </c>
      <c r="AE189" s="20"/>
    </row>
    <row r="190" ht="14.25" customHeight="1">
      <c r="A190" s="17" t="s">
        <v>484</v>
      </c>
      <c r="B190" s="17" t="s">
        <v>343</v>
      </c>
      <c r="C190" s="18">
        <v>12.0</v>
      </c>
      <c r="D190" s="17" t="s">
        <v>99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27.08951352</v>
      </c>
      <c r="Z190" s="20">
        <f t="shared" si="6"/>
        <v>-6.030178218</v>
      </c>
      <c r="AA190" s="20"/>
      <c r="AB190" s="20">
        <f>IFERROR(__xludf.DUMMYFUNCTION("iferror(PERCENTRANK.INC(FILTER($X$2:$X$421, $U$2:$U$421&lt;3.75), $X190), 1)"),0.475)</f>
        <v>0.475</v>
      </c>
      <c r="AC190" s="20">
        <f>IFERROR(__xludf.DUMMYFUNCTION("iferror(PERCENTRANK.INC(FILTER($X$2:$X$421, $U$2:$U$421&lt;4.25), $X190), 1)"),0.466)</f>
        <v>0.466</v>
      </c>
      <c r="AD190" s="20">
        <f>IFERROR(__xludf.DUMMYFUNCTION("iferror(PERCENTRANK.INC(FILTER($X$2:$X$421, $U$2:$U$421&gt;=4.1), $X190), 0.01)"),0.01)</f>
        <v>0.01</v>
      </c>
      <c r="AE190" s="20"/>
    </row>
    <row r="191" ht="14.25" customHeight="1">
      <c r="A191" s="17" t="s">
        <v>485</v>
      </c>
      <c r="B191" s="17" t="s">
        <v>486</v>
      </c>
      <c r="C191" s="18">
        <v>14.0</v>
      </c>
      <c r="D191" s="17" t="s">
        <v>99</v>
      </c>
      <c r="E191" s="17" t="s">
        <v>135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2">
        <v>10.96</v>
      </c>
      <c r="W191" s="26">
        <v>0.9</v>
      </c>
      <c r="X191" s="22">
        <f t="shared" si="14"/>
        <v>1.919578064</v>
      </c>
      <c r="Y191" s="20">
        <f t="shared" si="4"/>
        <v>29.05643139</v>
      </c>
      <c r="Z191" s="20">
        <f t="shared" si="6"/>
        <v>-3.979095252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$U$2:$U$421&lt;4.25), $X191), 1)"),0.961)</f>
        <v>0.961</v>
      </c>
      <c r="AD191" s="20">
        <f>IFERROR(__xludf.DUMMYFUNCTION("iferror(PERCENTRANK.INC(FILTER($X$2:$X$421, $U$2:$U$421&gt;=4.1), $X191), 0.01)"),0.01)</f>
        <v>0.01</v>
      </c>
      <c r="AE191" s="20"/>
    </row>
    <row r="192" ht="14.25" customHeight="1">
      <c r="A192" s="17" t="s">
        <v>487</v>
      </c>
      <c r="B192" s="17" t="s">
        <v>435</v>
      </c>
      <c r="C192" s="18">
        <v>11.0</v>
      </c>
      <c r="D192" s="17" t="s">
        <v>99</v>
      </c>
      <c r="E192" s="17" t="s">
        <v>125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6">
        <v>0.95</v>
      </c>
      <c r="X192" s="22">
        <f t="shared" si="14"/>
        <v>0.3826991225</v>
      </c>
      <c r="Y192" s="20">
        <f t="shared" si="4"/>
        <v>27.28761942</v>
      </c>
      <c r="Z192" s="20">
        <f t="shared" si="6"/>
        <v>-5.633410035</v>
      </c>
      <c r="AA192" s="20"/>
      <c r="AB192" s="20">
        <f>IFERROR(__xludf.DUMMYFUNCTION("iferror(PERCENTRANK.INC(FILTER($X$2:$X$421, $U$2:$U$421&lt;3.75), $X192), 1)"),0.585)</f>
        <v>0.585</v>
      </c>
      <c r="AC192" s="20">
        <f>IFERROR(__xludf.DUMMYFUNCTION("iferror(PERCENTRANK.INC(FILTER($X$2:$X$421, $U$2:$U$421&lt;4.25), $X192), 1)"),0.574)</f>
        <v>0.574</v>
      </c>
      <c r="AD192" s="20">
        <f>IFERROR(__xludf.DUMMYFUNCTION("iferror(PERCENTRANK.INC(FILTER($X$2:$X$421, $U$2:$U$421&gt;=4.1), $X192), 0.01)"),0.01)</f>
        <v>0.01</v>
      </c>
      <c r="AE192" s="20"/>
    </row>
    <row r="193" ht="14.25" customHeight="1">
      <c r="A193" s="17" t="s">
        <v>488</v>
      </c>
      <c r="B193" s="17" t="s">
        <v>489</v>
      </c>
      <c r="C193" s="18">
        <v>8.0</v>
      </c>
      <c r="D193" s="17" t="s">
        <v>99</v>
      </c>
      <c r="E193" s="17" t="s">
        <v>100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27.11944196</v>
      </c>
      <c r="Z193" s="20">
        <f t="shared" si="6"/>
        <v>-5.661059649</v>
      </c>
      <c r="AA193" s="20"/>
      <c r="AB193" s="20">
        <f>IFERROR(__xludf.DUMMYFUNCTION("iferror(PERCENTRANK.INC(FILTER($X$2:$X$421, $U$2:$U$421&lt;3.75), $X193), 1)"),0.493)</f>
        <v>0.493</v>
      </c>
      <c r="AC193" s="20">
        <f>IFERROR(__xludf.DUMMYFUNCTION("iferror(PERCENTRANK.INC(FILTER($X$2:$X$421, $U$2:$U$421&lt;4.25), $X193), 1)"),0.483)</f>
        <v>0.483</v>
      </c>
      <c r="AD193" s="20">
        <f>IFERROR(__xludf.DUMMYFUNCTION("iferror(PERCENTRANK.INC(FILTER($X$2:$X$421, $U$2:$U$421&gt;=4.1), $X193), 0.01)"),0.01)</f>
        <v>0.01</v>
      </c>
      <c r="AE193" s="20"/>
    </row>
    <row r="194" ht="14.25" customHeight="1">
      <c r="A194" s="17" t="s">
        <v>490</v>
      </c>
      <c r="B194" s="17" t="s">
        <v>491</v>
      </c>
      <c r="C194" s="18">
        <v>12.0</v>
      </c>
      <c r="D194" s="17" t="s">
        <v>99</v>
      </c>
      <c r="E194" s="17" t="s">
        <v>141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6">
        <v>0.9</v>
      </c>
      <c r="X194" s="22">
        <f t="shared" si="14"/>
        <v>0.2381101172</v>
      </c>
      <c r="Y194" s="20">
        <f t="shared" si="4"/>
        <v>27.12121024</v>
      </c>
      <c r="Z194" s="20">
        <f t="shared" si="6"/>
        <v>-5.025746889</v>
      </c>
      <c r="AA194" s="20"/>
      <c r="AB194" s="20">
        <f>IFERROR(__xludf.DUMMYFUNCTION("iferror(PERCENTRANK.INC(FILTER($X$2:$X$421, $U$2:$U$421&lt;3.75), $X194), 1)"),0.495)</f>
        <v>0.495</v>
      </c>
      <c r="AC194" s="20">
        <f>IFERROR(__xludf.DUMMYFUNCTION("iferror(PERCENTRANK.INC(FILTER($X$2:$X$421, $U$2:$U$421&lt;4.25), $X194), 1)"),0.485)</f>
        <v>0.485</v>
      </c>
      <c r="AD194" s="20">
        <f>IFERROR(__xludf.DUMMYFUNCTION("iferror(PERCENTRANK.INC(FILTER($X$2:$X$421, $U$2:$U$421&gt;=4.1), $X194), 0.01)"),0.01)</f>
        <v>0.01</v>
      </c>
      <c r="AE194" s="20"/>
    </row>
    <row r="195" ht="14.25" customHeight="1">
      <c r="A195" s="17" t="s">
        <v>492</v>
      </c>
      <c r="B195" s="17" t="s">
        <v>493</v>
      </c>
      <c r="C195" s="18">
        <v>10.0</v>
      </c>
      <c r="D195" s="17" t="s">
        <v>99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5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27.11943395</v>
      </c>
      <c r="Z195" s="20">
        <f t="shared" si="6"/>
        <v>-4.387205129</v>
      </c>
      <c r="AA195" s="20"/>
      <c r="AB195" s="20">
        <f>IFERROR(__xludf.DUMMYFUNCTION("iferror(PERCENTRANK.INC(FILTER($X$2:$X$421, $U$2:$U$421&lt;3.75), $X195), 1)"),0.49)</f>
        <v>0.49</v>
      </c>
      <c r="AC195" s="20">
        <f>IFERROR(__xludf.DUMMYFUNCTION("iferror(PERCENTRANK.INC(FILTER($X$2:$X$421, $U$2:$U$421&lt;4.25), $X195), 1)"),0.48)</f>
        <v>0.48</v>
      </c>
      <c r="AD195" s="20">
        <f>IFERROR(__xludf.DUMMYFUNCTION("iferror(PERCENTRANK.INC(FILTER($X$2:$X$421, $U$2:$U$421&gt;=4.1), $X195), 0.01)"),0.01)</f>
        <v>0.01</v>
      </c>
      <c r="AE195" s="20"/>
    </row>
    <row r="196" ht="14.25" customHeight="1">
      <c r="A196" s="17" t="s">
        <v>494</v>
      </c>
      <c r="B196" s="17" t="s">
        <v>495</v>
      </c>
      <c r="C196" s="18">
        <v>11.0</v>
      </c>
      <c r="D196" s="17" t="s">
        <v>99</v>
      </c>
      <c r="E196" s="17" t="s">
        <v>157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5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27.38380684</v>
      </c>
      <c r="Z196" s="20">
        <f t="shared" si="6"/>
        <v>-5.159051766</v>
      </c>
      <c r="AA196" s="20"/>
      <c r="AB196" s="20">
        <f>IFERROR(__xludf.DUMMYFUNCTION("iferror(PERCENTRANK.INC(FILTER($X$2:$X$421, $U$2:$U$421&lt;3.75), $X196), 1)"),0.625)</f>
        <v>0.625</v>
      </c>
      <c r="AC196" s="20">
        <f>IFERROR(__xludf.DUMMYFUNCTION("iferror(PERCENTRANK.INC(FILTER($X$2:$X$421, $U$2:$U$421&lt;4.25), $X196), 1)"),0.613)</f>
        <v>0.613</v>
      </c>
      <c r="AD196" s="20">
        <f>IFERROR(__xludf.DUMMYFUNCTION("iferror(PERCENTRANK.INC(FILTER($X$2:$X$421, $U$2:$U$421&gt;=4.1), $X196), 0.01)"),0.01)</f>
        <v>0.01</v>
      </c>
      <c r="AE196" s="20"/>
    </row>
    <row r="197" ht="14.25" customHeight="1">
      <c r="A197" s="17" t="s">
        <v>496</v>
      </c>
      <c r="B197" s="17" t="s">
        <v>497</v>
      </c>
      <c r="C197" s="18">
        <v>2.0</v>
      </c>
      <c r="D197" s="17" t="s">
        <v>99</v>
      </c>
      <c r="E197" s="17" t="s">
        <v>179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6">
        <v>1.0</v>
      </c>
      <c r="X197" s="22">
        <f t="shared" si="14"/>
        <v>0.09959503405</v>
      </c>
      <c r="Y197" s="20">
        <f t="shared" si="4"/>
        <v>26.96179161</v>
      </c>
      <c r="Z197" s="20">
        <f t="shared" si="6"/>
        <v>-5.044964372</v>
      </c>
      <c r="AA197" s="20"/>
      <c r="AB197" s="20">
        <f>IFERROR(__xludf.DUMMYFUNCTION("iferror(PERCENTRANK.INC(FILTER($X$2:$X$421, $U$2:$U$421&lt;3.75), $X197), 1)"),0.368)</f>
        <v>0.368</v>
      </c>
      <c r="AC197" s="20">
        <f>IFERROR(__xludf.DUMMYFUNCTION("iferror(PERCENTRANK.INC(FILTER($X$2:$X$421, $U$2:$U$421&lt;4.25), $X197), 1)"),0.36)</f>
        <v>0.36</v>
      </c>
      <c r="AD197" s="20">
        <f>IFERROR(__xludf.DUMMYFUNCTION("iferror(PERCENTRANK.INC(FILTER($X$2:$X$421, $U$2:$U$421&gt;=4.1), $X197), 0.01)"),0.01)</f>
        <v>0.01</v>
      </c>
      <c r="AE197" s="20"/>
    </row>
    <row r="198" ht="14.25" customHeight="1">
      <c r="A198" s="17" t="s">
        <v>498</v>
      </c>
      <c r="B198" s="17" t="s">
        <v>499</v>
      </c>
      <c r="C198" s="18">
        <v>15.0</v>
      </c>
      <c r="D198" s="17" t="s">
        <v>99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6">
        <v>0.9</v>
      </c>
      <c r="X198" s="22">
        <f t="shared" si="14"/>
        <v>0.1576131141</v>
      </c>
      <c r="Y198" s="20">
        <f t="shared" si="4"/>
        <v>27.0285653</v>
      </c>
      <c r="Z198" s="20">
        <f t="shared" si="6"/>
        <v>-4.906434238</v>
      </c>
      <c r="AA198" s="20"/>
      <c r="AB198" s="20">
        <f>IFERROR(__xludf.DUMMYFUNCTION("iferror(PERCENTRANK.INC(FILTER($X$2:$X$421, $U$2:$U$421&lt;3.75), $X198), 1)"),0.433)</f>
        <v>0.433</v>
      </c>
      <c r="AC198" s="20">
        <f>IFERROR(__xludf.DUMMYFUNCTION("iferror(PERCENTRANK.INC(FILTER($X$2:$X$421, $U$2:$U$421&lt;4.25), $X198), 1)"),0.424)</f>
        <v>0.424</v>
      </c>
      <c r="AD198" s="20">
        <f>IFERROR(__xludf.DUMMYFUNCTION("iferror(PERCENTRANK.INC(FILTER($X$2:$X$421, $U$2:$U$421&gt;=4.1), $X198), 0.01)"),0.01)</f>
        <v>0.01</v>
      </c>
      <c r="AE198" s="20"/>
    </row>
    <row r="199" ht="14.25" customHeight="1">
      <c r="A199" s="17" t="s">
        <v>500</v>
      </c>
      <c r="B199" s="17" t="s">
        <v>501</v>
      </c>
      <c r="C199" s="18">
        <v>8.0</v>
      </c>
      <c r="D199" s="17" t="s">
        <v>99</v>
      </c>
      <c r="E199" s="17" t="s">
        <v>146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27.96249858</v>
      </c>
      <c r="Z199" s="20">
        <f t="shared" si="6"/>
        <v>-3.918514397</v>
      </c>
      <c r="AA199" s="20"/>
      <c r="AB199" s="20">
        <f>IFERROR(__xludf.DUMMYFUNCTION("iferror(PERCENTRANK.INC(FILTER($X$2:$X$421, $U$2:$U$421&lt;3.75), $X199), 1)"),0.925)</f>
        <v>0.925</v>
      </c>
      <c r="AC199" s="20">
        <f>IFERROR(__xludf.DUMMYFUNCTION("iferror(PERCENTRANK.INC(FILTER($X$2:$X$421, $U$2:$U$421&lt;4.25), $X199), 1)"),0.907)</f>
        <v>0.907</v>
      </c>
      <c r="AD199" s="20">
        <f>IFERROR(__xludf.DUMMYFUNCTION("iferror(PERCENTRANK.INC(FILTER($X$2:$X$421, $U$2:$U$421&gt;=4.1), $X199), 0.01)"),0.01)</f>
        <v>0.01</v>
      </c>
      <c r="AE199" s="20"/>
    </row>
    <row r="200" ht="14.25" customHeight="1">
      <c r="A200" s="17" t="s">
        <v>502</v>
      </c>
      <c r="B200" s="17" t="s">
        <v>503</v>
      </c>
      <c r="C200" s="18">
        <v>12.0</v>
      </c>
      <c r="D200" s="17" t="s">
        <v>99</v>
      </c>
      <c r="E200" s="17" t="s">
        <v>117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27.03835625</v>
      </c>
      <c r="Z200" s="20">
        <f t="shared" si="6"/>
        <v>-4.692504208</v>
      </c>
      <c r="AA200" s="20"/>
      <c r="AB200" s="20">
        <f>IFERROR(__xludf.DUMMYFUNCTION("iferror(PERCENTRANK.INC(FILTER($X$2:$X$421, $U$2:$U$421&lt;3.75), $X200), 1)"),0.438)</f>
        <v>0.438</v>
      </c>
      <c r="AC200" s="20">
        <f>IFERROR(__xludf.DUMMYFUNCTION("iferror(PERCENTRANK.INC(FILTER($X$2:$X$421, $U$2:$U$421&lt;4.25), $X200), 1)"),0.429)</f>
        <v>0.429</v>
      </c>
      <c r="AD200" s="20">
        <f>IFERROR(__xludf.DUMMYFUNCTION("iferror(PERCENTRANK.INC(FILTER($X$2:$X$421, $U$2:$U$421&gt;=4.1), $X200), 0.01)"),0.01)</f>
        <v>0.01</v>
      </c>
      <c r="AE200" s="20"/>
    </row>
    <row r="201" ht="14.25" customHeight="1">
      <c r="A201" s="17" t="s">
        <v>504</v>
      </c>
      <c r="B201" s="17" t="s">
        <v>505</v>
      </c>
      <c r="C201" s="18">
        <v>9.0</v>
      </c>
      <c r="D201" s="17" t="s">
        <v>99</v>
      </c>
      <c r="E201" s="17" t="s">
        <v>188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27.4192684</v>
      </c>
      <c r="Z201" s="20">
        <f t="shared" si="6"/>
        <v>-3.742365869</v>
      </c>
      <c r="AA201" s="20"/>
      <c r="AB201" s="20">
        <f>IFERROR(__xludf.DUMMYFUNCTION("iferror(PERCENTRANK.INC(FILTER($X$2:$X$421, $U$2:$U$421&lt;3.75), $X201), 1)"),0.645)</f>
        <v>0.645</v>
      </c>
      <c r="AC201" s="20">
        <f>IFERROR(__xludf.DUMMYFUNCTION("iferror(PERCENTRANK.INC(FILTER($X$2:$X$421, $U$2:$U$421&lt;4.25), $X201), 1)"),0.632)</f>
        <v>0.632</v>
      </c>
      <c r="AD201" s="20">
        <f>IFERROR(__xludf.DUMMYFUNCTION("iferror(PERCENTRANK.INC(FILTER($X$2:$X$421, $U$2:$U$421&gt;=4.1), $X201), 0.01)"),0.01)</f>
        <v>0.01</v>
      </c>
      <c r="AE201" s="20"/>
    </row>
    <row r="202" ht="14.25" customHeight="1">
      <c r="A202" s="17" t="s">
        <v>506</v>
      </c>
      <c r="B202" s="17" t="s">
        <v>507</v>
      </c>
      <c r="C202" s="18">
        <v>4.0</v>
      </c>
      <c r="D202" s="17" t="s">
        <v>99</v>
      </c>
      <c r="E202" s="17" t="s">
        <v>508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29.56728982</v>
      </c>
      <c r="Z202" s="20">
        <f t="shared" si="6"/>
        <v>-2.0568424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1)"),0.966)</f>
        <v>0.966</v>
      </c>
      <c r="AD202" s="20">
        <f>IFERROR(__xludf.DUMMYFUNCTION("iferror(PERCENTRANK.INC(FILTER($X$2:$X$421, $U$2:$U$421&gt;=4.1), $X202), 0.01)"),0.01)</f>
        <v>0.01</v>
      </c>
      <c r="AE202" s="20"/>
    </row>
    <row r="203" ht="14.25" customHeight="1">
      <c r="A203" s="17" t="s">
        <v>509</v>
      </c>
      <c r="B203" s="17" t="s">
        <v>323</v>
      </c>
      <c r="C203" s="18">
        <v>16.0</v>
      </c>
      <c r="D203" s="17" t="s">
        <v>99</v>
      </c>
      <c r="E203" s="17" t="s">
        <v>188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6">
        <v>0.9</v>
      </c>
      <c r="X203" s="22">
        <f t="shared" si="14"/>
        <v>0.07563070761</v>
      </c>
      <c r="Y203" s="20">
        <f t="shared" si="4"/>
        <v>26.93421078</v>
      </c>
      <c r="Z203" s="20">
        <f t="shared" si="6"/>
        <v>-4.408088625</v>
      </c>
      <c r="AA203" s="20"/>
      <c r="AB203" s="20">
        <f>IFERROR(__xludf.DUMMYFUNCTION("iferror(PERCENTRANK.INC(FILTER($X$2:$X$421, $U$2:$U$421&lt;3.75), $X203), 1)"),0.343)</f>
        <v>0.343</v>
      </c>
      <c r="AC203" s="20">
        <f>IFERROR(__xludf.DUMMYFUNCTION("iferror(PERCENTRANK.INC(FILTER($X$2:$X$421, $U$2:$U$421&lt;4.25), $X203), 1)"),0.336)</f>
        <v>0.336</v>
      </c>
      <c r="AD203" s="20">
        <f>IFERROR(__xludf.DUMMYFUNCTION("iferror(PERCENTRANK.INC(FILTER($X$2:$X$421, $U$2:$U$421&gt;=4.1), $X203), 0.01)"),0.01)</f>
        <v>0.01</v>
      </c>
      <c r="AE203" s="20"/>
    </row>
    <row r="204" ht="14.25" customHeight="1">
      <c r="A204" s="17" t="s">
        <v>510</v>
      </c>
      <c r="B204" s="17" t="s">
        <v>511</v>
      </c>
      <c r="C204" s="18">
        <v>3.0</v>
      </c>
      <c r="D204" s="17" t="s">
        <v>99</v>
      </c>
      <c r="E204" s="17" t="s">
        <v>102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5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27.47859796</v>
      </c>
      <c r="Z204" s="20">
        <f t="shared" si="6"/>
        <v>-3.84789578</v>
      </c>
      <c r="AA204" s="20"/>
      <c r="AB204" s="20">
        <f>IFERROR(__xludf.DUMMYFUNCTION("iferror(PERCENTRANK.INC(FILTER($X$2:$X$421, $U$2:$U$421&lt;3.75), $X204), 1)"),0.685)</f>
        <v>0.685</v>
      </c>
      <c r="AC204" s="20">
        <f>IFERROR(__xludf.DUMMYFUNCTION("iferror(PERCENTRANK.INC(FILTER($X$2:$X$421, $U$2:$U$421&lt;4.25), $X204), 1)"),0.672)</f>
        <v>0.672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512</v>
      </c>
      <c r="B205" s="17" t="s">
        <v>513</v>
      </c>
      <c r="C205" s="18">
        <v>11.0</v>
      </c>
      <c r="D205" s="17" t="s">
        <v>99</v>
      </c>
      <c r="E205" s="17" t="s">
        <v>179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27.00725069</v>
      </c>
      <c r="Z205" s="20">
        <f t="shared" si="6"/>
        <v>-4.246993625</v>
      </c>
      <c r="AA205" s="20"/>
      <c r="AB205" s="20">
        <f>IFERROR(__xludf.DUMMYFUNCTION("iferror(PERCENTRANK.INC(FILTER($X$2:$X$421, $U$2:$U$421&lt;3.75), $X205), 1)"),0.415)</f>
        <v>0.415</v>
      </c>
      <c r="AC205" s="20">
        <f>IFERROR(__xludf.DUMMYFUNCTION("iferror(PERCENTRANK.INC(FILTER($X$2:$X$421, $U$2:$U$421&lt;4.25), $X205), 1)"),0.407)</f>
        <v>0.407</v>
      </c>
      <c r="AD205" s="20">
        <f>IFERROR(__xludf.DUMMYFUNCTION("iferror(PERCENTRANK.INC(FILTER($X$2:$X$421, $U$2:$U$421&gt;=4.1), $X205), 0.01)"),0.01)</f>
        <v>0.01</v>
      </c>
      <c r="AE205" s="20"/>
    </row>
    <row r="206" ht="14.25" customHeight="1">
      <c r="A206" s="17" t="s">
        <v>514</v>
      </c>
      <c r="B206" s="17" t="s">
        <v>515</v>
      </c>
      <c r="C206" s="18">
        <v>16.0</v>
      </c>
      <c r="D206" s="17" t="s">
        <v>99</v>
      </c>
      <c r="E206" s="17" t="s">
        <v>120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6">
        <v>0.95</v>
      </c>
      <c r="X206" s="22">
        <f t="shared" si="14"/>
        <v>0.5962940566</v>
      </c>
      <c r="Y206" s="20">
        <f t="shared" si="4"/>
        <v>27.53344833</v>
      </c>
      <c r="Z206" s="20">
        <f t="shared" si="6"/>
        <v>-3.026548022</v>
      </c>
      <c r="AA206" s="20"/>
      <c r="AB206" s="20">
        <f>IFERROR(__xludf.DUMMYFUNCTION("iferror(PERCENTRANK.INC(FILTER($X$2:$X$421, $U$2:$U$421&lt;3.75), $X206), 1)"),0.715)</f>
        <v>0.715</v>
      </c>
      <c r="AC206" s="20">
        <f>IFERROR(__xludf.DUMMYFUNCTION("iferror(PERCENTRANK.INC(FILTER($X$2:$X$421, $U$2:$U$421&lt;4.25), $X206), 1)"),0.701)</f>
        <v>0.701</v>
      </c>
      <c r="AD206" s="20">
        <f>IFERROR(__xludf.DUMMYFUNCTION("iferror(PERCENTRANK.INC(FILTER($X$2:$X$421, $U$2:$U$421&gt;=4.1), $X206), 0.01)"),0.01)</f>
        <v>0.01</v>
      </c>
      <c r="AE206" s="20"/>
    </row>
    <row r="207" ht="14.25" customHeight="1">
      <c r="A207" s="17" t="s">
        <v>516</v>
      </c>
      <c r="B207" s="17" t="s">
        <v>215</v>
      </c>
      <c r="C207" s="18">
        <v>12.0</v>
      </c>
      <c r="D207" s="17" t="s">
        <v>99</v>
      </c>
      <c r="E207" s="17" t="s">
        <v>169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27.1423228</v>
      </c>
      <c r="Z207" s="20">
        <f t="shared" si="6"/>
        <v>-3.760579958</v>
      </c>
      <c r="AA207" s="20"/>
      <c r="AB207" s="20">
        <f>IFERROR(__xludf.DUMMYFUNCTION("iferror(PERCENTRANK.INC(FILTER($X$2:$X$421, $U$2:$U$421&lt;3.75), $X207), 1)"),0.513)</f>
        <v>0.513</v>
      </c>
      <c r="AC207" s="20">
        <f>IFERROR(__xludf.DUMMYFUNCTION("iferror(PERCENTRANK.INC(FILTER($X$2:$X$421, $U$2:$U$421&lt;4.25), $X207), 1)"),0.502)</f>
        <v>0.502</v>
      </c>
      <c r="AD207" s="20">
        <f>IFERROR(__xludf.DUMMYFUNCTION("iferror(PERCENTRANK.INC(FILTER($X$2:$X$421, $U$2:$U$421&gt;=4.1), $X207), 0.01)"),0.01)</f>
        <v>0.01</v>
      </c>
      <c r="AE207" s="20"/>
    </row>
    <row r="208" ht="14.25" customHeight="1">
      <c r="A208" s="17" t="s">
        <v>517</v>
      </c>
      <c r="B208" s="17" t="s">
        <v>143</v>
      </c>
      <c r="C208" s="18">
        <v>6.0</v>
      </c>
      <c r="D208" s="17" t="s">
        <v>99</v>
      </c>
      <c r="E208" s="17" t="s">
        <v>135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27.55156942</v>
      </c>
      <c r="Z208" s="20">
        <f t="shared" si="6"/>
        <v>-3.324843405</v>
      </c>
      <c r="AA208" s="20"/>
      <c r="AB208" s="20">
        <f>IFERROR(__xludf.DUMMYFUNCTION("iferror(PERCENTRANK.INC(FILTER($X$2:$X$421, $U$2:$U$421&lt;3.75), $X208), 1)"),0.728)</f>
        <v>0.728</v>
      </c>
      <c r="AC208" s="20">
        <f>IFERROR(__xludf.DUMMYFUNCTION("iferror(PERCENTRANK.INC(FILTER($X$2:$X$421, $U$2:$U$421&lt;4.25), $X208), 1)"),0.713)</f>
        <v>0.713</v>
      </c>
      <c r="AD208" s="20">
        <f>IFERROR(__xludf.DUMMYFUNCTION("iferror(PERCENTRANK.INC(FILTER($X$2:$X$421, $U$2:$U$421&gt;=4.1), $X208), 0.01)"),0.01)</f>
        <v>0.01</v>
      </c>
      <c r="AE208" s="20"/>
    </row>
    <row r="209" ht="14.25" customHeight="1">
      <c r="A209" s="17" t="s">
        <v>518</v>
      </c>
      <c r="B209" s="17" t="s">
        <v>519</v>
      </c>
      <c r="C209" s="18">
        <v>2.0</v>
      </c>
      <c r="D209" s="17" t="s">
        <v>99</v>
      </c>
      <c r="E209" s="17" t="s">
        <v>108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6">
        <v>0.95</v>
      </c>
      <c r="X209" s="22">
        <f t="shared" si="14"/>
        <v>0.1938034885</v>
      </c>
      <c r="Y209" s="20">
        <f t="shared" si="4"/>
        <v>27.07021722</v>
      </c>
      <c r="Z209" s="20">
        <f t="shared" si="6"/>
        <v>-2.621204089</v>
      </c>
      <c r="AA209" s="20"/>
      <c r="AB209" s="20">
        <f>IFERROR(__xludf.DUMMYFUNCTION("iferror(PERCENTRANK.INC(FILTER($X$2:$X$421, $U$2:$U$421&lt;3.75), $X209), 1)"),0.463)</f>
        <v>0.463</v>
      </c>
      <c r="AC209" s="20">
        <f>IFERROR(__xludf.DUMMYFUNCTION("iferror(PERCENTRANK.INC(FILTER($X$2:$X$421, $U$2:$U$421&lt;4.25), $X209), 1)"),0.453)</f>
        <v>0.453</v>
      </c>
      <c r="AD209" s="20">
        <f>IFERROR(__xludf.DUMMYFUNCTION("iferror(PERCENTRANK.INC(FILTER($X$2:$X$421, $U$2:$U$421&gt;=4.1), $X209), 0.01)"),0.01)</f>
        <v>0.01</v>
      </c>
      <c r="AE209" s="20"/>
    </row>
    <row r="210" ht="14.25" customHeight="1">
      <c r="A210" s="17" t="s">
        <v>520</v>
      </c>
      <c r="B210" s="17" t="s">
        <v>521</v>
      </c>
      <c r="C210" s="18">
        <v>15.0</v>
      </c>
      <c r="D210" s="17" t="s">
        <v>99</v>
      </c>
      <c r="E210" s="17" t="s">
        <v>117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28.4300983</v>
      </c>
      <c r="Z210" s="20">
        <f t="shared" si="6"/>
        <v>-2.312258803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$U$2:$U$421&lt;4.25), $X210), 1)"),0.946)</f>
        <v>0.946</v>
      </c>
      <c r="AD210" s="20">
        <f>IFERROR(__xludf.DUMMYFUNCTION("iferror(PERCENTRANK.INC(FILTER($X$2:$X$421, $U$2:$U$421&gt;=4.1), $X210), 0.01)"),0.01)</f>
        <v>0.01</v>
      </c>
      <c r="AE210" s="20"/>
    </row>
    <row r="211" ht="14.25" customHeight="1">
      <c r="A211" s="17" t="s">
        <v>522</v>
      </c>
      <c r="B211" s="17" t="s">
        <v>523</v>
      </c>
      <c r="C211" s="18">
        <v>8.0</v>
      </c>
      <c r="D211" s="17" t="s">
        <v>99</v>
      </c>
      <c r="E211" s="17" t="s">
        <v>164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5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27.04406946</v>
      </c>
      <c r="Z211" s="20">
        <f t="shared" si="6"/>
        <v>-3.615213549</v>
      </c>
      <c r="AA211" s="20"/>
      <c r="AB211" s="20">
        <f>IFERROR(__xludf.DUMMYFUNCTION("iferror(PERCENTRANK.INC(FILTER($X$2:$X$421, $U$2:$U$421&lt;3.75), $X211), 1)"),0.44)</f>
        <v>0.44</v>
      </c>
      <c r="AC211" s="20">
        <f>IFERROR(__xludf.DUMMYFUNCTION("iferror(PERCENTRANK.INC(FILTER($X$2:$X$421, $U$2:$U$421&lt;4.25), $X211), 1)"),0.431)</f>
        <v>0.431</v>
      </c>
      <c r="AD211" s="20">
        <f>IFERROR(__xludf.DUMMYFUNCTION("iferror(PERCENTRANK.INC(FILTER($X$2:$X$421, $U$2:$U$421&gt;=4.1), $X211), 0.01)"),0.01)</f>
        <v>0.01</v>
      </c>
      <c r="AE211" s="20"/>
    </row>
    <row r="212" ht="14.25" customHeight="1">
      <c r="A212" s="17" t="s">
        <v>524</v>
      </c>
      <c r="B212" s="17" t="s">
        <v>525</v>
      </c>
      <c r="C212" s="18">
        <v>3.0</v>
      </c>
      <c r="D212" s="17" t="s">
        <v>99</v>
      </c>
      <c r="E212" s="17" t="s">
        <v>188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27.03668119</v>
      </c>
      <c r="Z212" s="20">
        <f t="shared" si="6"/>
        <v>-2.978668043</v>
      </c>
      <c r="AA212" s="20"/>
      <c r="AB212" s="20">
        <f>IFERROR(__xludf.DUMMYFUNCTION("iferror(PERCENTRANK.INC(FILTER($X$2:$X$421, $U$2:$U$421&lt;3.75), $X212), 1)"),0.435)</f>
        <v>0.435</v>
      </c>
      <c r="AC212" s="20">
        <f>IFERROR(__xludf.DUMMYFUNCTION("iferror(PERCENTRANK.INC(FILTER($X$2:$X$421, $U$2:$U$421&lt;4.25), $X212), 1)"),0.426)</f>
        <v>0.426</v>
      </c>
      <c r="AD212" s="20">
        <f>IFERROR(__xludf.DUMMYFUNCTION("iferror(PERCENTRANK.INC(FILTER($X$2:$X$421, $U$2:$U$421&gt;=4.1), $X212), 0.01)"),0.01)</f>
        <v>0.01</v>
      </c>
      <c r="AE212" s="20"/>
    </row>
    <row r="213" ht="14.25" customHeight="1">
      <c r="A213" s="17" t="s">
        <v>526</v>
      </c>
      <c r="B213" s="17" t="s">
        <v>527</v>
      </c>
      <c r="C213" s="18">
        <v>4.0</v>
      </c>
      <c r="D213" s="17" t="s">
        <v>99</v>
      </c>
      <c r="E213" s="17" t="s">
        <v>125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27.36808789</v>
      </c>
      <c r="Z213" s="20">
        <f t="shared" si="6"/>
        <v>-2.643552497</v>
      </c>
      <c r="AA213" s="20"/>
      <c r="AB213" s="20">
        <f>IFERROR(__xludf.DUMMYFUNCTION("iferror(PERCENTRANK.INC(FILTER($X$2:$X$421, $U$2:$U$421&lt;3.75), $X213), 1)"),0.618)</f>
        <v>0.618</v>
      </c>
      <c r="AC213" s="20">
        <f>IFERROR(__xludf.DUMMYFUNCTION("iferror(PERCENTRANK.INC(FILTER($X$2:$X$421, $U$2:$U$421&lt;4.25), $X213), 1)"),0.605)</f>
        <v>0.605</v>
      </c>
      <c r="AD213" s="20">
        <f>IFERROR(__xludf.DUMMYFUNCTION("iferror(PERCENTRANK.INC(FILTER($X$2:$X$421, $U$2:$U$421&gt;=4.1), $X213), 0.01)"),0.01)</f>
        <v>0.01</v>
      </c>
      <c r="AE213" s="20"/>
    </row>
    <row r="214" ht="14.25" customHeight="1">
      <c r="A214" s="17" t="s">
        <v>528</v>
      </c>
      <c r="B214" s="17" t="s">
        <v>529</v>
      </c>
      <c r="C214" s="18">
        <v>12.0</v>
      </c>
      <c r="D214" s="17" t="s">
        <v>99</v>
      </c>
      <c r="E214" s="17" t="s">
        <v>125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5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27.06447219</v>
      </c>
      <c r="Z214" s="20">
        <f t="shared" si="6"/>
        <v>-2.680385084</v>
      </c>
      <c r="AA214" s="20"/>
      <c r="AB214" s="20">
        <f>IFERROR(__xludf.DUMMYFUNCTION("iferror(PERCENTRANK.INC(FILTER($X$2:$X$421, $U$2:$U$421&lt;3.75), $X214), 1)"),0.46)</f>
        <v>0.46</v>
      </c>
      <c r="AC214" s="20">
        <f>IFERROR(__xludf.DUMMYFUNCTION("iferror(PERCENTRANK.INC(FILTER($X$2:$X$421, $U$2:$U$421&lt;4.25), $X214), 1)"),0.451)</f>
        <v>0.451</v>
      </c>
      <c r="AD214" s="20">
        <f>IFERROR(__xludf.DUMMYFUNCTION("iferror(PERCENTRANK.INC(FILTER($X$2:$X$421, $U$2:$U$421&gt;=4.1), $X214), 0.01)"),0.01)</f>
        <v>0.01</v>
      </c>
      <c r="AE214" s="20"/>
    </row>
    <row r="215" ht="14.25" customHeight="1">
      <c r="A215" s="17" t="s">
        <v>530</v>
      </c>
      <c r="B215" s="17" t="s">
        <v>531</v>
      </c>
      <c r="C215" s="18">
        <v>5.0</v>
      </c>
      <c r="D215" s="17" t="s">
        <v>99</v>
      </c>
      <c r="E215" s="17" t="s">
        <v>120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27.02047386</v>
      </c>
      <c r="Z215" s="20">
        <f t="shared" si="6"/>
        <v>-3.171802048</v>
      </c>
      <c r="AA215" s="20"/>
      <c r="AB215" s="20">
        <f>IFERROR(__xludf.DUMMYFUNCTION("iferror(PERCENTRANK.INC(FILTER($X$2:$X$421, $U$2:$U$421&lt;3.75), $X215), 1)"),0.425)</f>
        <v>0.425</v>
      </c>
      <c r="AC215" s="20">
        <f>IFERROR(__xludf.DUMMYFUNCTION("iferror(PERCENTRANK.INC(FILTER($X$2:$X$421, $U$2:$U$421&lt;4.25), $X215), 1)"),0.417)</f>
        <v>0.417</v>
      </c>
      <c r="AD215" s="20">
        <f>IFERROR(__xludf.DUMMYFUNCTION("iferror(PERCENTRANK.INC(FILTER($X$2:$X$421, $U$2:$U$421&gt;=4.1), $X215), 0.01)"),0.01)</f>
        <v>0.01</v>
      </c>
      <c r="AE215" s="20"/>
    </row>
    <row r="216" ht="14.25" customHeight="1">
      <c r="A216" s="17" t="s">
        <v>532</v>
      </c>
      <c r="B216" s="17" t="s">
        <v>533</v>
      </c>
      <c r="C216" s="18">
        <v>2.0</v>
      </c>
      <c r="D216" s="17" t="s">
        <v>99</v>
      </c>
      <c r="E216" s="17" t="s">
        <v>135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6">
        <v>0.9</v>
      </c>
      <c r="X216" s="22">
        <f t="shared" si="14"/>
        <v>0.6264727575</v>
      </c>
      <c r="Y216" s="20">
        <f t="shared" si="4"/>
        <v>27.56818135</v>
      </c>
      <c r="Z216" s="20">
        <f t="shared" si="6"/>
        <v>-2.529881002</v>
      </c>
      <c r="AA216" s="20"/>
      <c r="AB216" s="20">
        <f>IFERROR(__xludf.DUMMYFUNCTION("iferror(PERCENTRANK.INC(FILTER($X$2:$X$421, $U$2:$U$421&lt;3.75), $X216), 1)"),0.73)</f>
        <v>0.73</v>
      </c>
      <c r="AC216" s="20">
        <f>IFERROR(__xludf.DUMMYFUNCTION("iferror(PERCENTRANK.INC(FILTER($X$2:$X$421, $U$2:$U$421&lt;4.25), $X216), 1)"),0.716)</f>
        <v>0.716</v>
      </c>
      <c r="AD216" s="20">
        <f>IFERROR(__xludf.DUMMYFUNCTION("iferror(PERCENTRANK.INC(FILTER($X$2:$X$421, $U$2:$U$421&gt;=4.1), $X216), 0.01)"),0.01)</f>
        <v>0.01</v>
      </c>
      <c r="AE216" s="20"/>
    </row>
    <row r="217" ht="14.25" customHeight="1">
      <c r="A217" s="17" t="s">
        <v>534</v>
      </c>
      <c r="B217" s="17" t="s">
        <v>351</v>
      </c>
      <c r="C217" s="18">
        <v>3.0</v>
      </c>
      <c r="D217" s="17" t="s">
        <v>99</v>
      </c>
      <c r="E217" s="17" t="s">
        <v>130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27.9315916</v>
      </c>
      <c r="Z217" s="20">
        <f t="shared" si="6"/>
        <v>-1.633401757</v>
      </c>
      <c r="AA217" s="20"/>
      <c r="AB217" s="20">
        <f>IFERROR(__xludf.DUMMYFUNCTION("iferror(PERCENTRANK.INC(FILTER($X$2:$X$421, $U$2:$U$421&lt;3.75), $X217), 1)"),0.918)</f>
        <v>0.918</v>
      </c>
      <c r="AC217" s="20">
        <f>IFERROR(__xludf.DUMMYFUNCTION("iferror(PERCENTRANK.INC(FILTER($X$2:$X$421, $U$2:$U$421&lt;4.25), $X217), 1)"),0.9)</f>
        <v>0.9</v>
      </c>
      <c r="AD217" s="20">
        <f>IFERROR(__xludf.DUMMYFUNCTION("iferror(PERCENTRANK.INC(FILTER($X$2:$X$421, $U$2:$U$421&gt;=4.1), $X217), 0.01)"),0.01)</f>
        <v>0.01</v>
      </c>
      <c r="AE217" s="20"/>
    </row>
    <row r="218" ht="14.25" customHeight="1">
      <c r="A218" s="17" t="s">
        <v>535</v>
      </c>
      <c r="B218" s="17" t="s">
        <v>536</v>
      </c>
      <c r="C218" s="18">
        <v>11.0</v>
      </c>
      <c r="D218" s="17" t="s">
        <v>99</v>
      </c>
      <c r="E218" s="17" t="s">
        <v>164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5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26.99335676</v>
      </c>
      <c r="Z218" s="20">
        <f t="shared" si="6"/>
        <v>-2.997036427</v>
      </c>
      <c r="AA218" s="20"/>
      <c r="AB218" s="20">
        <f>IFERROR(__xludf.DUMMYFUNCTION("iferror(PERCENTRANK.INC(FILTER($X$2:$X$421, $U$2:$U$421&lt;3.75), $X218), 1)"),0.403)</f>
        <v>0.403</v>
      </c>
      <c r="AC218" s="20">
        <f>IFERROR(__xludf.DUMMYFUNCTION("iferror(PERCENTRANK.INC(FILTER($X$2:$X$421, $U$2:$U$421&lt;4.25), $X218), 1)"),0.395)</f>
        <v>0.395</v>
      </c>
      <c r="AD218" s="20">
        <f>IFERROR(__xludf.DUMMYFUNCTION("iferror(PERCENTRANK.INC(FILTER($X$2:$X$421, $U$2:$U$421&gt;=4.1), $X218), 0.01)"),0.01)</f>
        <v>0.01</v>
      </c>
      <c r="AE218" s="20"/>
    </row>
    <row r="219" ht="14.25" customHeight="1">
      <c r="A219" s="17" t="s">
        <v>537</v>
      </c>
      <c r="B219" s="17" t="s">
        <v>461</v>
      </c>
      <c r="C219" s="18">
        <v>9.0</v>
      </c>
      <c r="D219" s="17" t="s">
        <v>99</v>
      </c>
      <c r="E219" s="17" t="s">
        <v>157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6">
        <v>0.9</v>
      </c>
      <c r="X219" s="22">
        <f t="shared" si="14"/>
        <v>0.712089</v>
      </c>
      <c r="Y219" s="20">
        <f t="shared" si="4"/>
        <v>27.66671809</v>
      </c>
      <c r="Z219" s="20">
        <f t="shared" si="6"/>
        <v>-1.93190273</v>
      </c>
      <c r="AA219" s="20"/>
      <c r="AB219" s="20">
        <f>IFERROR(__xludf.DUMMYFUNCTION("iferror(PERCENTRANK.INC(FILTER($X$2:$X$421, $U$2:$U$421&lt;3.75), $X219), 1)"),0.77)</f>
        <v>0.77</v>
      </c>
      <c r="AC219" s="20">
        <f>IFERROR(__xludf.DUMMYFUNCTION("iferror(PERCENTRANK.INC(FILTER($X$2:$X$421, $U$2:$U$421&lt;4.25), $X219), 1)"),0.755)</f>
        <v>0.755</v>
      </c>
      <c r="AD219" s="20">
        <f>IFERROR(__xludf.DUMMYFUNCTION("iferror(PERCENTRANK.INC(FILTER($X$2:$X$421, $U$2:$U$421&gt;=4.1), $X219), 0.01)"),0.01)</f>
        <v>0.01</v>
      </c>
      <c r="AE219" s="20"/>
    </row>
    <row r="220" ht="14.25" customHeight="1">
      <c r="A220" s="17" t="s">
        <v>538</v>
      </c>
      <c r="B220" s="17" t="s">
        <v>539</v>
      </c>
      <c r="C220" s="18">
        <v>0.0</v>
      </c>
      <c r="D220" s="17" t="s">
        <v>99</v>
      </c>
      <c r="E220" s="17" t="s">
        <v>176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6">
        <v>0.9</v>
      </c>
      <c r="X220" s="22">
        <f t="shared" si="14"/>
        <v>0.2550183958</v>
      </c>
      <c r="Y220" s="20">
        <f t="shared" si="4"/>
        <v>27.14067018</v>
      </c>
      <c r="Z220" s="20">
        <f t="shared" si="6"/>
        <v>-2.407199022</v>
      </c>
      <c r="AA220" s="20"/>
      <c r="AB220" s="20">
        <f>IFERROR(__xludf.DUMMYFUNCTION("iferror(PERCENTRANK.INC(FILTER($X$2:$X$421, $U$2:$U$421&lt;3.75), $X220), 1)"),0.51)</f>
        <v>0.51</v>
      </c>
      <c r="AC220" s="20">
        <f>IFERROR(__xludf.DUMMYFUNCTION("iferror(PERCENTRANK.INC(FILTER($X$2:$X$421, $U$2:$U$421&lt;4.25), $X220), 1)"),0.5)</f>
        <v>0.5</v>
      </c>
      <c r="AD220" s="20">
        <f>IFERROR(__xludf.DUMMYFUNCTION("iferror(PERCENTRANK.INC(FILTER($X$2:$X$421, $U$2:$U$421&gt;=4.1), $X220), 0.01)"),0.01)</f>
        <v>0.01</v>
      </c>
      <c r="AE220" s="20"/>
    </row>
    <row r="221" ht="14.25" customHeight="1">
      <c r="A221" s="17" t="s">
        <v>540</v>
      </c>
      <c r="B221" s="17" t="s">
        <v>525</v>
      </c>
      <c r="C221" s="18">
        <v>1.0</v>
      </c>
      <c r="D221" s="17" t="s">
        <v>99</v>
      </c>
      <c r="E221" s="17" t="s">
        <v>188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6">
        <v>0.9</v>
      </c>
      <c r="X221" s="22">
        <f t="shared" si="14"/>
        <v>0.7965661485</v>
      </c>
      <c r="Y221" s="20">
        <f t="shared" si="4"/>
        <v>27.76394383</v>
      </c>
      <c r="Z221" s="20">
        <f t="shared" si="6"/>
        <v>-1.111216511</v>
      </c>
      <c r="AA221" s="20"/>
      <c r="AB221" s="20">
        <f>IFERROR(__xludf.DUMMYFUNCTION("iferror(PERCENTRANK.INC(FILTER($X$2:$X$421, $U$2:$U$421&lt;3.75), $X221), 1)"),0.815)</f>
        <v>0.815</v>
      </c>
      <c r="AC221" s="20">
        <f>IFERROR(__xludf.DUMMYFUNCTION("iferror(PERCENTRANK.INC(FILTER($X$2:$X$421, $U$2:$U$421&lt;4.25), $X221), 1)"),0.799)</f>
        <v>0.799</v>
      </c>
      <c r="AD221" s="20">
        <f>IFERROR(__xludf.DUMMYFUNCTION("iferror(PERCENTRANK.INC(FILTER($X$2:$X$421, $U$2:$U$421&gt;=4.1), $X221), 0.01)"),0.01)</f>
        <v>0.01</v>
      </c>
      <c r="AE221" s="20"/>
    </row>
    <row r="222" ht="14.25" customHeight="1">
      <c r="A222" s="17" t="s">
        <v>541</v>
      </c>
      <c r="B222" s="17" t="s">
        <v>297</v>
      </c>
      <c r="C222" s="18">
        <v>7.0</v>
      </c>
      <c r="D222" s="17" t="s">
        <v>99</v>
      </c>
      <c r="E222" s="17" t="s">
        <v>149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6">
        <v>0.95</v>
      </c>
      <c r="X222" s="22">
        <f t="shared" si="14"/>
        <v>0.4395952541</v>
      </c>
      <c r="Y222" s="20">
        <f t="shared" si="4"/>
        <v>27.35310184</v>
      </c>
      <c r="Z222" s="20">
        <f t="shared" si="6"/>
        <v>-1.015220352</v>
      </c>
      <c r="AA222" s="20"/>
      <c r="AB222" s="20">
        <f>IFERROR(__xludf.DUMMYFUNCTION("iferror(PERCENTRANK.INC(FILTER($X$2:$X$421, $U$2:$U$421&lt;3.75), $X222), 1)"),0.613)</f>
        <v>0.613</v>
      </c>
      <c r="AC222" s="20">
        <f>IFERROR(__xludf.DUMMYFUNCTION("iferror(PERCENTRANK.INC(FILTER($X$2:$X$421, $U$2:$U$421&lt;4.25), $X222), 1)"),0.6)</f>
        <v>0.6</v>
      </c>
      <c r="AD222" s="20">
        <f>IFERROR(__xludf.DUMMYFUNCTION("iferror(PERCENTRANK.INC(FILTER($X$2:$X$421, $U$2:$U$421&gt;=4.1), $X222), 0.01)"),0.01)</f>
        <v>0.01</v>
      </c>
      <c r="AE222" s="20"/>
    </row>
    <row r="223" ht="14.25" customHeight="1">
      <c r="A223" s="17" t="s">
        <v>542</v>
      </c>
      <c r="B223" s="17" t="s">
        <v>543</v>
      </c>
      <c r="C223" s="18">
        <v>1.0</v>
      </c>
      <c r="D223" s="17" t="s">
        <v>99</v>
      </c>
      <c r="E223" s="17" t="s">
        <v>149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26.88227775</v>
      </c>
      <c r="Z223" s="20">
        <f t="shared" si="6"/>
        <v>-1.393695135</v>
      </c>
      <c r="AA223" s="20"/>
      <c r="AB223" s="20">
        <f>IFERROR(__xludf.DUMMYFUNCTION("iferror(PERCENTRANK.INC(FILTER($X$2:$X$421, $U$2:$U$421&lt;3.75), $X223), 1)"),0.3)</f>
        <v>0.3</v>
      </c>
      <c r="AC223" s="20">
        <f>IFERROR(__xludf.DUMMYFUNCTION("iferror(PERCENTRANK.INC(FILTER($X$2:$X$421, $U$2:$U$421&lt;4.25), $X223), 1)"),0.294)</f>
        <v>0.294</v>
      </c>
      <c r="AD223" s="20">
        <f>IFERROR(__xludf.DUMMYFUNCTION("iferror(PERCENTRANK.INC(FILTER($X$2:$X$421, $U$2:$U$421&gt;=4.1), $X223), 0.01)"),0.01)</f>
        <v>0.01</v>
      </c>
      <c r="AE223" s="20"/>
    </row>
    <row r="224" ht="14.25" customHeight="1">
      <c r="A224" s="17" t="s">
        <v>544</v>
      </c>
      <c r="B224" s="17" t="s">
        <v>257</v>
      </c>
      <c r="C224" s="18">
        <v>2.0</v>
      </c>
      <c r="D224" s="17" t="s">
        <v>99</v>
      </c>
      <c r="E224" s="17" t="s">
        <v>138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5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26.8280944</v>
      </c>
      <c r="Z224" s="20">
        <f t="shared" si="6"/>
        <v>-2.405251925</v>
      </c>
      <c r="AA224" s="20"/>
      <c r="AB224" s="20">
        <f>IFERROR(__xludf.DUMMYFUNCTION("iferror(PERCENTRANK.INC(FILTER($X$2:$X$421, $U$2:$U$421&lt;3.75), $X224), 1)"),0.235)</f>
        <v>0.235</v>
      </c>
      <c r="AC224" s="20">
        <f>IFERROR(__xludf.DUMMYFUNCTION("iferror(PERCENTRANK.INC(FILTER($X$2:$X$421, $U$2:$U$421&lt;4.25), $X224), 1)"),0.23)</f>
        <v>0.23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545</v>
      </c>
      <c r="B225" s="17" t="s">
        <v>546</v>
      </c>
      <c r="C225" s="18">
        <v>15.0</v>
      </c>
      <c r="D225" s="17" t="s">
        <v>99</v>
      </c>
      <c r="E225" s="17" t="s">
        <v>152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28.4020279</v>
      </c>
      <c r="Z225" s="20">
        <f t="shared" si="6"/>
        <v>-0.296247913</v>
      </c>
      <c r="AA225" s="20"/>
      <c r="AB225" s="20">
        <f>IFERROR(__xludf.DUMMYFUNCTION("iferror(PERCENTRANK.INC(FILTER($X$2:$X$421, $U$2:$U$421&lt;3.75), $X225), 1)"),0.963)</f>
        <v>0.963</v>
      </c>
      <c r="AC225" s="20">
        <f>IFERROR(__xludf.DUMMYFUNCTION("iferror(PERCENTRANK.INC(FILTER($X$2:$X$421, $U$2:$U$421&lt;4.25), $X225), 1)"),0.944)</f>
        <v>0.944</v>
      </c>
      <c r="AD225" s="20">
        <f>IFERROR(__xludf.DUMMYFUNCTION("iferror(PERCENTRANK.INC(FILTER($X$2:$X$421, $U$2:$U$421&gt;=4.1), $X225), 0.01)"),0.01)</f>
        <v>0.01</v>
      </c>
      <c r="AE225" s="20"/>
    </row>
    <row r="226" ht="14.25" customHeight="1">
      <c r="A226" s="17" t="s">
        <v>547</v>
      </c>
      <c r="B226" s="17" t="s">
        <v>377</v>
      </c>
      <c r="C226" s="18">
        <v>8.0</v>
      </c>
      <c r="D226" s="17" t="s">
        <v>99</v>
      </c>
      <c r="E226" s="17" t="s">
        <v>141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6">
        <v>0.9</v>
      </c>
      <c r="X226" s="22">
        <f t="shared" si="14"/>
        <v>0.4273148552</v>
      </c>
      <c r="Y226" s="20">
        <f t="shared" si="4"/>
        <v>27.33896819</v>
      </c>
      <c r="Z226" s="20">
        <f t="shared" si="6"/>
        <v>-0.8782252228</v>
      </c>
      <c r="AA226" s="20"/>
      <c r="AB226" s="20">
        <f>IFERROR(__xludf.DUMMYFUNCTION("iferror(PERCENTRANK.INC(FILTER($X$2:$X$421, $U$2:$U$421&lt;3.75), $X226), 1)"),0.608)</f>
        <v>0.608</v>
      </c>
      <c r="AC226" s="20">
        <f>IFERROR(__xludf.DUMMYFUNCTION("iferror(PERCENTRANK.INC(FILTER($X$2:$X$421, $U$2:$U$421&lt;4.25), $X226), 1)"),0.596)</f>
        <v>0.596</v>
      </c>
      <c r="AD226" s="20">
        <f>IFERROR(__xludf.DUMMYFUNCTION("iferror(PERCENTRANK.INC(FILTER($X$2:$X$421, $U$2:$U$421&gt;=4.1), $X226), 0.01)"),0.01)</f>
        <v>0.01</v>
      </c>
      <c r="AE226" s="20"/>
    </row>
    <row r="227" ht="14.25" customHeight="1">
      <c r="A227" s="17" t="s">
        <v>548</v>
      </c>
      <c r="B227" s="17" t="s">
        <v>533</v>
      </c>
      <c r="C227" s="18">
        <v>11.0</v>
      </c>
      <c r="D227" s="17" t="s">
        <v>99</v>
      </c>
      <c r="E227" s="17" t="s">
        <v>135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27.15376236</v>
      </c>
      <c r="Z227" s="20">
        <f t="shared" si="6"/>
        <v>-1.98200835</v>
      </c>
      <c r="AA227" s="20"/>
      <c r="AB227" s="20">
        <f>IFERROR(__xludf.DUMMYFUNCTION("iferror(PERCENTRANK.INC(FILTER($X$2:$X$421, $U$2:$U$421&lt;3.75), $X227), 1)"),0.523)</f>
        <v>0.523</v>
      </c>
      <c r="AC227" s="20">
        <f>IFERROR(__xludf.DUMMYFUNCTION("iferror(PERCENTRANK.INC(FILTER($X$2:$X$421, $U$2:$U$421&lt;4.25), $X227), 1)"),0.512)</f>
        <v>0.512</v>
      </c>
      <c r="AD227" s="20">
        <f>IFERROR(__xludf.DUMMYFUNCTION("iferror(PERCENTRANK.INC(FILTER($X$2:$X$421, $U$2:$U$421&gt;=4.1), $X227), 0.01)"),0.01)</f>
        <v>0.01</v>
      </c>
      <c r="AE227" s="20"/>
    </row>
    <row r="228" ht="14.25" customHeight="1">
      <c r="A228" s="17" t="s">
        <v>549</v>
      </c>
      <c r="B228" s="17" t="s">
        <v>550</v>
      </c>
      <c r="C228" s="18">
        <v>2.0</v>
      </c>
      <c r="D228" s="17" t="s">
        <v>99</v>
      </c>
      <c r="E228" s="17" t="s">
        <v>157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26.9441152</v>
      </c>
      <c r="Z228" s="20">
        <f t="shared" si="6"/>
        <v>-1.563516901</v>
      </c>
      <c r="AA228" s="20"/>
      <c r="AB228" s="20">
        <f>IFERROR(__xludf.DUMMYFUNCTION("iferror(PERCENTRANK.INC(FILTER($X$2:$X$421, $U$2:$U$421&lt;3.75), $X228), 1)"),0.35)</f>
        <v>0.35</v>
      </c>
      <c r="AC228" s="20">
        <f>IFERROR(__xludf.DUMMYFUNCTION("iferror(PERCENTRANK.INC(FILTER($X$2:$X$421, $U$2:$U$421&lt;4.25), $X228), 1)"),0.343)</f>
        <v>0.343</v>
      </c>
      <c r="AD228" s="20">
        <f>IFERROR(__xludf.DUMMYFUNCTION("iferror(PERCENTRANK.INC(FILTER($X$2:$X$421, $U$2:$U$421&gt;=4.1), $X228), 0.01)"),0.01)</f>
        <v>0.01</v>
      </c>
      <c r="AE228" s="20"/>
    </row>
    <row r="229" ht="14.25" customHeight="1">
      <c r="A229" s="17" t="s">
        <v>551</v>
      </c>
      <c r="B229" s="17" t="s">
        <v>459</v>
      </c>
      <c r="C229" s="18">
        <v>17.0</v>
      </c>
      <c r="D229" s="17" t="s">
        <v>99</v>
      </c>
      <c r="E229" s="17" t="s">
        <v>164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6">
        <v>1.0</v>
      </c>
      <c r="X229" s="22">
        <f t="shared" si="14"/>
        <v>-0.17919962</v>
      </c>
      <c r="Y229" s="20">
        <f t="shared" si="4"/>
        <v>26.64092358</v>
      </c>
      <c r="Z229" s="20">
        <f t="shared" si="6"/>
        <v>-2.200638804</v>
      </c>
      <c r="AA229" s="20"/>
      <c r="AB229" s="20">
        <f>IFERROR(__xludf.DUMMYFUNCTION("iferror(PERCENTRANK.INC(FILTER($X$2:$X$421, $U$2:$U$421&lt;3.75), $X229), 1)"),0.12)</f>
        <v>0.12</v>
      </c>
      <c r="AC229" s="20">
        <f>IFERROR(__xludf.DUMMYFUNCTION("iferror(PERCENTRANK.INC(FILTER($X$2:$X$421, $U$2:$U$421&lt;4.25), $X229), 1)"),0.118)</f>
        <v>0.118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552</v>
      </c>
      <c r="B230" s="17" t="s">
        <v>553</v>
      </c>
      <c r="C230" s="18">
        <v>2.0</v>
      </c>
      <c r="D230" s="17" t="s">
        <v>99</v>
      </c>
      <c r="E230" s="17" t="s">
        <v>176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26.98317768</v>
      </c>
      <c r="Z230" s="20">
        <f t="shared" si="6"/>
        <v>-1.572222095</v>
      </c>
      <c r="AA230" s="20"/>
      <c r="AB230" s="20">
        <f>IFERROR(__xludf.DUMMYFUNCTION("iferror(PERCENTRANK.INC(FILTER($X$2:$X$421, $U$2:$U$421&lt;3.75), $X230), 1)"),0.388)</f>
        <v>0.388</v>
      </c>
      <c r="AC230" s="20">
        <f>IFERROR(__xludf.DUMMYFUNCTION("iferror(PERCENTRANK.INC(FILTER($X$2:$X$421, $U$2:$U$421&lt;4.25), $X230), 1)"),0.38)</f>
        <v>0.38</v>
      </c>
      <c r="AD230" s="20">
        <f>IFERROR(__xludf.DUMMYFUNCTION("iferror(PERCENTRANK.INC(FILTER($X$2:$X$421, $U$2:$U$421&gt;=4.1), $X230), 0.01)"),0.01)</f>
        <v>0.01</v>
      </c>
      <c r="AE230" s="20"/>
    </row>
    <row r="231" ht="14.25" customHeight="1">
      <c r="A231" s="17" t="s">
        <v>554</v>
      </c>
      <c r="B231" s="17" t="s">
        <v>555</v>
      </c>
      <c r="C231" s="18">
        <v>13.0</v>
      </c>
      <c r="D231" s="17" t="s">
        <v>99</v>
      </c>
      <c r="E231" s="17" t="s">
        <v>138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27.47053333</v>
      </c>
      <c r="Z231" s="20">
        <f t="shared" si="6"/>
        <v>-0.1366647622</v>
      </c>
      <c r="AA231" s="20"/>
      <c r="AB231" s="20">
        <f>IFERROR(__xludf.DUMMYFUNCTION("iferror(PERCENTRANK.INC(FILTER($X$2:$X$421, $U$2:$U$421&lt;3.75), $X231), 1)"),0.68)</f>
        <v>0.68</v>
      </c>
      <c r="AC231" s="20">
        <f>IFERROR(__xludf.DUMMYFUNCTION("iferror(PERCENTRANK.INC(FILTER($X$2:$X$421, $U$2:$U$421&lt;4.25), $X231), 1)"),0.667)</f>
        <v>0.667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556</v>
      </c>
      <c r="B232" s="17" t="s">
        <v>557</v>
      </c>
      <c r="C232" s="18">
        <v>10.0</v>
      </c>
      <c r="D232" s="17" t="s">
        <v>99</v>
      </c>
      <c r="E232" s="17" t="s">
        <v>108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27.06073631</v>
      </c>
      <c r="Z232" s="20">
        <f t="shared" si="6"/>
        <v>-1.228126814</v>
      </c>
      <c r="AA232" s="20"/>
      <c r="AB232" s="20">
        <f>IFERROR(__xludf.DUMMYFUNCTION("iferror(PERCENTRANK.INC(FILTER($X$2:$X$421, $U$2:$U$421&lt;3.75), $X232), 1)"),0.458)</f>
        <v>0.458</v>
      </c>
      <c r="AC232" s="20">
        <f>IFERROR(__xludf.DUMMYFUNCTION("iferror(PERCENTRANK.INC(FILTER($X$2:$X$421, $U$2:$U$421&lt;4.25), $X232), 1)"),0.449)</f>
        <v>0.449</v>
      </c>
      <c r="AD232" s="20">
        <f>IFERROR(__xludf.DUMMYFUNCTION("iferror(PERCENTRANK.INC(FILTER($X$2:$X$421, $U$2:$U$421&gt;=4.1), $X232), 0.01)"),0.01)</f>
        <v>0.01</v>
      </c>
      <c r="AE232" s="20"/>
    </row>
    <row r="233" ht="14.25" customHeight="1">
      <c r="A233" s="17" t="s">
        <v>558</v>
      </c>
      <c r="B233" s="17" t="s">
        <v>392</v>
      </c>
      <c r="C233" s="18">
        <v>11.0</v>
      </c>
      <c r="D233" s="17" t="s">
        <v>99</v>
      </c>
      <c r="E233" s="17" t="s">
        <v>157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5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26.99142268</v>
      </c>
      <c r="Z233" s="20">
        <f t="shared" si="6"/>
        <v>-1.295696544</v>
      </c>
      <c r="AA233" s="20"/>
      <c r="AB233" s="20">
        <f>IFERROR(__xludf.DUMMYFUNCTION("iferror(PERCENTRANK.INC(FILTER($X$2:$X$421, $U$2:$U$421&lt;3.75), $X233), 1)"),0.4)</f>
        <v>0.4</v>
      </c>
      <c r="AC233" s="20">
        <f>IFERROR(__xludf.DUMMYFUNCTION("iferror(PERCENTRANK.INC(FILTER($X$2:$X$421, $U$2:$U$421&lt;4.25), $X233), 1)"),0.392)</f>
        <v>0.392</v>
      </c>
      <c r="AD233" s="20">
        <f>IFERROR(__xludf.DUMMYFUNCTION("iferror(PERCENTRANK.INC(FILTER($X$2:$X$421, $U$2:$U$421&gt;=4.1), $X233), 0.01)"),0.01)</f>
        <v>0.01</v>
      </c>
      <c r="AE233" s="20"/>
    </row>
    <row r="234" ht="14.25" customHeight="1">
      <c r="A234" s="17" t="s">
        <v>559</v>
      </c>
      <c r="B234" s="17" t="s">
        <v>560</v>
      </c>
      <c r="C234" s="18">
        <v>15.0</v>
      </c>
      <c r="D234" s="17" t="s">
        <v>99</v>
      </c>
      <c r="E234" s="17" t="s">
        <v>102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6">
        <v>1.0</v>
      </c>
      <c r="X234" s="22">
        <f t="shared" si="14"/>
        <v>-0.009818095561</v>
      </c>
      <c r="Y234" s="20">
        <f t="shared" si="4"/>
        <v>26.83586676</v>
      </c>
      <c r="Z234" s="20">
        <f t="shared" si="6"/>
        <v>-0.8353478039</v>
      </c>
      <c r="AA234" s="20"/>
      <c r="AB234" s="20">
        <f>IFERROR(__xludf.DUMMYFUNCTION("iferror(PERCENTRANK.INC(FILTER($X$2:$X$421, $U$2:$U$421&lt;3.75), $X234), 1)"),0.24)</f>
        <v>0.24</v>
      </c>
      <c r="AC234" s="20">
        <f>IFERROR(__xludf.DUMMYFUNCTION("iferror(PERCENTRANK.INC(FILTER($X$2:$X$421, $U$2:$U$421&lt;4.25), $X234), 1)"),0.235)</f>
        <v>0.235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561</v>
      </c>
      <c r="B235" s="17" t="s">
        <v>119</v>
      </c>
      <c r="C235" s="18">
        <v>5.0</v>
      </c>
      <c r="D235" s="17" t="s">
        <v>99</v>
      </c>
      <c r="E235" s="17" t="s">
        <v>120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5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27.22710498</v>
      </c>
      <c r="Z235" s="20">
        <f t="shared" si="6"/>
        <v>-0.1246623376</v>
      </c>
      <c r="AA235" s="20"/>
      <c r="AB235" s="20">
        <f>IFERROR(__xludf.DUMMYFUNCTION("iferror(PERCENTRANK.INC(FILTER($X$2:$X$421, $U$2:$U$421&lt;3.75), $X235), 1)"),0.553)</f>
        <v>0.553</v>
      </c>
      <c r="AC235" s="20">
        <f>IFERROR(__xludf.DUMMYFUNCTION("iferror(PERCENTRANK.INC(FILTER($X$2:$X$421, $U$2:$U$421&lt;4.25), $X235), 1)"),0.542)</f>
        <v>0.542</v>
      </c>
      <c r="AD235" s="20">
        <f>IFERROR(__xludf.DUMMYFUNCTION("iferror(PERCENTRANK.INC(FILTER($X$2:$X$421, $U$2:$U$421&gt;=4.1), $X235), 0.01)"),0.01)</f>
        <v>0.01</v>
      </c>
      <c r="AE235" s="20"/>
    </row>
    <row r="236" ht="14.25" customHeight="1">
      <c r="A236" s="17" t="s">
        <v>562</v>
      </c>
      <c r="B236" s="17" t="s">
        <v>295</v>
      </c>
      <c r="C236" s="18">
        <v>12.0</v>
      </c>
      <c r="D236" s="17" t="s">
        <v>99</v>
      </c>
      <c r="E236" s="17" t="s">
        <v>135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6">
        <v>0.9</v>
      </c>
      <c r="X236" s="22">
        <f t="shared" si="14"/>
        <v>0.0714029619</v>
      </c>
      <c r="Y236" s="20">
        <f t="shared" si="4"/>
        <v>26.92934502</v>
      </c>
      <c r="Z236" s="20">
        <f t="shared" si="6"/>
        <v>-0.3615945845</v>
      </c>
      <c r="AA236" s="20"/>
      <c r="AB236" s="20">
        <f>IFERROR(__xludf.DUMMYFUNCTION("iferror(PERCENTRANK.INC(FILTER($X$2:$X$421, $U$2:$U$421&lt;3.75), $X236), 1)"),0.335)</f>
        <v>0.335</v>
      </c>
      <c r="AC236" s="20">
        <f>IFERROR(__xludf.DUMMYFUNCTION("iferror(PERCENTRANK.INC(FILTER($X$2:$X$421, $U$2:$U$421&lt;4.25), $X236), 1)"),0.328)</f>
        <v>0.328</v>
      </c>
      <c r="AD236" s="20">
        <f>IFERROR(__xludf.DUMMYFUNCTION("iferror(PERCENTRANK.INC(FILTER($X$2:$X$421, $U$2:$U$421&gt;=4.1), $X236), 0.01)"),0.01)</f>
        <v>0.01</v>
      </c>
      <c r="AE236" s="20"/>
    </row>
    <row r="237" ht="14.25" customHeight="1">
      <c r="A237" s="17" t="s">
        <v>563</v>
      </c>
      <c r="B237" s="17" t="s">
        <v>564</v>
      </c>
      <c r="C237" s="18">
        <v>5.0</v>
      </c>
      <c r="D237" s="17" t="s">
        <v>99</v>
      </c>
      <c r="E237" s="17" t="s">
        <v>130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6">
        <v>1.0</v>
      </c>
      <c r="X237" s="22">
        <f t="shared" si="14"/>
        <v>0.4844730095</v>
      </c>
      <c r="Y237" s="20">
        <f t="shared" si="4"/>
        <v>27.40475218</v>
      </c>
      <c r="Z237" s="20">
        <f t="shared" si="6"/>
        <v>0.3936737376</v>
      </c>
      <c r="AA237" s="20"/>
      <c r="AB237" s="20">
        <f>IFERROR(__xludf.DUMMYFUNCTION("iferror(PERCENTRANK.INC(FILTER($X$2:$X$421, $U$2:$U$421&lt;3.75), $X237), 1)"),0.638)</f>
        <v>0.638</v>
      </c>
      <c r="AC237" s="20">
        <f>IFERROR(__xludf.DUMMYFUNCTION("iferror(PERCENTRANK.INC(FILTER($X$2:$X$421, $U$2:$U$421&lt;4.25), $X237), 1)"),0.625)</f>
        <v>0.625</v>
      </c>
      <c r="AD237" s="20">
        <f>IFERROR(__xludf.DUMMYFUNCTION("iferror(PERCENTRANK.INC(FILTER($X$2:$X$421, $U$2:$U$421&gt;=4.1), $X237), 0.01)"),0.01)</f>
        <v>0.01</v>
      </c>
      <c r="AE237" s="20"/>
    </row>
    <row r="238" ht="14.25" customHeight="1">
      <c r="A238" s="17" t="s">
        <v>565</v>
      </c>
      <c r="B238" s="17" t="s">
        <v>433</v>
      </c>
      <c r="C238" s="18">
        <v>16.0</v>
      </c>
      <c r="D238" s="17" t="s">
        <v>99</v>
      </c>
      <c r="E238" s="17" t="s">
        <v>120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26.82683209</v>
      </c>
      <c r="Z238" s="20">
        <f t="shared" si="6"/>
        <v>-0.14542853</v>
      </c>
      <c r="AA238" s="20"/>
      <c r="AB238" s="20">
        <f>IFERROR(__xludf.DUMMYFUNCTION("iferror(PERCENTRANK.INC(FILTER($X$2:$X$421, $U$2:$U$421&lt;3.75), $X238), 1)"),0.23)</f>
        <v>0.23</v>
      </c>
      <c r="AC238" s="20">
        <f>IFERROR(__xludf.DUMMYFUNCTION("iferror(PERCENTRANK.INC(FILTER($X$2:$X$421, $U$2:$U$421&lt;4.25), $X238), 1)"),0.225)</f>
        <v>0.225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566</v>
      </c>
      <c r="B239" s="17" t="s">
        <v>567</v>
      </c>
      <c r="C239" s="18">
        <v>6.0</v>
      </c>
      <c r="D239" s="17" t="s">
        <v>99</v>
      </c>
      <c r="E239" s="17" t="s">
        <v>508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27.26400773</v>
      </c>
      <c r="Z239" s="20">
        <f t="shared" si="6"/>
        <v>-0.1356287355</v>
      </c>
      <c r="AA239" s="20"/>
      <c r="AB239" s="20">
        <f>IFERROR(__xludf.DUMMYFUNCTION("iferror(PERCENTRANK.INC(FILTER($X$2:$X$421, $U$2:$U$421&lt;3.75), $X239), 1)"),0.578)</f>
        <v>0.578</v>
      </c>
      <c r="AC239" s="20">
        <f>IFERROR(__xludf.DUMMYFUNCTION("iferror(PERCENTRANK.INC(FILTER($X$2:$X$421, $U$2:$U$421&lt;4.25), $X239), 1)"),0.566)</f>
        <v>0.566</v>
      </c>
      <c r="AD239" s="20">
        <f>IFERROR(__xludf.DUMMYFUNCTION("iferror(PERCENTRANK.INC(FILTER($X$2:$X$421, $U$2:$U$421&gt;=4.1), $X239), 0.01)"),0.01)</f>
        <v>0.01</v>
      </c>
      <c r="AE239" s="20"/>
    </row>
    <row r="240" ht="14.25" customHeight="1">
      <c r="A240" s="17" t="s">
        <v>568</v>
      </c>
      <c r="B240" s="17" t="s">
        <v>569</v>
      </c>
      <c r="C240" s="18">
        <v>0.0</v>
      </c>
      <c r="D240" s="17" t="s">
        <v>99</v>
      </c>
      <c r="E240" s="17" t="s">
        <v>141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26.76749313</v>
      </c>
      <c r="Z240" s="20">
        <f t="shared" si="6"/>
        <v>0.6168251038</v>
      </c>
      <c r="AA240" s="20"/>
      <c r="AB240" s="20">
        <f>IFERROR(__xludf.DUMMYFUNCTION("iferror(PERCENTRANK.INC(FILTER($X$2:$X$421, $U$2:$U$421&lt;3.75), $X240), 1)"),0.198)</f>
        <v>0.198</v>
      </c>
      <c r="AC240" s="20">
        <f>IFERROR(__xludf.DUMMYFUNCTION("iferror(PERCENTRANK.INC(FILTER($X$2:$X$421, $U$2:$U$421&lt;4.25), $X240), 1)"),0.194)</f>
        <v>0.194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570</v>
      </c>
      <c r="B241" s="17" t="s">
        <v>373</v>
      </c>
      <c r="C241" s="18">
        <v>1.0</v>
      </c>
      <c r="D241" s="17" t="s">
        <v>99</v>
      </c>
      <c r="E241" s="17" t="s">
        <v>176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5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26.73250635</v>
      </c>
      <c r="Z241" s="20">
        <f t="shared" si="6"/>
        <v>0.2520621859</v>
      </c>
      <c r="AA241" s="20"/>
      <c r="AB241" s="20">
        <f>IFERROR(__xludf.DUMMYFUNCTION("iferror(PERCENTRANK.INC(FILTER($X$2:$X$421, $U$2:$U$421&lt;3.75), $X241), 1)"),0.178)</f>
        <v>0.178</v>
      </c>
      <c r="AC241" s="20">
        <f>IFERROR(__xludf.DUMMYFUNCTION("iferror(PERCENTRANK.INC(FILTER($X$2:$X$421, $U$2:$U$421&lt;4.25), $X241), 1)"),0.174)</f>
        <v>0.174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571</v>
      </c>
      <c r="B242" s="17" t="s">
        <v>572</v>
      </c>
      <c r="C242" s="18">
        <v>4.0</v>
      </c>
      <c r="D242" s="17" t="s">
        <v>99</v>
      </c>
      <c r="E242" s="17" t="s">
        <v>120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5"/>
      <c r="S242" s="20">
        <v>1.4684605118429856</v>
      </c>
      <c r="T242" s="22">
        <v>422.27</v>
      </c>
      <c r="U242" s="31"/>
      <c r="V242" s="30"/>
      <c r="W242" s="18">
        <v>0.95</v>
      </c>
      <c r="X242" s="22">
        <f t="shared" si="14"/>
        <v>63.56076908</v>
      </c>
      <c r="Y242" s="20">
        <f t="shared" si="4"/>
        <v>100</v>
      </c>
      <c r="Z242" s="20">
        <f t="shared" si="6"/>
        <v>73.52911479</v>
      </c>
      <c r="AA242" s="20"/>
      <c r="AB242" s="20">
        <f>IFERROR(__xludf.DUMMYFUNCTION("iferror(PERCENTRANK.INC(FILTER($X$2:$X$421, $U$2:$U$421&lt;3.75), $X242), 1)"),1.0)</f>
        <v>1</v>
      </c>
      <c r="AC242" s="20">
        <f>IFERROR(__xludf.DUMMYFUNCTION("iferror(PERCENTRANK.INC(FILTER($X$2:$X$421, $U$2:$U$421&lt;4.25), $X242), 1)"),1.0)</f>
        <v>1</v>
      </c>
      <c r="AD242" s="20">
        <f>IFERROR(__xludf.DUMMYFUNCTION("iferror(PERCENTRANK.INC(FILTER($X$2:$X$421, $U$2:$U$421&gt;=4.1), $X242), 0.01)"),0.01)</f>
        <v>0.01</v>
      </c>
      <c r="AE242" s="20"/>
    </row>
    <row r="243" ht="14.25" customHeight="1">
      <c r="A243" s="17" t="s">
        <v>573</v>
      </c>
      <c r="B243" s="17" t="s">
        <v>574</v>
      </c>
      <c r="C243" s="18">
        <v>2.0</v>
      </c>
      <c r="D243" s="17" t="s">
        <v>99</v>
      </c>
      <c r="E243" s="17" t="s">
        <v>130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6">
        <v>1.0</v>
      </c>
      <c r="X243" s="22">
        <f t="shared" si="14"/>
        <v>0.1367649635</v>
      </c>
      <c r="Y243" s="20">
        <f t="shared" si="4"/>
        <v>27.00457092</v>
      </c>
      <c r="Z243" s="20">
        <f t="shared" si="6"/>
        <v>0.3318916291</v>
      </c>
      <c r="AA243" s="20"/>
      <c r="AB243" s="20">
        <f>IFERROR(__xludf.DUMMYFUNCTION("iferror(PERCENTRANK.INC(FILTER($X$2:$X$421, $U$2:$U$421&lt;3.75), $X243), 1)"),0.41)</f>
        <v>0.41</v>
      </c>
      <c r="AC243" s="20">
        <f>IFERROR(__xludf.DUMMYFUNCTION("iferror(PERCENTRANK.INC(FILTER($X$2:$X$421, $U$2:$U$421&lt;4.25), $X243), 1)"),0.402)</f>
        <v>0.402</v>
      </c>
      <c r="AD243" s="20">
        <f>IFERROR(__xludf.DUMMYFUNCTION("iferror(PERCENTRANK.INC(FILTER($X$2:$X$421, $U$2:$U$421&gt;=4.1), $X243), 0.01)"),0.01)</f>
        <v>0.01</v>
      </c>
      <c r="AE243" s="20"/>
    </row>
    <row r="244" ht="14.25" customHeight="1">
      <c r="A244" s="17" t="s">
        <v>575</v>
      </c>
      <c r="B244" s="17" t="s">
        <v>451</v>
      </c>
      <c r="C244" s="18">
        <v>2.0</v>
      </c>
      <c r="D244" s="17" t="s">
        <v>99</v>
      </c>
      <c r="E244" s="17" t="s">
        <v>169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27.0510594</v>
      </c>
      <c r="Z244" s="20">
        <f t="shared" si="6"/>
        <v>0.5076307386</v>
      </c>
      <c r="AA244" s="20"/>
      <c r="AB244" s="20">
        <f>IFERROR(__xludf.DUMMYFUNCTION("iferror(PERCENTRANK.INC(FILTER($X$2:$X$421, $U$2:$U$421&lt;3.75), $X244), 1)"),0.445)</f>
        <v>0.445</v>
      </c>
      <c r="AC244" s="20">
        <f>IFERROR(__xludf.DUMMYFUNCTION("iferror(PERCENTRANK.INC(FILTER($X$2:$X$421, $U$2:$U$421&lt;4.25), $X244), 1)"),0.436)</f>
        <v>0.436</v>
      </c>
      <c r="AD244" s="20">
        <f>IFERROR(__xludf.DUMMYFUNCTION("iferror(PERCENTRANK.INC(FILTER($X$2:$X$421, $U$2:$U$421&gt;=4.1), $X244), 0.01)"),0.01)</f>
        <v>0.01</v>
      </c>
      <c r="AE244" s="20"/>
    </row>
    <row r="245" ht="14.25" customHeight="1">
      <c r="A245" s="17" t="s">
        <v>576</v>
      </c>
      <c r="B245" s="17" t="s">
        <v>577</v>
      </c>
      <c r="C245" s="18">
        <v>15.0</v>
      </c>
      <c r="D245" s="17" t="s">
        <v>99</v>
      </c>
      <c r="E245" s="17" t="s">
        <v>120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27.08271998</v>
      </c>
      <c r="Z245" s="20">
        <f t="shared" si="6"/>
        <v>1.101477332</v>
      </c>
      <c r="AA245" s="20"/>
      <c r="AB245" s="20">
        <f>IFERROR(__xludf.DUMMYFUNCTION("iferror(PERCENTRANK.INC(FILTER($X$2:$X$421, $U$2:$U$421&lt;3.75), $X245), 1)"),0.47)</f>
        <v>0.47</v>
      </c>
      <c r="AC245" s="20">
        <f>IFERROR(__xludf.DUMMYFUNCTION("iferror(PERCENTRANK.INC(FILTER($X$2:$X$421, $U$2:$U$421&lt;4.25), $X245), 1)"),0.461)</f>
        <v>0.461</v>
      </c>
      <c r="AD245" s="20">
        <f>IFERROR(__xludf.DUMMYFUNCTION("iferror(PERCENTRANK.INC(FILTER($X$2:$X$421, $U$2:$U$421&gt;=4.1), $X245), 0.01)"),0.01)</f>
        <v>0.01</v>
      </c>
      <c r="AE245" s="20"/>
    </row>
    <row r="246" ht="14.25" customHeight="1">
      <c r="A246" s="17" t="s">
        <v>578</v>
      </c>
      <c r="B246" s="17" t="s">
        <v>579</v>
      </c>
      <c r="C246" s="18">
        <v>13.0</v>
      </c>
      <c r="D246" s="17" t="s">
        <v>99</v>
      </c>
      <c r="E246" s="17" t="s">
        <v>152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27.23796595</v>
      </c>
      <c r="Z246" s="20">
        <f t="shared" si="6"/>
        <v>1.386230564</v>
      </c>
      <c r="AA246" s="20"/>
      <c r="AB246" s="20">
        <f>IFERROR(__xludf.DUMMYFUNCTION("iferror(PERCENTRANK.INC(FILTER($X$2:$X$421, $U$2:$U$421&lt;3.75), $X246), 1)"),0.563)</f>
        <v>0.563</v>
      </c>
      <c r="AC246" s="20">
        <f>IFERROR(__xludf.DUMMYFUNCTION("iferror(PERCENTRANK.INC(FILTER($X$2:$X$421, $U$2:$U$421&lt;4.25), $X246), 1)"),0.551)</f>
        <v>0.551</v>
      </c>
      <c r="AD246" s="20">
        <f>IFERROR(__xludf.DUMMYFUNCTION("iferror(PERCENTRANK.INC(FILTER($X$2:$X$421, $U$2:$U$421&gt;=4.1), $X246), 0.01)"),0.01)</f>
        <v>0.01</v>
      </c>
      <c r="AE246" s="20"/>
    </row>
    <row r="247" ht="14.25" customHeight="1">
      <c r="A247" s="17" t="s">
        <v>580</v>
      </c>
      <c r="B247" s="17" t="s">
        <v>581</v>
      </c>
      <c r="C247" s="18">
        <v>3.0</v>
      </c>
      <c r="D247" s="17" t="s">
        <v>99</v>
      </c>
      <c r="E247" s="17" t="s">
        <v>164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26.34634024</v>
      </c>
      <c r="Z247" s="20">
        <f t="shared" si="6"/>
        <v>0.9010908373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$U$2:$U$421&lt;4.25), $X247), 1)"),0.059)</f>
        <v>0.059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582</v>
      </c>
      <c r="B248" s="17" t="s">
        <v>399</v>
      </c>
      <c r="C248" s="18">
        <v>5.0</v>
      </c>
      <c r="D248" s="17" t="s">
        <v>99</v>
      </c>
      <c r="E248" s="17" t="s">
        <v>108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26.83569589</v>
      </c>
      <c r="Z248" s="20">
        <f t="shared" si="6"/>
        <v>0.7220676428</v>
      </c>
      <c r="AA248" s="20"/>
      <c r="AB248" s="20">
        <f>IFERROR(__xludf.DUMMYFUNCTION("iferror(PERCENTRANK.INC(FILTER($X$2:$X$421, $U$2:$U$421&lt;3.75), $X248), 1)"),0.238)</f>
        <v>0.238</v>
      </c>
      <c r="AC248" s="20">
        <f>IFERROR(__xludf.DUMMYFUNCTION("iferror(PERCENTRANK.INC(FILTER($X$2:$X$421, $U$2:$U$421&lt;4.25), $X248), 1)"),0.233)</f>
        <v>0.233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583</v>
      </c>
      <c r="B249" s="17" t="s">
        <v>577</v>
      </c>
      <c r="C249" s="18">
        <v>7.0</v>
      </c>
      <c r="D249" s="17" t="s">
        <v>99</v>
      </c>
      <c r="E249" s="17" t="s">
        <v>120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6">
        <v>0.95</v>
      </c>
      <c r="X249" s="22">
        <f t="shared" si="14"/>
        <v>-0.1660556342</v>
      </c>
      <c r="Y249" s="20">
        <f t="shared" si="4"/>
        <v>26.65605114</v>
      </c>
      <c r="Z249" s="20">
        <f t="shared" si="6"/>
        <v>1.441274393</v>
      </c>
      <c r="AA249" s="20"/>
      <c r="AB249" s="20">
        <f>IFERROR(__xludf.DUMMYFUNCTION("iferror(PERCENTRANK.INC(FILTER($X$2:$X$421, $U$2:$U$421&lt;3.75), $X249), 1)"),0.13)</f>
        <v>0.13</v>
      </c>
      <c r="AC249" s="20">
        <f>IFERROR(__xludf.DUMMYFUNCTION("iferror(PERCENTRANK.INC(FILTER($X$2:$X$421, $U$2:$U$421&lt;4.25), $X249), 1)"),0.127)</f>
        <v>0.127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584</v>
      </c>
      <c r="B250" s="17" t="s">
        <v>585</v>
      </c>
      <c r="C250" s="18">
        <v>9.0</v>
      </c>
      <c r="D250" s="17" t="s">
        <v>99</v>
      </c>
      <c r="E250" s="17" t="s">
        <v>120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26.86685871</v>
      </c>
      <c r="Z250" s="20">
        <f t="shared" si="6"/>
        <v>1.383360975</v>
      </c>
      <c r="AA250" s="20"/>
      <c r="AB250" s="20">
        <f>IFERROR(__xludf.DUMMYFUNCTION("iferror(PERCENTRANK.INC(FILTER($X$2:$X$421, $U$2:$U$421&lt;3.75), $X250), 1)"),0.288)</f>
        <v>0.288</v>
      </c>
      <c r="AC250" s="20">
        <f>IFERROR(__xludf.DUMMYFUNCTION("iferror(PERCENTRANK.INC(FILTER($X$2:$X$421, $U$2:$U$421&lt;4.25), $X250), 1)"),0.282)</f>
        <v>0.282</v>
      </c>
      <c r="AD250" s="20">
        <f>IFERROR(__xludf.DUMMYFUNCTION("iferror(PERCENTRANK.INC(FILTER($X$2:$X$421, $U$2:$U$421&gt;=4.1), $X250), 0.01)"),0.01)</f>
        <v>0.01</v>
      </c>
      <c r="AE250" s="20"/>
    </row>
    <row r="251" ht="14.25" customHeight="1">
      <c r="A251" s="17" t="s">
        <v>586</v>
      </c>
      <c r="B251" s="17" t="s">
        <v>388</v>
      </c>
      <c r="C251" s="18">
        <v>14.0</v>
      </c>
      <c r="D251" s="17" t="s">
        <v>99</v>
      </c>
      <c r="E251" s="17" t="s">
        <v>125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6">
        <v>0.95</v>
      </c>
      <c r="X251" s="22">
        <f t="shared" si="14"/>
        <v>0.09404546251</v>
      </c>
      <c r="Y251" s="20">
        <f t="shared" si="4"/>
        <v>26.95540454</v>
      </c>
      <c r="Z251" s="20">
        <f t="shared" si="6"/>
        <v>1.562276636</v>
      </c>
      <c r="AA251" s="20"/>
      <c r="AB251" s="20">
        <f>IFERROR(__xludf.DUMMYFUNCTION("iferror(PERCENTRANK.INC(FILTER($X$2:$X$421, $U$2:$U$421&lt;3.75), $X251), 1)"),0.36)</f>
        <v>0.36</v>
      </c>
      <c r="AC251" s="20">
        <f>IFERROR(__xludf.DUMMYFUNCTION("iferror(PERCENTRANK.INC(FILTER($X$2:$X$421, $U$2:$U$421&lt;4.25), $X251), 1)"),0.353)</f>
        <v>0.353</v>
      </c>
      <c r="AD251" s="20">
        <f>IFERROR(__xludf.DUMMYFUNCTION("iferror(PERCENTRANK.INC(FILTER($X$2:$X$421, $U$2:$U$421&gt;=4.1), $X251), 0.01)"),0.01)</f>
        <v>0.01</v>
      </c>
      <c r="AE251" s="20"/>
    </row>
    <row r="252" ht="14.25" customHeight="1">
      <c r="A252" s="17" t="s">
        <v>587</v>
      </c>
      <c r="B252" s="17" t="s">
        <v>574</v>
      </c>
      <c r="C252" s="18">
        <v>15.0</v>
      </c>
      <c r="D252" s="17" t="s">
        <v>99</v>
      </c>
      <c r="E252" s="17" t="s">
        <v>130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5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26.98204296</v>
      </c>
      <c r="Z252" s="20">
        <f t="shared" si="6"/>
        <v>2.043431357</v>
      </c>
      <c r="AA252" s="20"/>
      <c r="AB252" s="20">
        <f>IFERROR(__xludf.DUMMYFUNCTION("iferror(PERCENTRANK.INC(FILTER($X$2:$X$421, $U$2:$U$421&lt;3.75), $X252), 1)"),0.385)</f>
        <v>0.385</v>
      </c>
      <c r="AC252" s="20">
        <f>IFERROR(__xludf.DUMMYFUNCTION("iferror(PERCENTRANK.INC(FILTER($X$2:$X$421, $U$2:$U$421&lt;4.25), $X252), 1)"),0.377)</f>
        <v>0.377</v>
      </c>
      <c r="AD252" s="20">
        <f>IFERROR(__xludf.DUMMYFUNCTION("iferror(PERCENTRANK.INC(FILTER($X$2:$X$421, $U$2:$U$421&gt;=4.1), $X252), 0.01)"),0.01)</f>
        <v>0.01</v>
      </c>
      <c r="AE252" s="20"/>
    </row>
    <row r="253" ht="14.25" customHeight="1">
      <c r="A253" s="17" t="s">
        <v>588</v>
      </c>
      <c r="B253" s="17" t="s">
        <v>439</v>
      </c>
      <c r="C253" s="18">
        <v>18.0</v>
      </c>
      <c r="D253" s="17" t="s">
        <v>99</v>
      </c>
      <c r="E253" s="17" t="s">
        <v>117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27.48403779</v>
      </c>
      <c r="Z253" s="20">
        <f t="shared" si="6"/>
        <v>2.191333508</v>
      </c>
      <c r="AA253" s="20"/>
      <c r="AB253" s="20">
        <f>IFERROR(__xludf.DUMMYFUNCTION("iferror(PERCENTRANK.INC(FILTER($X$2:$X$421, $U$2:$U$421&lt;3.75), $X253), 1)"),0.688)</f>
        <v>0.688</v>
      </c>
      <c r="AC253" s="20">
        <f>IFERROR(__xludf.DUMMYFUNCTION("iferror(PERCENTRANK.INC(FILTER($X$2:$X$421, $U$2:$U$421&lt;4.25), $X253), 1)"),0.674)</f>
        <v>0.674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589</v>
      </c>
      <c r="B254" s="17" t="s">
        <v>590</v>
      </c>
      <c r="C254" s="18">
        <v>15.0</v>
      </c>
      <c r="D254" s="17" t="s">
        <v>99</v>
      </c>
      <c r="E254" s="17" t="s">
        <v>111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6">
        <v>0.9</v>
      </c>
      <c r="X254" s="22">
        <f t="shared" si="14"/>
        <v>0.09767147434</v>
      </c>
      <c r="Y254" s="20">
        <f t="shared" si="4"/>
        <v>26.95957776</v>
      </c>
      <c r="Z254" s="20">
        <f t="shared" si="6"/>
        <v>1.71849003</v>
      </c>
      <c r="AA254" s="20"/>
      <c r="AB254" s="20">
        <f>IFERROR(__xludf.DUMMYFUNCTION("iferror(PERCENTRANK.INC(FILTER($X$2:$X$421, $U$2:$U$421&lt;3.75), $X254), 1)"),0.365)</f>
        <v>0.365</v>
      </c>
      <c r="AC254" s="20">
        <f>IFERROR(__xludf.DUMMYFUNCTION("iferror(PERCENTRANK.INC(FILTER($X$2:$X$421, $U$2:$U$421&lt;4.25), $X254), 1)"),0.358)</f>
        <v>0.358</v>
      </c>
      <c r="AD254" s="20">
        <f>IFERROR(__xludf.DUMMYFUNCTION("iferror(PERCENTRANK.INC(FILTER($X$2:$X$421, $U$2:$U$421&gt;=4.1), $X254), 0.01)"),0.01)</f>
        <v>0.01</v>
      </c>
      <c r="AE254" s="20"/>
    </row>
    <row r="255" ht="14.25" customHeight="1">
      <c r="A255" s="17" t="s">
        <v>591</v>
      </c>
      <c r="B255" s="17" t="s">
        <v>501</v>
      </c>
      <c r="C255" s="18">
        <v>5.0</v>
      </c>
      <c r="D255" s="17" t="s">
        <v>99</v>
      </c>
      <c r="E255" s="17" t="s">
        <v>146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6">
        <v>0.9</v>
      </c>
      <c r="X255" s="22">
        <f t="shared" si="14"/>
        <v>0.04007754078</v>
      </c>
      <c r="Y255" s="20">
        <f t="shared" si="4"/>
        <v>26.89329223</v>
      </c>
      <c r="Z255" s="20">
        <f t="shared" si="6"/>
        <v>1.497441366</v>
      </c>
      <c r="AA255" s="20"/>
      <c r="AB255" s="20">
        <f>IFERROR(__xludf.DUMMYFUNCTION("iferror(PERCENTRANK.INC(FILTER($X$2:$X$421, $U$2:$U$421&lt;3.75), $X255), 1)"),0.31)</f>
        <v>0.31</v>
      </c>
      <c r="AC255" s="20">
        <f>IFERROR(__xludf.DUMMYFUNCTION("iferror(PERCENTRANK.INC(FILTER($X$2:$X$421, $U$2:$U$421&lt;4.25), $X255), 1)"),0.304)</f>
        <v>0.304</v>
      </c>
      <c r="AD255" s="20">
        <f>IFERROR(__xludf.DUMMYFUNCTION("iferror(PERCENTRANK.INC(FILTER($X$2:$X$421, $U$2:$U$421&gt;=4.1), $X255), 0.01)"),0.01)</f>
        <v>0.01</v>
      </c>
      <c r="AE255" s="20"/>
    </row>
    <row r="256" ht="14.25" customHeight="1">
      <c r="A256" s="17" t="s">
        <v>592</v>
      </c>
      <c r="B256" s="17" t="s">
        <v>593</v>
      </c>
      <c r="C256" s="18">
        <v>6.0</v>
      </c>
      <c r="D256" s="17" t="s">
        <v>99</v>
      </c>
      <c r="E256" s="17" t="s">
        <v>117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26.90778375</v>
      </c>
      <c r="Z256" s="20">
        <f t="shared" si="6"/>
        <v>1.971046128</v>
      </c>
      <c r="AA256" s="20"/>
      <c r="AB256" s="20">
        <f>IFERROR(__xludf.DUMMYFUNCTION("iferror(PERCENTRANK.INC(FILTER($X$2:$X$421, $U$2:$U$421&lt;3.75), $X256), 1)"),0.32)</f>
        <v>0.32</v>
      </c>
      <c r="AC256" s="20">
        <f>IFERROR(__xludf.DUMMYFUNCTION("iferror(PERCENTRANK.INC(FILTER($X$2:$X$421, $U$2:$U$421&lt;4.25), $X256), 1)"),0.314)</f>
        <v>0.314</v>
      </c>
      <c r="AD256" s="20">
        <f>IFERROR(__xludf.DUMMYFUNCTION("iferror(PERCENTRANK.INC(FILTER($X$2:$X$421, $U$2:$U$421&gt;=4.1), $X256), 0.01)"),0.01)</f>
        <v>0.01</v>
      </c>
      <c r="AE256" s="20"/>
    </row>
    <row r="257" ht="14.25" customHeight="1">
      <c r="A257" s="17" t="s">
        <v>594</v>
      </c>
      <c r="B257" s="17" t="s">
        <v>137</v>
      </c>
      <c r="C257" s="18">
        <v>16.0</v>
      </c>
      <c r="D257" s="17" t="s">
        <v>99</v>
      </c>
      <c r="E257" s="17" t="s">
        <v>138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6">
        <v>0.9</v>
      </c>
      <c r="X257" s="22">
        <f t="shared" si="14"/>
        <v>0.456787186</v>
      </c>
      <c r="Y257" s="20">
        <f t="shared" si="4"/>
        <v>27.37288824</v>
      </c>
      <c r="Z257" s="20">
        <f t="shared" si="6"/>
        <v>2.105722393</v>
      </c>
      <c r="AA257" s="20"/>
      <c r="AB257" s="20">
        <f>IFERROR(__xludf.DUMMYFUNCTION("iferror(PERCENTRANK.INC(FILTER($X$2:$X$421, $U$2:$U$421&lt;3.75), $X257), 1)"),0.62)</f>
        <v>0.62</v>
      </c>
      <c r="AC257" s="20">
        <f>IFERROR(__xludf.DUMMYFUNCTION("iferror(PERCENTRANK.INC(FILTER($X$2:$X$421, $U$2:$U$421&lt;4.25), $X257), 1)"),0.608)</f>
        <v>0.608</v>
      </c>
      <c r="AD257" s="20">
        <f>IFERROR(__xludf.DUMMYFUNCTION("iferror(PERCENTRANK.INC(FILTER($X$2:$X$421, $U$2:$U$421&gt;=4.1), $X257), 0.01)"),0.01)</f>
        <v>0.01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157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6">
        <v>0.9</v>
      </c>
      <c r="X258" s="22">
        <f t="shared" si="14"/>
        <v>0.101517711</v>
      </c>
      <c r="Y258" s="20">
        <f t="shared" si="4"/>
        <v>26.96400444</v>
      </c>
      <c r="Z258" s="20">
        <f t="shared" si="6"/>
        <v>1.798926187</v>
      </c>
      <c r="AA258" s="20"/>
      <c r="AB258" s="20">
        <f>IFERROR(__xludf.DUMMYFUNCTION("iferror(PERCENTRANK.INC(FILTER($X$2:$X$421, $U$2:$U$421&lt;3.75), $X258), 1)"),0.37)</f>
        <v>0.37</v>
      </c>
      <c r="AC258" s="20">
        <f>IFERROR(__xludf.DUMMYFUNCTION("iferror(PERCENTRANK.INC(FILTER($X$2:$X$421, $U$2:$U$421&lt;4.25), $X258), 1)"),0.363)</f>
        <v>0.363</v>
      </c>
      <c r="AD258" s="20">
        <f>IFERROR(__xludf.DUMMYFUNCTION("iferror(PERCENTRANK.INC(FILTER($X$2:$X$421, $U$2:$U$421&gt;=4.1), $X258), 0.01)"),0.01)</f>
        <v>0.01</v>
      </c>
      <c r="AE258" s="20"/>
    </row>
    <row r="259" ht="14.25" customHeight="1">
      <c r="A259" s="17" t="s">
        <v>597</v>
      </c>
      <c r="B259" s="17" t="s">
        <v>233</v>
      </c>
      <c r="C259" s="18">
        <v>12.0</v>
      </c>
      <c r="D259" s="17" t="s">
        <v>99</v>
      </c>
      <c r="E259" s="17" t="s">
        <v>179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6">
        <v>1.0</v>
      </c>
      <c r="X259" s="22">
        <f t="shared" si="14"/>
        <v>0.1806719571</v>
      </c>
      <c r="Y259" s="20">
        <f t="shared" si="4"/>
        <v>27.05510399</v>
      </c>
      <c r="Z259" s="20">
        <f t="shared" si="6"/>
        <v>1.890375687</v>
      </c>
      <c r="AA259" s="20"/>
      <c r="AB259" s="20">
        <f>IFERROR(__xludf.DUMMYFUNCTION("iferror(PERCENTRANK.INC(FILTER($X$2:$X$421, $U$2:$U$421&lt;3.75), $X259), 1)"),0.453)</f>
        <v>0.453</v>
      </c>
      <c r="AC259" s="20">
        <f>IFERROR(__xludf.DUMMYFUNCTION("iferror(PERCENTRANK.INC(FILTER($X$2:$X$421, $U$2:$U$421&lt;4.25), $X259), 1)"),0.444)</f>
        <v>0.444</v>
      </c>
      <c r="AD259" s="20">
        <f>IFERROR(__xludf.DUMMYFUNCTION("iferror(PERCENTRANK.INC(FILTER($X$2:$X$421, $U$2:$U$421&gt;=4.1), $X259), 0.01)"),0.01)</f>
        <v>0.01</v>
      </c>
      <c r="AE259" s="20"/>
    </row>
    <row r="260" ht="14.25" customHeight="1">
      <c r="A260" s="17" t="s">
        <v>598</v>
      </c>
      <c r="B260" s="17" t="s">
        <v>317</v>
      </c>
      <c r="C260" s="18">
        <v>18.0</v>
      </c>
      <c r="D260" s="17" t="s">
        <v>99</v>
      </c>
      <c r="E260" s="17" t="s">
        <v>111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26.85601991</v>
      </c>
      <c r="Z260" s="20">
        <f t="shared" si="6"/>
        <v>1.789949375</v>
      </c>
      <c r="AA260" s="20"/>
      <c r="AB260" s="20">
        <f>IFERROR(__xludf.DUMMYFUNCTION("iferror(PERCENTRANK.INC(FILTER($X$2:$X$421, $U$2:$U$421&lt;3.75), $X260), 1)"),0.268)</f>
        <v>0.268</v>
      </c>
      <c r="AC260" s="20">
        <f>IFERROR(__xludf.DUMMYFUNCTION("iferror(PERCENTRANK.INC(FILTER($X$2:$X$421, $U$2:$U$421&lt;4.25), $X260), 1)"),0.262)</f>
        <v>0.262</v>
      </c>
      <c r="AD260" s="20">
        <f>IFERROR(__xludf.DUMMYFUNCTION("iferror(PERCENTRANK.INC(FILTER($X$2:$X$421, $U$2:$U$421&gt;=4.1), $X260), 0.01)"),0.01)</f>
        <v>0.01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169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26.94763091</v>
      </c>
      <c r="Z261" s="20">
        <f t="shared" si="6"/>
        <v>2.323484463</v>
      </c>
      <c r="AA261" s="20"/>
      <c r="AB261" s="20">
        <f>IFERROR(__xludf.DUMMYFUNCTION("iferror(PERCENTRANK.INC(FILTER($X$2:$X$421, $U$2:$U$421&lt;3.75), $X261), 1)"),0.353)</f>
        <v>0.353</v>
      </c>
      <c r="AC261" s="20">
        <f>IFERROR(__xludf.DUMMYFUNCTION("iferror(PERCENTRANK.INC(FILTER($X$2:$X$421, $U$2:$U$421&lt;4.25), $X261), 1)"),0.346)</f>
        <v>0.346</v>
      </c>
      <c r="AD261" s="20">
        <f>IFERROR(__xludf.DUMMYFUNCTION("iferror(PERCENTRANK.INC(FILTER($X$2:$X$421, $U$2:$U$421&gt;=4.1), $X261), 0.01)"),0.01)</f>
        <v>0.01</v>
      </c>
      <c r="AE261" s="20"/>
    </row>
    <row r="262" ht="14.25" customHeight="1">
      <c r="A262" s="17" t="s">
        <v>601</v>
      </c>
      <c r="B262" s="17" t="s">
        <v>299</v>
      </c>
      <c r="C262" s="18">
        <v>16.0</v>
      </c>
      <c r="D262" s="17" t="s">
        <v>99</v>
      </c>
      <c r="E262" s="17" t="s">
        <v>120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6">
        <v>0.95</v>
      </c>
      <c r="X262" s="22">
        <f t="shared" si="14"/>
        <v>0.02493947231</v>
      </c>
      <c r="Y262" s="20">
        <f t="shared" si="4"/>
        <v>26.87586965</v>
      </c>
      <c r="Z262" s="20">
        <f t="shared" si="6"/>
        <v>1.873720266</v>
      </c>
      <c r="AA262" s="20"/>
      <c r="AB262" s="20">
        <f>IFERROR(__xludf.DUMMYFUNCTION("iferror(PERCENTRANK.INC(FILTER($X$2:$X$421, $U$2:$U$421&lt;3.75), $X262), 1)"),0.293)</f>
        <v>0.293</v>
      </c>
      <c r="AC262" s="20">
        <f>IFERROR(__xludf.DUMMYFUNCTION("iferror(PERCENTRANK.INC(FILTER($X$2:$X$421, $U$2:$U$421&lt;4.25), $X262), 1)"),0.287)</f>
        <v>0.287</v>
      </c>
      <c r="AD262" s="20">
        <f>IFERROR(__xludf.DUMMYFUNCTION("iferror(PERCENTRANK.INC(FILTER($X$2:$X$421, $U$2:$U$421&gt;=4.1), $X262), 0.01)"),0.01)</f>
        <v>0.01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125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5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27.40538776</v>
      </c>
      <c r="Z263" s="20">
        <f t="shared" si="6"/>
        <v>2.438399623</v>
      </c>
      <c r="AA263" s="20"/>
      <c r="AB263" s="20">
        <f>IFERROR(__xludf.DUMMYFUNCTION("iferror(PERCENTRANK.INC(FILTER($X$2:$X$421, $U$2:$U$421&lt;3.75), $X263), 1)"),0.64)</f>
        <v>0.64</v>
      </c>
      <c r="AC263" s="20">
        <f>IFERROR(__xludf.DUMMYFUNCTION("iferror(PERCENTRANK.INC(FILTER($X$2:$X$421, $U$2:$U$421&lt;4.25), $X263), 1)"),0.627)</f>
        <v>0.627</v>
      </c>
      <c r="AD263" s="20">
        <f>IFERROR(__xludf.DUMMYFUNCTION("iferror(PERCENTRANK.INC(FILTER($X$2:$X$421, $U$2:$U$421&gt;=4.1), $X263), 0.01)"),0.01)</f>
        <v>0.01</v>
      </c>
      <c r="AE263" s="20"/>
    </row>
    <row r="264" ht="14.25" customHeight="1">
      <c r="A264" s="17" t="s">
        <v>604</v>
      </c>
      <c r="B264" s="17" t="s">
        <v>581</v>
      </c>
      <c r="C264" s="18">
        <v>15.0</v>
      </c>
      <c r="D264" s="17" t="s">
        <v>99</v>
      </c>
      <c r="E264" s="17" t="s">
        <v>164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6">
        <v>1.0</v>
      </c>
      <c r="X264" s="22">
        <f t="shared" si="14"/>
        <v>0.3539413775</v>
      </c>
      <c r="Y264" s="20">
        <f t="shared" si="4"/>
        <v>27.25452179</v>
      </c>
      <c r="Z264" s="20">
        <f t="shared" si="6"/>
        <v>2.719077049</v>
      </c>
      <c r="AA264" s="20"/>
      <c r="AB264" s="20">
        <f>IFERROR(__xludf.DUMMYFUNCTION("iferror(PERCENTRANK.INC(FILTER($X$2:$X$421, $U$2:$U$421&lt;3.75), $X264), 1)"),0.575)</f>
        <v>0.575</v>
      </c>
      <c r="AC264" s="20">
        <f>IFERROR(__xludf.DUMMYFUNCTION("iferror(PERCENTRANK.INC(FILTER($X$2:$X$421, $U$2:$U$421&lt;4.25), $X264), 1)"),0.564)</f>
        <v>0.564</v>
      </c>
      <c r="AD264" s="20">
        <f>IFERROR(__xludf.DUMMYFUNCTION("iferror(PERCENTRANK.INC(FILTER($X$2:$X$421, $U$2:$U$421&gt;=4.1), $X264), 0.01)"),0.01)</f>
        <v>0.01</v>
      </c>
      <c r="AE264" s="20"/>
    </row>
    <row r="265" ht="14.25" customHeight="1">
      <c r="A265" s="17" t="s">
        <v>605</v>
      </c>
      <c r="B265" s="17" t="s">
        <v>468</v>
      </c>
      <c r="C265" s="18">
        <v>2.0</v>
      </c>
      <c r="D265" s="17" t="s">
        <v>99</v>
      </c>
      <c r="E265" s="17" t="s">
        <v>111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6">
        <v>0.9</v>
      </c>
      <c r="X265" s="22">
        <f t="shared" si="14"/>
        <v>0.2880151875</v>
      </c>
      <c r="Y265" s="20">
        <f t="shared" si="4"/>
        <v>27.17864657</v>
      </c>
      <c r="Z265" s="20">
        <f t="shared" si="6"/>
        <v>2.697317211</v>
      </c>
      <c r="AA265" s="20"/>
      <c r="AB265" s="20">
        <f>IFERROR(__xludf.DUMMYFUNCTION("iferror(PERCENTRANK.INC(FILTER($X$2:$X$421, $U$2:$U$421&lt;3.75), $X265), 1)"),0.535)</f>
        <v>0.535</v>
      </c>
      <c r="AC265" s="20">
        <f>IFERROR(__xludf.DUMMYFUNCTION("iferror(PERCENTRANK.INC(FILTER($X$2:$X$421, $U$2:$U$421&lt;4.25), $X265), 1)"),0.525)</f>
        <v>0.525</v>
      </c>
      <c r="AD265" s="20">
        <f>IFERROR(__xludf.DUMMYFUNCTION("iferror(PERCENTRANK.INC(FILTER($X$2:$X$421, $U$2:$U$421&gt;=4.1), $X265), 0.01)"),0.01)</f>
        <v>0.01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152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6">
        <v>0.95</v>
      </c>
      <c r="X266" s="22">
        <f t="shared" si="14"/>
        <v>0.5603797904</v>
      </c>
      <c r="Y266" s="20">
        <f t="shared" si="4"/>
        <v>27.49211418</v>
      </c>
      <c r="Z266" s="20">
        <f t="shared" si="6"/>
        <v>2.749685265</v>
      </c>
      <c r="AA266" s="20"/>
      <c r="AB266" s="20">
        <f>IFERROR(__xludf.DUMMYFUNCTION("iferror(PERCENTRANK.INC(FILTER($X$2:$X$421, $U$2:$U$421&lt;3.75), $X266), 1)"),0.69)</f>
        <v>0.69</v>
      </c>
      <c r="AC266" s="20">
        <f>IFERROR(__xludf.DUMMYFUNCTION("iferror(PERCENTRANK.INC(FILTER($X$2:$X$421, $U$2:$U$421&lt;4.25), $X266), 1)"),0.676)</f>
        <v>0.676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188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6">
        <v>0.9</v>
      </c>
      <c r="X267" s="22">
        <f t="shared" si="14"/>
        <v>0.1776872048</v>
      </c>
      <c r="Y267" s="20">
        <f t="shared" si="4"/>
        <v>27.0516688</v>
      </c>
      <c r="Z267" s="20">
        <f t="shared" si="6"/>
        <v>2.516297715</v>
      </c>
      <c r="AA267" s="20"/>
      <c r="AB267" s="20">
        <f>IFERROR(__xludf.DUMMYFUNCTION("iferror(PERCENTRANK.INC(FILTER($X$2:$X$421, $U$2:$U$421&lt;3.75), $X267), 1)"),0.45)</f>
        <v>0.45</v>
      </c>
      <c r="AC267" s="20">
        <f>IFERROR(__xludf.DUMMYFUNCTION("iferror(PERCENTRANK.INC(FILTER($X$2:$X$421, $U$2:$U$421&lt;4.25), $X267), 1)"),0.441)</f>
        <v>0.441</v>
      </c>
      <c r="AD267" s="20">
        <f>IFERROR(__xludf.DUMMYFUNCTION("iferror(PERCENTRANK.INC(FILTER($X$2:$X$421, $U$2:$U$421&gt;=4.1), $X267), 0.01)"),0.01)</f>
        <v>0.01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135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26.94075293</v>
      </c>
      <c r="Z268" s="20">
        <f t="shared" si="6"/>
        <v>3.279691636</v>
      </c>
      <c r="AA268" s="20"/>
      <c r="AB268" s="20">
        <f>IFERROR(__xludf.DUMMYFUNCTION("iferror(PERCENTRANK.INC(FILTER($X$2:$X$421, $U$2:$U$421&lt;3.75), $X268), 1)"),0.348)</f>
        <v>0.348</v>
      </c>
      <c r="AC268" s="20">
        <f>IFERROR(__xludf.DUMMYFUNCTION("iferror(PERCENTRANK.INC(FILTER($X$2:$X$421, $U$2:$U$421&lt;4.25), $X268), 1)"),0.341)</f>
        <v>0.341</v>
      </c>
      <c r="AD268" s="20">
        <f>IFERROR(__xludf.DUMMYFUNCTION("iferror(PERCENTRANK.INC(FILTER($X$2:$X$421, $U$2:$U$421&gt;=4.1), $X268), 0.01)"),0.01)</f>
        <v>0.01</v>
      </c>
      <c r="AE268" s="20"/>
    </row>
    <row r="269" ht="14.25" customHeight="1">
      <c r="A269" s="17" t="s">
        <v>612</v>
      </c>
      <c r="B269" s="17" t="s">
        <v>325</v>
      </c>
      <c r="C269" s="18">
        <v>4.0</v>
      </c>
      <c r="D269" s="17" t="s">
        <v>99</v>
      </c>
      <c r="E269" s="17" t="s">
        <v>146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27.17895068</v>
      </c>
      <c r="Z269" s="20">
        <f t="shared" si="6"/>
        <v>3.633428703</v>
      </c>
      <c r="AA269" s="20"/>
      <c r="AB269" s="20">
        <f>IFERROR(__xludf.DUMMYFUNCTION("iferror(PERCENTRANK.INC(FILTER($X$2:$X$421, $U$2:$U$421&lt;3.75), $X269), 1)"),0.538)</f>
        <v>0.538</v>
      </c>
      <c r="AC269" s="20">
        <f>IFERROR(__xludf.DUMMYFUNCTION("iferror(PERCENTRANK.INC(FILTER($X$2:$X$421, $U$2:$U$421&lt;4.25), $X269), 1)"),0.527)</f>
        <v>0.527</v>
      </c>
      <c r="AD269" s="20">
        <f>IFERROR(__xludf.DUMMYFUNCTION("iferror(PERCENTRANK.INC(FILTER($X$2:$X$421, $U$2:$U$421&gt;=4.1), $X269), 0.01)"),0.01)</f>
        <v>0.01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120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6">
        <v>0.95</v>
      </c>
      <c r="X270" s="22">
        <f t="shared" si="14"/>
        <v>0.07176935974</v>
      </c>
      <c r="Y270" s="20">
        <f t="shared" si="4"/>
        <v>26.92976671</v>
      </c>
      <c r="Z270" s="20">
        <f t="shared" si="6"/>
        <v>2.750749288</v>
      </c>
      <c r="AA270" s="20"/>
      <c r="AB270" s="20">
        <f>IFERROR(__xludf.DUMMYFUNCTION("iferror(PERCENTRANK.INC(FILTER($X$2:$X$421, $U$2:$U$421&lt;3.75), $X270), 1)"),0.338)</f>
        <v>0.338</v>
      </c>
      <c r="AC270" s="20">
        <f>IFERROR(__xludf.DUMMYFUNCTION("iferror(PERCENTRANK.INC(FILTER($X$2:$X$421, $U$2:$U$421&lt;4.25), $X270), 1)"),0.331)</f>
        <v>0.331</v>
      </c>
      <c r="AD270" s="20">
        <f>IFERROR(__xludf.DUMMYFUNCTION("iferror(PERCENTRANK.INC(FILTER($X$2:$X$421, $U$2:$U$421&gt;=4.1), $X270), 0.01)"),0.01)</f>
        <v>0.01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176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6">
        <v>0.9</v>
      </c>
      <c r="X271" s="22">
        <f t="shared" si="14"/>
        <v>0.114836096</v>
      </c>
      <c r="Y271" s="20">
        <f t="shared" si="4"/>
        <v>26.97933273</v>
      </c>
      <c r="Z271" s="20">
        <f t="shared" si="6"/>
        <v>2.877248745</v>
      </c>
      <c r="AA271" s="20"/>
      <c r="AB271" s="20">
        <f>IFERROR(__xludf.DUMMYFUNCTION("iferror(PERCENTRANK.INC(FILTER($X$2:$X$421, $U$2:$U$421&lt;3.75), $X271), 1)"),0.383)</f>
        <v>0.383</v>
      </c>
      <c r="AC271" s="20">
        <f>IFERROR(__xludf.DUMMYFUNCTION("iferror(PERCENTRANK.INC(FILTER($X$2:$X$421, $U$2:$U$421&lt;4.25), $X271), 1)"),0.375)</f>
        <v>0.375</v>
      </c>
      <c r="AD271" s="20">
        <f>IFERROR(__xludf.DUMMYFUNCTION("iferror(PERCENTRANK.INC(FILTER($X$2:$X$421, $U$2:$U$421&gt;=4.1), $X271), 0.01)"),0.01)</f>
        <v>0.01</v>
      </c>
      <c r="AE271" s="20"/>
    </row>
    <row r="272" ht="14.25" customHeight="1">
      <c r="A272" s="17" t="s">
        <v>617</v>
      </c>
      <c r="B272" s="17" t="s">
        <v>275</v>
      </c>
      <c r="C272" s="18">
        <v>2.0</v>
      </c>
      <c r="D272" s="17" t="s">
        <v>99</v>
      </c>
      <c r="E272" s="17" t="s">
        <v>125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6">
        <v>0.95</v>
      </c>
      <c r="X272" s="22">
        <f t="shared" si="14"/>
        <v>0.001584626671</v>
      </c>
      <c r="Y272" s="20">
        <f t="shared" si="4"/>
        <v>26.84899028</v>
      </c>
      <c r="Z272" s="20">
        <f t="shared" si="6"/>
        <v>2.760482096</v>
      </c>
      <c r="AA272" s="20"/>
      <c r="AB272" s="20">
        <f>IFERROR(__xludf.DUMMYFUNCTION("iferror(PERCENTRANK.INC(FILTER($X$2:$X$421, $U$2:$U$421&lt;3.75), $X272), 1)"),0.265)</f>
        <v>0.265</v>
      </c>
      <c r="AC272" s="20">
        <f>IFERROR(__xludf.DUMMYFUNCTION("iferror(PERCENTRANK.INC(FILTER($X$2:$X$421, $U$2:$U$421&lt;4.25), $X272), 1)"),0.26)</f>
        <v>0.26</v>
      </c>
      <c r="AD272" s="20">
        <f>IFERROR(__xludf.DUMMYFUNCTION("iferror(PERCENTRANK.INC(FILTER($X$2:$X$421, $U$2:$U$421&gt;=4.1), $X272), 0.01)"),0.01)</f>
        <v>0.01</v>
      </c>
      <c r="AE272" s="20"/>
    </row>
    <row r="273" ht="14.25" customHeight="1">
      <c r="A273" s="17" t="s">
        <v>618</v>
      </c>
      <c r="B273" s="17" t="s">
        <v>507</v>
      </c>
      <c r="C273" s="18">
        <v>5.0</v>
      </c>
      <c r="D273" s="17" t="s">
        <v>99</v>
      </c>
      <c r="E273" s="17" t="s">
        <v>508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6">
        <v>0.95</v>
      </c>
      <c r="X273" s="22">
        <f t="shared" si="14"/>
        <v>0.4685766</v>
      </c>
      <c r="Y273" s="20">
        <f t="shared" si="4"/>
        <v>27.38645681</v>
      </c>
      <c r="Z273" s="20">
        <f t="shared" si="6"/>
        <v>4.070363231</v>
      </c>
      <c r="AA273" s="20"/>
      <c r="AB273" s="20">
        <f>IFERROR(__xludf.DUMMYFUNCTION("iferror(PERCENTRANK.INC(FILTER($X$2:$X$421, $U$2:$U$421&lt;3.75), $X273), 1)"),0.628)</f>
        <v>0.628</v>
      </c>
      <c r="AC273" s="20">
        <f>IFERROR(__xludf.DUMMYFUNCTION("iferror(PERCENTRANK.INC(FILTER($X$2:$X$421, $U$2:$U$421&lt;4.25), $X273), 1)"),0.615)</f>
        <v>0.615</v>
      </c>
      <c r="AD273" s="20">
        <f>IFERROR(__xludf.DUMMYFUNCTION("iferror(PERCENTRANK.INC(FILTER($X$2:$X$421, $U$2:$U$421&gt;=4.1), $X273), 0.01)"),0.01)</f>
        <v>0.01</v>
      </c>
      <c r="AE273" s="20"/>
    </row>
    <row r="274" ht="14.25" customHeight="1">
      <c r="A274" s="17" t="s">
        <v>619</v>
      </c>
      <c r="B274" s="17" t="s">
        <v>301</v>
      </c>
      <c r="C274" s="18">
        <v>5.0</v>
      </c>
      <c r="D274" s="17" t="s">
        <v>99</v>
      </c>
      <c r="E274" s="17" t="s">
        <v>105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26.39833923</v>
      </c>
      <c r="Z274" s="20">
        <f t="shared" si="6"/>
        <v>3.129104121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$U$2:$U$421&lt;4.25), $X274), 1)"),0.069)</f>
        <v>0.069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179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6">
        <v>1.0</v>
      </c>
      <c r="X275" s="22">
        <f t="shared" si="14"/>
        <v>0.240937705</v>
      </c>
      <c r="Y275" s="20">
        <f t="shared" si="4"/>
        <v>27.12446454</v>
      </c>
      <c r="Z275" s="20">
        <f t="shared" si="6"/>
        <v>3.141082693</v>
      </c>
      <c r="AA275" s="20"/>
      <c r="AB275" s="20">
        <f>IFERROR(__xludf.DUMMYFUNCTION("iferror(PERCENTRANK.INC(FILTER($X$2:$X$421, $U$2:$U$421&lt;3.75), $X275), 1)"),0.498)</f>
        <v>0.498</v>
      </c>
      <c r="AC275" s="20">
        <f>IFERROR(__xludf.DUMMYFUNCTION("iferror(PERCENTRANK.INC(FILTER($X$2:$X$421, $U$2:$U$421&lt;4.25), $X275), 1)"),0.488)</f>
        <v>0.488</v>
      </c>
      <c r="AD275" s="20">
        <f>IFERROR(__xludf.DUMMYFUNCTION("iferror(PERCENTRANK.INC(FILTER($X$2:$X$421, $U$2:$U$421&gt;=4.1), $X275), 0.01)"),0.01)</f>
        <v>0.01</v>
      </c>
      <c r="AE275" s="20"/>
    </row>
    <row r="276" ht="14.25" customHeight="1">
      <c r="A276" s="17" t="s">
        <v>622</v>
      </c>
      <c r="B276" s="17" t="s">
        <v>555</v>
      </c>
      <c r="C276" s="18">
        <v>0.0</v>
      </c>
      <c r="D276" s="17" t="s">
        <v>99</v>
      </c>
      <c r="E276" s="17" t="s">
        <v>138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27.19859877</v>
      </c>
      <c r="Z276" s="20">
        <f t="shared" si="6"/>
        <v>3.222561274</v>
      </c>
      <c r="AA276" s="20"/>
      <c r="AB276" s="20">
        <f>IFERROR(__xludf.DUMMYFUNCTION("iferror(PERCENTRANK.INC(FILTER($X$2:$X$421, $U$2:$U$421&lt;3.75), $X276), 1)"),0.54)</f>
        <v>0.54</v>
      </c>
      <c r="AC276" s="20">
        <f>IFERROR(__xludf.DUMMYFUNCTION("iferror(PERCENTRANK.INC(FILTER($X$2:$X$421, $U$2:$U$421&lt;4.25), $X276), 1)"),0.529)</f>
        <v>0.529</v>
      </c>
      <c r="AD276" s="20">
        <f>IFERROR(__xludf.DUMMYFUNCTION("iferror(PERCENTRANK.INC(FILTER($X$2:$X$421, $U$2:$U$421&gt;=4.1), $X276), 0.01)"),0.01)</f>
        <v>0.01</v>
      </c>
      <c r="AE276" s="20"/>
    </row>
    <row r="277" ht="14.25" customHeight="1">
      <c r="A277" s="17" t="s">
        <v>623</v>
      </c>
      <c r="B277" s="17" t="s">
        <v>431</v>
      </c>
      <c r="C277" s="18">
        <v>3.0</v>
      </c>
      <c r="D277" s="17" t="s">
        <v>99</v>
      </c>
      <c r="E277" s="17" t="s">
        <v>179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6">
        <v>1.0</v>
      </c>
      <c r="X277" s="22">
        <f t="shared" si="14"/>
        <v>0.3429991306</v>
      </c>
      <c r="Y277" s="20">
        <f t="shared" si="4"/>
        <v>27.24192823</v>
      </c>
      <c r="Z277" s="20">
        <f t="shared" si="6"/>
        <v>3.284601745</v>
      </c>
      <c r="AA277" s="20"/>
      <c r="AB277" s="20">
        <f>IFERROR(__xludf.DUMMYFUNCTION("iferror(PERCENTRANK.INC(FILTER($X$2:$X$421, $U$2:$U$421&lt;3.75), $X277), 1)"),0.565)</f>
        <v>0.565</v>
      </c>
      <c r="AC277" s="20">
        <f>IFERROR(__xludf.DUMMYFUNCTION("iferror(PERCENTRANK.INC(FILTER($X$2:$X$421, $U$2:$U$421&lt;4.25), $X277), 1)"),0.554)</f>
        <v>0.554</v>
      </c>
      <c r="AD277" s="20">
        <f>IFERROR(__xludf.DUMMYFUNCTION("iferror(PERCENTRANK.INC(FILTER($X$2:$X$421, $U$2:$U$421&gt;=4.1), $X277), 0.01)"),0.01)</f>
        <v>0.01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169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6">
        <v>0.9</v>
      </c>
      <c r="X278" s="22">
        <f t="shared" si="14"/>
        <v>0.1499077808</v>
      </c>
      <c r="Y278" s="20">
        <f t="shared" si="4"/>
        <v>27.01969714</v>
      </c>
      <c r="Z278" s="20">
        <f t="shared" si="6"/>
        <v>3.251067379</v>
      </c>
      <c r="AA278" s="20"/>
      <c r="AB278" s="20">
        <f>IFERROR(__xludf.DUMMYFUNCTION("iferror(PERCENTRANK.INC(FILTER($X$2:$X$421, $U$2:$U$421&lt;3.75), $X278), 1)"),0.423)</f>
        <v>0.423</v>
      </c>
      <c r="AC278" s="20">
        <f>IFERROR(__xludf.DUMMYFUNCTION("iferror(PERCENTRANK.INC(FILTER($X$2:$X$421, $U$2:$U$421&lt;4.25), $X278), 1)"),0.414)</f>
        <v>0.414</v>
      </c>
      <c r="AD278" s="20">
        <f>IFERROR(__xludf.DUMMYFUNCTION("iferror(PERCENTRANK.INC(FILTER($X$2:$X$421, $U$2:$U$421&gt;=4.1), $X278), 0.01)"),0.01)</f>
        <v>0.01</v>
      </c>
      <c r="AE278" s="20"/>
    </row>
    <row r="279" ht="14.25" customHeight="1">
      <c r="A279" s="17" t="s">
        <v>626</v>
      </c>
      <c r="B279" s="17" t="s">
        <v>521</v>
      </c>
      <c r="C279" s="18">
        <v>10.0</v>
      </c>
      <c r="D279" s="17" t="s">
        <v>99</v>
      </c>
      <c r="E279" s="17" t="s">
        <v>117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6">
        <v>0.9</v>
      </c>
      <c r="X279" s="22">
        <f t="shared" si="14"/>
        <v>-0.9156911701</v>
      </c>
      <c r="Y279" s="20">
        <f t="shared" si="4"/>
        <v>25.79328683</v>
      </c>
      <c r="Z279" s="20">
        <f t="shared" si="6"/>
        <v>2.454392571</v>
      </c>
      <c r="AA279" s="20"/>
      <c r="AB279" s="20">
        <f>IFERROR(__xludf.DUMMYFUNCTION("iferror(PERCENTRANK.INC(FILTER($X$2:$X$421, $U$2:$U$421&lt;3.75), $X279), 1)"),0.023)</f>
        <v>0.023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188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26.82701885</v>
      </c>
      <c r="Z280" s="20">
        <f t="shared" si="6"/>
        <v>3.263268163</v>
      </c>
      <c r="AA280" s="20"/>
      <c r="AB280" s="20">
        <f>IFERROR(__xludf.DUMMYFUNCTION("iferror(PERCENTRANK.INC(FILTER($X$2:$X$421, $U$2:$U$421&lt;3.75), $X280), 1)"),0.233)</f>
        <v>0.233</v>
      </c>
      <c r="AC280" s="20">
        <f>IFERROR(__xludf.DUMMYFUNCTION("iferror(PERCENTRANK.INC(FILTER($X$2:$X$421, $U$2:$U$421&lt;4.25), $X280), 1)"),0.228)</f>
        <v>0.228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138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26.87013694</v>
      </c>
      <c r="Z281" s="20">
        <f t="shared" si="6"/>
        <v>3.309417805</v>
      </c>
      <c r="AA281" s="20"/>
      <c r="AB281" s="20">
        <f>IFERROR(__xludf.DUMMYFUNCTION("iferror(PERCENTRANK.INC(FILTER($X$2:$X$421, $U$2:$U$421&lt;3.75), $X281), 1)"),0.29)</f>
        <v>0.29</v>
      </c>
      <c r="AC281" s="20">
        <f>IFERROR(__xludf.DUMMYFUNCTION("iferror(PERCENTRANK.INC(FILTER($X$2:$X$421, $U$2:$U$421&lt;4.25), $X281), 1)"),0.284)</f>
        <v>0.284</v>
      </c>
      <c r="AD281" s="20">
        <f>IFERROR(__xludf.DUMMYFUNCTION("iferror(PERCENTRANK.INC(FILTER($X$2:$X$421, $U$2:$U$421&gt;=4.1),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152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27.15443582</v>
      </c>
      <c r="Z282" s="20">
        <f t="shared" si="6"/>
        <v>3.761739011</v>
      </c>
      <c r="AA282" s="20"/>
      <c r="AB282" s="20">
        <f>IFERROR(__xludf.DUMMYFUNCTION("iferror(PERCENTRANK.INC(FILTER($X$2:$X$421, $U$2:$U$421&lt;3.75), $X282), 1)"),0.525)</f>
        <v>0.525</v>
      </c>
      <c r="AC282" s="20">
        <f>IFERROR(__xludf.DUMMYFUNCTION("iferror(PERCENTRANK.INC(FILTER($X$2:$X$421, $U$2:$U$421&lt;4.25), $X282), 1)"),0.515)</f>
        <v>0.515</v>
      </c>
      <c r="AD282" s="20">
        <f>IFERROR(__xludf.DUMMYFUNCTION("iferror(PERCENTRANK.INC(FILTER($X$2:$X$421, $U$2:$U$421&gt;=4.1), $X282), 0.01)"),0.01)</f>
        <v>0.01</v>
      </c>
      <c r="AE282" s="20"/>
    </row>
    <row r="283" ht="14.25" customHeight="1">
      <c r="A283" s="17" t="s">
        <v>632</v>
      </c>
      <c r="B283" s="17" t="s">
        <v>569</v>
      </c>
      <c r="C283" s="18">
        <v>15.0</v>
      </c>
      <c r="D283" s="17" t="s">
        <v>99</v>
      </c>
      <c r="E283" s="17" t="s">
        <v>141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6">
        <v>0.9</v>
      </c>
      <c r="X283" s="22">
        <f t="shared" si="14"/>
        <v>0.1197616947</v>
      </c>
      <c r="Y283" s="20">
        <f t="shared" si="4"/>
        <v>26.98500165</v>
      </c>
      <c r="Z283" s="20">
        <f t="shared" si="6"/>
        <v>4.092192322</v>
      </c>
      <c r="AA283" s="20"/>
      <c r="AB283" s="20">
        <f>IFERROR(__xludf.DUMMYFUNCTION("iferror(PERCENTRANK.INC(FILTER($X$2:$X$421, $U$2:$U$421&lt;3.75), $X283), 1)"),0.395)</f>
        <v>0.395</v>
      </c>
      <c r="AC283" s="20">
        <f>IFERROR(__xludf.DUMMYFUNCTION("iferror(PERCENTRANK.INC(FILTER($X$2:$X$421, $U$2:$U$421&lt;4.25), $X283), 1)"),0.387)</f>
        <v>0.387</v>
      </c>
      <c r="AD283" s="20">
        <f>IFERROR(__xludf.DUMMYFUNCTION("iferror(PERCENTRANK.INC(FILTER($X$2:$X$421, $U$2:$U$421&gt;=4.1), $X283), 0.01)"),0.01)</f>
        <v>0.01</v>
      </c>
      <c r="AE283" s="20"/>
    </row>
    <row r="284" ht="14.25" customHeight="1">
      <c r="A284" s="17" t="s">
        <v>633</v>
      </c>
      <c r="B284" s="17" t="s">
        <v>390</v>
      </c>
      <c r="C284" s="18">
        <v>7.0</v>
      </c>
      <c r="D284" s="17" t="s">
        <v>99</v>
      </c>
      <c r="E284" s="17" t="s">
        <v>149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26.60284154</v>
      </c>
      <c r="Z284" s="20">
        <f t="shared" si="6"/>
        <v>3.497770253</v>
      </c>
      <c r="AA284" s="20"/>
      <c r="AB284" s="20">
        <f>IFERROR(__xludf.DUMMYFUNCTION("iferror(PERCENTRANK.INC(FILTER($X$2:$X$421, $U$2:$U$421&lt;3.75), $X284), 1)"),0.103)</f>
        <v>0.103</v>
      </c>
      <c r="AC284" s="20">
        <f>IFERROR(__xludf.DUMMYFUNCTION("iferror(PERCENTRANK.INC(FILTER($X$2:$X$421, $U$2:$U$421&lt;4.25), $X284), 1)"),0.1)</f>
        <v>0.1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157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6">
        <v>0.9</v>
      </c>
      <c r="X285" s="22">
        <f t="shared" si="14"/>
        <v>-0.03514125</v>
      </c>
      <c r="Y285" s="20">
        <f t="shared" si="4"/>
        <v>26.80672204</v>
      </c>
      <c r="Z285" s="20">
        <f t="shared" si="6"/>
        <v>4.263396268</v>
      </c>
      <c r="AA285" s="20"/>
      <c r="AB285" s="20">
        <f>IFERROR(__xludf.DUMMYFUNCTION("iferror(PERCENTRANK.INC(FILTER($X$2:$X$421, $U$2:$U$421&lt;3.75), $X285), 1)"),0.223)</f>
        <v>0.223</v>
      </c>
      <c r="AC285" s="20">
        <f>IFERROR(__xludf.DUMMYFUNCTION("iferror(PERCENTRANK.INC(FILTER($X$2:$X$421, $U$2:$U$421&lt;4.25), $X285), 1)"),0.218)</f>
        <v>0.218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176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6">
        <v>0.9</v>
      </c>
      <c r="X286" s="22">
        <f t="shared" si="14"/>
        <v>0.1386108103</v>
      </c>
      <c r="Y286" s="20">
        <f t="shared" si="4"/>
        <v>27.00669532</v>
      </c>
      <c r="Z286" s="20">
        <f t="shared" si="6"/>
        <v>4.28685403</v>
      </c>
      <c r="AA286" s="20"/>
      <c r="AB286" s="20">
        <f>IFERROR(__xludf.DUMMYFUNCTION("iferror(PERCENTRANK.INC(FILTER($X$2:$X$421, $U$2:$U$421&lt;3.75), $X286), 1)"),0.413)</f>
        <v>0.413</v>
      </c>
      <c r="AC286" s="20">
        <f>IFERROR(__xludf.DUMMYFUNCTION("iferror(PERCENTRANK.INC(FILTER($X$2:$X$421, $U$2:$U$421&lt;4.25), $X286), 1)"),0.404)</f>
        <v>0.404</v>
      </c>
      <c r="AD286" s="20">
        <f>IFERROR(__xludf.DUMMYFUNCTION("iferror(PERCENTRANK.INC(FILTER($X$2:$X$421, $U$2:$U$421&gt;=4.1), $X286), 0.01)"),0.01)</f>
        <v>0.01</v>
      </c>
      <c r="AE286" s="20"/>
    </row>
    <row r="287" ht="14.25" customHeight="1">
      <c r="A287" s="17" t="s">
        <v>636</v>
      </c>
      <c r="B287" s="17" t="s">
        <v>525</v>
      </c>
      <c r="C287" s="18">
        <v>7.0</v>
      </c>
      <c r="D287" s="17" t="s">
        <v>99</v>
      </c>
      <c r="E287" s="17" t="s">
        <v>188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27.63811647</v>
      </c>
      <c r="Z287" s="20">
        <f t="shared" si="6"/>
        <v>4.987423893</v>
      </c>
      <c r="AA287" s="20"/>
      <c r="AB287" s="20">
        <f>IFERROR(__xludf.DUMMYFUNCTION("iferror(PERCENTRANK.INC(FILTER($X$2:$X$421, $U$2:$U$421&lt;3.75), $X287), 1)"),0.763)</f>
        <v>0.763</v>
      </c>
      <c r="AC287" s="20">
        <f>IFERROR(__xludf.DUMMYFUNCTION("iferror(PERCENTRANK.INC(FILTER($X$2:$X$421, $U$2:$U$421&lt;4.25), $X287), 1)"),0.748)</f>
        <v>0.748</v>
      </c>
      <c r="AD287" s="20">
        <f>IFERROR(__xludf.DUMMYFUNCTION("iferror(PERCENTRANK.INC(FILTER($X$2:$X$421, $U$2:$U$421&gt;=4.1), $X287), 0.01)"),0.01)</f>
        <v>0.01</v>
      </c>
      <c r="AE287" s="20"/>
    </row>
    <row r="288" ht="14.25" customHeight="1">
      <c r="A288" s="17" t="s">
        <v>637</v>
      </c>
      <c r="B288" s="17" t="s">
        <v>291</v>
      </c>
      <c r="C288" s="18">
        <v>1.0</v>
      </c>
      <c r="D288" s="17" t="s">
        <v>99</v>
      </c>
      <c r="E288" s="17" t="s">
        <v>108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27.25105262</v>
      </c>
      <c r="Z288" s="20">
        <f t="shared" si="6"/>
        <v>4.62672848</v>
      </c>
      <c r="AA288" s="20"/>
      <c r="AB288" s="20">
        <f>IFERROR(__xludf.DUMMYFUNCTION("iferror(PERCENTRANK.INC(FILTER($X$2:$X$421, $U$2:$U$421&lt;3.75), $X288), 1)"),0.573)</f>
        <v>0.573</v>
      </c>
      <c r="AC288" s="20">
        <f>IFERROR(__xludf.DUMMYFUNCTION("iferror(PERCENTRANK.INC(FILTER($X$2:$X$421, $U$2:$U$421&lt;4.25), $X288), 1)"),0.561)</f>
        <v>0.561</v>
      </c>
      <c r="AD288" s="20">
        <f>IFERROR(__xludf.DUMMYFUNCTION("iferror(PERCENTRANK.INC(FILTER($X$2:$X$421, $U$2:$U$421&gt;=4.1), $X288), 0.01)"),0.01)</f>
        <v>0.01</v>
      </c>
      <c r="AE288" s="20"/>
    </row>
    <row r="289" ht="14.25" customHeight="1">
      <c r="A289" s="17" t="s">
        <v>638</v>
      </c>
      <c r="B289" s="17" t="s">
        <v>497</v>
      </c>
      <c r="C289" s="18">
        <v>17.0</v>
      </c>
      <c r="D289" s="17" t="s">
        <v>99</v>
      </c>
      <c r="E289" s="17" t="s">
        <v>179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6">
        <v>1.0</v>
      </c>
      <c r="X289" s="22">
        <f t="shared" si="14"/>
        <v>0.3291094001</v>
      </c>
      <c r="Y289" s="20">
        <f t="shared" si="4"/>
        <v>27.22594238</v>
      </c>
      <c r="Z289" s="20">
        <f t="shared" si="6"/>
        <v>5.053009268</v>
      </c>
      <c r="AA289" s="20"/>
      <c r="AB289" s="20">
        <f>IFERROR(__xludf.DUMMYFUNCTION("iferror(PERCENTRANK.INC(FILTER($X$2:$X$421, $U$2:$U$421&lt;3.75), $X289), 1)"),0.55)</f>
        <v>0.55</v>
      </c>
      <c r="AC289" s="20">
        <f>IFERROR(__xludf.DUMMYFUNCTION("iferror(PERCENTRANK.INC(FILTER($X$2:$X$421, $U$2:$U$421&lt;4.25), $X289), 1)"),0.539)</f>
        <v>0.539</v>
      </c>
      <c r="AD289" s="20">
        <f>IFERROR(__xludf.DUMMYFUNCTION("iferror(PERCENTRANK.INC(FILTER($X$2:$X$421, $U$2:$U$421&gt;=4.1), $X289), 0.01)"),0.01)</f>
        <v>0.01</v>
      </c>
      <c r="AE289" s="20"/>
    </row>
    <row r="290" ht="14.25" customHeight="1">
      <c r="A290" s="17" t="s">
        <v>639</v>
      </c>
      <c r="B290" s="17" t="s">
        <v>560</v>
      </c>
      <c r="C290" s="18">
        <v>8.0</v>
      </c>
      <c r="D290" s="17" t="s">
        <v>99</v>
      </c>
      <c r="E290" s="17" t="s">
        <v>102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0.07464406338</v>
      </c>
      <c r="Y290" s="20">
        <f t="shared" si="4"/>
        <v>26.93307524</v>
      </c>
      <c r="Z290" s="20">
        <f t="shared" si="6"/>
        <v>4.894105799</v>
      </c>
      <c r="AA290" s="20"/>
      <c r="AB290" s="20">
        <f>IFERROR(__xludf.DUMMYFUNCTION("iferror(PERCENTRANK.INC(FILTER($X$2:$X$421, $U$2:$U$421&lt;3.75), $X290), 1)"),0.34)</f>
        <v>0.34</v>
      </c>
      <c r="AC290" s="20">
        <f>IFERROR(__xludf.DUMMYFUNCTION("iferror(PERCENTRANK.INC(FILTER($X$2:$X$421, $U$2:$U$421&lt;4.25), $X290), 1)"),0.333)</f>
        <v>0.333</v>
      </c>
      <c r="AD290" s="20">
        <f>IFERROR(__xludf.DUMMYFUNCTION("iferror(PERCENTRANK.INC(FILTER($X$2:$X$421, $U$2:$U$421&gt;=4.1), $X290), 0.01)"),0.01)</f>
        <v>0.01</v>
      </c>
      <c r="AE290" s="20"/>
    </row>
    <row r="291" ht="14.25" customHeight="1">
      <c r="A291" s="17" t="s">
        <v>640</v>
      </c>
      <c r="B291" s="17" t="s">
        <v>297</v>
      </c>
      <c r="C291" s="18">
        <v>6.0</v>
      </c>
      <c r="D291" s="17" t="s">
        <v>99</v>
      </c>
      <c r="E291" s="17" t="s">
        <v>149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27.31104908</v>
      </c>
      <c r="Z291" s="20">
        <f t="shared" si="6"/>
        <v>4.972828308</v>
      </c>
      <c r="AA291" s="20"/>
      <c r="AB291" s="20">
        <f>IFERROR(__xludf.DUMMYFUNCTION("iferror(PERCENTRANK.INC(FILTER($X$2:$X$421, $U$2:$U$421&lt;3.75), $X291), 1)"),0.595)</f>
        <v>0.595</v>
      </c>
      <c r="AC291" s="20">
        <f>IFERROR(__xludf.DUMMYFUNCTION("iferror(PERCENTRANK.INC(FILTER($X$2:$X$421, $U$2:$U$421&lt;4.25), $X291), 1)"),0.583)</f>
        <v>0.583</v>
      </c>
      <c r="AD291" s="20">
        <f>IFERROR(__xludf.DUMMYFUNCTION("iferror(PERCENTRANK.INC(FILTER($X$2:$X$421, $U$2:$U$421&gt;=4.1), $X291), 0.01)"),0.01)</f>
        <v>0.01</v>
      </c>
      <c r="AE291" s="20"/>
    </row>
    <row r="292" ht="14.25" customHeight="1">
      <c r="A292" s="17" t="s">
        <v>641</v>
      </c>
      <c r="B292" s="17" t="s">
        <v>253</v>
      </c>
      <c r="C292" s="18">
        <v>11.0</v>
      </c>
      <c r="D292" s="17" t="s">
        <v>99</v>
      </c>
      <c r="E292" s="17" t="s">
        <v>111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6">
        <v>0.9</v>
      </c>
      <c r="X292" s="22">
        <f t="shared" si="14"/>
        <v>0.2008226679</v>
      </c>
      <c r="Y292" s="20">
        <f t="shared" si="4"/>
        <v>27.07829568</v>
      </c>
      <c r="Z292" s="20">
        <f t="shared" si="6"/>
        <v>4.844816982</v>
      </c>
      <c r="AA292" s="20"/>
      <c r="AB292" s="20">
        <f>IFERROR(__xludf.DUMMYFUNCTION("iferror(PERCENTRANK.INC(FILTER($X$2:$X$421, $U$2:$U$421&lt;3.75), $X292), 1)"),0.468)</f>
        <v>0.468</v>
      </c>
      <c r="AC292" s="20">
        <f>IFERROR(__xludf.DUMMYFUNCTION("iferror(PERCENTRANK.INC(FILTER($X$2:$X$421, $U$2:$U$421&lt;4.25), $X292), 1)"),0.458)</f>
        <v>0.458</v>
      </c>
      <c r="AD292" s="20">
        <f>IFERROR(__xludf.DUMMYFUNCTION("iferror(PERCENTRANK.INC(FILTER($X$2:$X$421, $U$2:$U$421&gt;=4.1), $X292), 0.01)"),0.01)</f>
        <v>0.01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100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6">
        <v>0.9</v>
      </c>
      <c r="X293" s="22">
        <f t="shared" si="14"/>
        <v>0.2711223674</v>
      </c>
      <c r="Y293" s="20">
        <f t="shared" si="4"/>
        <v>27.15920443</v>
      </c>
      <c r="Z293" s="20">
        <f t="shared" si="6"/>
        <v>4.94272819</v>
      </c>
      <c r="AA293" s="20"/>
      <c r="AB293" s="20">
        <f>IFERROR(__xludf.DUMMYFUNCTION("iferror(PERCENTRANK.INC(FILTER($X$2:$X$421, $U$2:$U$421&lt;3.75), $X293), 1)"),0.528)</f>
        <v>0.528</v>
      </c>
      <c r="AC293" s="20">
        <f>IFERROR(__xludf.DUMMYFUNCTION("iferror(PERCENTRANK.INC(FILTER($X$2:$X$421, $U$2:$U$421&lt;4.25), $X293), 1)"),0.517)</f>
        <v>0.517</v>
      </c>
      <c r="AD293" s="20">
        <f>IFERROR(__xludf.DUMMYFUNCTION("iferror(PERCENTRANK.INC(FILTER($X$2:$X$421, $U$2:$U$421&gt;=4.1), $X293), 0.01)"),0.01)</f>
        <v>0.01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209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5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0.1020985645</v>
      </c>
      <c r="Y294" s="20">
        <f t="shared" si="4"/>
        <v>26.96467295</v>
      </c>
      <c r="Z294" s="20">
        <f t="shared" si="6"/>
        <v>4.768528052</v>
      </c>
      <c r="AA294" s="20"/>
      <c r="AB294" s="20">
        <f>IFERROR(__xludf.DUMMYFUNCTION("iferror(PERCENTRANK.INC(FILTER($X$2:$X$421, $U$2:$U$421&lt;3.75), $X294), 1)"),0.373)</f>
        <v>0.373</v>
      </c>
      <c r="AC294" s="20">
        <f>IFERROR(__xludf.DUMMYFUNCTION("iferror(PERCENTRANK.INC(FILTER($X$2:$X$421, $U$2:$U$421&lt;4.25), $X294), 1)"),0.365)</f>
        <v>0.365</v>
      </c>
      <c r="AD294" s="20">
        <f>IFERROR(__xludf.DUMMYFUNCTION("iferror(PERCENTRANK.INC(FILTER($X$2:$X$421, $U$2:$U$421&gt;=4.1), $X294), 0.01)"),0.01)</f>
        <v>0.01</v>
      </c>
      <c r="AE294" s="20"/>
    </row>
    <row r="295" ht="14.25" customHeight="1">
      <c r="A295" s="17" t="s">
        <v>646</v>
      </c>
      <c r="B295" s="17" t="s">
        <v>483</v>
      </c>
      <c r="C295" s="18">
        <v>5.0</v>
      </c>
      <c r="D295" s="17" t="s">
        <v>99</v>
      </c>
      <c r="E295" s="17" t="s">
        <v>152</v>
      </c>
      <c r="F295" s="18">
        <v>28.0</v>
      </c>
      <c r="G295" s="18">
        <v>24.0</v>
      </c>
      <c r="H295" s="18">
        <v>13.0</v>
      </c>
      <c r="I295" s="19">
        <v>0.542</v>
      </c>
      <c r="J295" s="18">
        <v>152.0</v>
      </c>
      <c r="K295" s="18">
        <v>6.3</v>
      </c>
      <c r="L295" s="18">
        <v>1.0</v>
      </c>
      <c r="M295" s="18">
        <v>0.0</v>
      </c>
      <c r="N295" s="18">
        <v>0.0</v>
      </c>
      <c r="O295" s="18">
        <v>1.0</v>
      </c>
      <c r="P295" s="20">
        <f t="shared" si="1"/>
        <v>1.094060667</v>
      </c>
      <c r="Q295" s="20">
        <f t="shared" si="2"/>
        <v>22.18047002</v>
      </c>
      <c r="R295" s="24"/>
      <c r="S295" s="20">
        <v>1.0940606666666668</v>
      </c>
      <c r="T295" s="22">
        <v>-0.49</v>
      </c>
      <c r="U295" s="16">
        <v>3.78</v>
      </c>
      <c r="V295" s="16">
        <v>2.24</v>
      </c>
      <c r="W295" s="26">
        <v>0.95</v>
      </c>
      <c r="X295" s="22">
        <f t="shared" si="14"/>
        <v>2.7366091</v>
      </c>
      <c r="Y295" s="20">
        <f t="shared" si="4"/>
        <v>29.99676198</v>
      </c>
      <c r="Z295" s="20">
        <f t="shared" si="6"/>
        <v>7.816291956</v>
      </c>
      <c r="AA295" s="20"/>
      <c r="AB295" s="20">
        <f>IFERROR(__xludf.DUMMYFUNCTION("iferror(PERCENTRANK.INC(FILTER($X$2:$X$421, $U$2:$U$421&lt;3.75), $X295), 1)"),0.986)</f>
        <v>0.986</v>
      </c>
      <c r="AC295" s="20">
        <f>IFERROR(__xludf.DUMMYFUNCTION("iferror(PERCENTRANK.INC(FILTER($X$2:$X$421, $U$2:$U$421&lt;4.25), $X295), 1)"),0.968)</f>
        <v>0.968</v>
      </c>
      <c r="AD295" s="20">
        <f>IFERROR(__xludf.DUMMYFUNCTION("iferror(PERCENTRANK.INC(FILTER($X$2:$X$421, $U$2:$U$421&gt;=4.1), $X295), 0.01)"),0.003)</f>
        <v>0.003</v>
      </c>
      <c r="AE295" s="20"/>
    </row>
    <row r="296" ht="14.25" customHeight="1">
      <c r="A296" s="17" t="s">
        <v>647</v>
      </c>
      <c r="B296" s="17" t="s">
        <v>643</v>
      </c>
      <c r="C296" s="18">
        <v>15.0</v>
      </c>
      <c r="D296" s="17" t="s">
        <v>99</v>
      </c>
      <c r="E296" s="17" t="s">
        <v>100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4"/>
        <v>-0.103935777</v>
      </c>
      <c r="Y296" s="20">
        <f t="shared" si="4"/>
        <v>26.72754561</v>
      </c>
      <c r="Z296" s="20">
        <f t="shared" si="6"/>
        <v>4.89798652</v>
      </c>
      <c r="AA296" s="20"/>
      <c r="AB296" s="20">
        <f>IFERROR(__xludf.DUMMYFUNCTION("iferror(PERCENTRANK.INC(FILTER($X$2:$X$421, $U$2:$U$421&lt;3.75), $X296), 1)"),0.173)</f>
        <v>0.173</v>
      </c>
      <c r="AC296" s="20">
        <f>IFERROR(__xludf.DUMMYFUNCTION("iferror(PERCENTRANK.INC(FILTER($X$2:$X$421, $U$2:$U$421&lt;4.25), $X296), 1)"),0.169)</f>
        <v>0.169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173</v>
      </c>
      <c r="C297" s="18">
        <v>3.0</v>
      </c>
      <c r="D297" s="17" t="s">
        <v>99</v>
      </c>
      <c r="E297" s="17" t="s">
        <v>135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6">
        <v>0.9</v>
      </c>
      <c r="X297" s="22">
        <f t="shared" si="14"/>
        <v>-0.8774786359</v>
      </c>
      <c r="Y297" s="20">
        <f t="shared" si="4"/>
        <v>25.83726608</v>
      </c>
      <c r="Z297" s="20">
        <f t="shared" si="6"/>
        <v>4.350884225</v>
      </c>
      <c r="AA297" s="20"/>
      <c r="AB297" s="20">
        <f>IFERROR(__xludf.DUMMYFUNCTION("iferror(PERCENTRANK.INC(FILTER($X$2:$X$421, $U$2:$U$421&lt;3.75), $X297), 1)"),0.028)</f>
        <v>0.028</v>
      </c>
      <c r="AC297" s="20">
        <f>IFERROR(__xludf.DUMMYFUNCTION("iferror(PERCENTRANK.INC(FILTER($X$2:$X$421, $U$2:$U$421&lt;4.25), $X297), 1)"),0.027)</f>
        <v>0.027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289</v>
      </c>
      <c r="C298" s="18">
        <v>21.0</v>
      </c>
      <c r="D298" s="17" t="s">
        <v>99</v>
      </c>
      <c r="E298" s="17" t="s">
        <v>141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4"/>
        <v>-0.3455858939</v>
      </c>
      <c r="Y298" s="20">
        <f t="shared" si="4"/>
        <v>26.44942767</v>
      </c>
      <c r="Z298" s="20">
        <f t="shared" si="6"/>
        <v>4.360250768</v>
      </c>
      <c r="AA298" s="20"/>
      <c r="AB298" s="20">
        <f>IFERROR(__xludf.DUMMYFUNCTION("iferror(PERCENTRANK.INC(FILTER($X$2:$X$421, $U$2:$U$421&lt;3.75), $X298), 1)"),0.075)</f>
        <v>0.075</v>
      </c>
      <c r="AC298" s="20">
        <f>IFERROR(__xludf.DUMMYFUNCTION("iferror(PERCENTRANK.INC(FILTER($X$2:$X$421, $U$2:$U$421&lt;4.25), $X298), 1)"),0.074)</f>
        <v>0.074</v>
      </c>
      <c r="AD298" s="20">
        <f>IFERROR(__xludf.DUMMYFUNCTION("iferror(PERCENTRANK.INC(FILTER($X$2:$X$421, $U$2:$U$421&gt;=4.1), $X298), 0.01)"),0.01)</f>
        <v>0.01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99</v>
      </c>
      <c r="E299" s="17" t="s">
        <v>149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4"/>
        <v>0.06475872038</v>
      </c>
      <c r="Y299" s="20">
        <f t="shared" si="4"/>
        <v>26.92169809</v>
      </c>
      <c r="Z299" s="20">
        <f t="shared" si="6"/>
        <v>5.033186731</v>
      </c>
      <c r="AA299" s="20"/>
      <c r="AB299" s="20">
        <f>IFERROR(__xludf.DUMMYFUNCTION("iferror(PERCENTRANK.INC(FILTER($X$2:$X$421, $U$2:$U$421&lt;3.75), $X299), 1)"),0.333)</f>
        <v>0.333</v>
      </c>
      <c r="AC299" s="20">
        <f>IFERROR(__xludf.DUMMYFUNCTION("iferror(PERCENTRANK.INC(FILTER($X$2:$X$421, $U$2:$U$421&lt;4.25), $X299), 1)"),0.326)</f>
        <v>0.326</v>
      </c>
      <c r="AD299" s="20">
        <f>IFERROR(__xludf.DUMMYFUNCTION("iferror(PERCENTRANK.INC(FILTER($X$2:$X$421, $U$2:$U$421&gt;=4.1), $X299), 0.01)"),0.01)</f>
        <v>0.01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99</v>
      </c>
      <c r="E300" s="17" t="s">
        <v>130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4"/>
        <v>0.2518600743</v>
      </c>
      <c r="Y300" s="20">
        <f t="shared" si="4"/>
        <v>27.13703523</v>
      </c>
      <c r="Z300" s="20">
        <f t="shared" si="6"/>
        <v>5.282362856</v>
      </c>
      <c r="AA300" s="20"/>
      <c r="AB300" s="20">
        <f>IFERROR(__xludf.DUMMYFUNCTION("iferror(PERCENTRANK.INC(FILTER($X$2:$X$421, $U$2:$U$421&lt;3.75), $X300), 1)"),0.508)</f>
        <v>0.508</v>
      </c>
      <c r="AC300" s="20">
        <f>IFERROR(__xludf.DUMMYFUNCTION("iferror(PERCENTRANK.INC(FILTER($X$2:$X$421, $U$2:$U$421&lt;4.25), $X300), 1)"),0.498)</f>
        <v>0.498</v>
      </c>
      <c r="AD300" s="20">
        <f>IFERROR(__xludf.DUMMYFUNCTION("iferror(PERCENTRANK.INC(FILTER($X$2:$X$421, $U$2:$U$421&gt;=4.1), $X300), 0.01)"),0.01)</f>
        <v>0.01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99</v>
      </c>
      <c r="E301" s="17" t="s">
        <v>188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6">
        <v>0.9</v>
      </c>
      <c r="X301" s="22">
        <f t="shared" si="14"/>
        <v>0.1353510037</v>
      </c>
      <c r="Y301" s="20">
        <f t="shared" si="4"/>
        <v>27.00294357</v>
      </c>
      <c r="Z301" s="20">
        <f t="shared" si="6"/>
        <v>5.488580335</v>
      </c>
      <c r="AA301" s="20"/>
      <c r="AB301" s="20">
        <f>IFERROR(__xludf.DUMMYFUNCTION("iferror(PERCENTRANK.INC(FILTER($X$2:$X$421, $U$2:$U$421&lt;3.75), $X301), 1)"),0.408)</f>
        <v>0.408</v>
      </c>
      <c r="AC301" s="20">
        <f>IFERROR(__xludf.DUMMYFUNCTION("iferror(PERCENTRANK.INC(FILTER($X$2:$X$421, $U$2:$U$421&lt;4.25), $X301), 1)"),0.4)</f>
        <v>0.4</v>
      </c>
      <c r="AD301" s="20">
        <f>IFERROR(__xludf.DUMMYFUNCTION("iferror(PERCENTRANK.INC(FILTER($X$2:$X$421, $U$2:$U$421&gt;=4.1), $X301), 0.01)"),0.01)</f>
        <v>0.01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99</v>
      </c>
      <c r="E302" s="17" t="s">
        <v>157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4"/>
        <v>0.2322736961</v>
      </c>
      <c r="Y302" s="20">
        <f t="shared" si="4"/>
        <v>27.11449303</v>
      </c>
      <c r="Z302" s="20">
        <f t="shared" si="6"/>
        <v>5.547601922</v>
      </c>
      <c r="AA302" s="20"/>
      <c r="AB302" s="20">
        <f>IFERROR(__xludf.DUMMYFUNCTION("iferror(PERCENTRANK.INC(FILTER($X$2:$X$421, $U$2:$U$421&lt;3.75), $X302), 1)"),0.488)</f>
        <v>0.488</v>
      </c>
      <c r="AC302" s="20">
        <f>IFERROR(__xludf.DUMMYFUNCTION("iferror(PERCENTRANK.INC(FILTER($X$2:$X$421, $U$2:$U$421&lt;4.25), $X302), 1)"),0.478)</f>
        <v>0.478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99</v>
      </c>
      <c r="E303" s="17" t="s">
        <v>130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6">
        <v>1.0</v>
      </c>
      <c r="X303" s="22">
        <f t="shared" si="14"/>
        <v>-0.1297680097</v>
      </c>
      <c r="Y303" s="20">
        <f t="shared" si="4"/>
        <v>26.697815</v>
      </c>
      <c r="Z303" s="20">
        <f t="shared" si="6"/>
        <v>5.151111789</v>
      </c>
      <c r="AA303" s="20"/>
      <c r="AB303" s="20">
        <f>IFERROR(__xludf.DUMMYFUNCTION("iferror(PERCENTRANK.INC(FILTER($X$2:$X$421, $U$2:$U$421&lt;3.75), $X303), 1)"),0.155)</f>
        <v>0.155</v>
      </c>
      <c r="AC303" s="20">
        <f>IFERROR(__xludf.DUMMYFUNCTION("iferror(PERCENTRANK.INC(FILTER($X$2:$X$421, $U$2:$U$421&lt;4.25), $X303), 1)"),0.152)</f>
        <v>0.152</v>
      </c>
      <c r="AD303" s="20">
        <f>IFERROR(__xludf.DUMMYFUNCTION("iferror(PERCENTRANK.INC(FILTER($X$2:$X$421, $U$2:$U$421&gt;=4.1), $X303), 0.01)"),0.01)</f>
        <v>0.01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99</v>
      </c>
      <c r="E304" s="17" t="s">
        <v>146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4"/>
        <v>0.02757615809</v>
      </c>
      <c r="Y304" s="20">
        <f t="shared" si="4"/>
        <v>26.87890424</v>
      </c>
      <c r="Z304" s="20">
        <f t="shared" si="6"/>
        <v>5.345428817</v>
      </c>
      <c r="AA304" s="20"/>
      <c r="AB304" s="20">
        <f>IFERROR(__xludf.DUMMYFUNCTION("iferror(PERCENTRANK.INC(FILTER($X$2:$X$421, $U$2:$U$421&lt;3.75), $X304), 1)"),0.298)</f>
        <v>0.298</v>
      </c>
      <c r="AC304" s="20">
        <f>IFERROR(__xludf.DUMMYFUNCTION("iferror(PERCENTRANK.INC(FILTER($X$2:$X$421, $U$2:$U$421&lt;4.25), $X304), 1)"),0.292)</f>
        <v>0.292</v>
      </c>
      <c r="AD304" s="20">
        <f>IFERROR(__xludf.DUMMYFUNCTION("iferror(PERCENTRANK.INC(FILTER($X$2:$X$421, $U$2:$U$421&gt;=4.1), $X304), 0.01)"),0.01)</f>
        <v>0.01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99</v>
      </c>
      <c r="E305" s="17" t="s">
        <v>135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4"/>
        <v>0.025313457</v>
      </c>
      <c r="Y305" s="20">
        <f t="shared" si="4"/>
        <v>26.87630007</v>
      </c>
      <c r="Z305" s="20">
        <f t="shared" si="6"/>
        <v>5.426837261</v>
      </c>
      <c r="AA305" s="20"/>
      <c r="AB305" s="20">
        <f>IFERROR(__xludf.DUMMYFUNCTION("iferror(PERCENTRANK.INC(FILTER($X$2:$X$421, $U$2:$U$421&lt;3.75), $X305), 1)"),0.295)</f>
        <v>0.295</v>
      </c>
      <c r="AC305" s="20">
        <f>IFERROR(__xludf.DUMMYFUNCTION("iferror(PERCENTRANK.INC(FILTER($X$2:$X$421, $U$2:$U$421&lt;4.25), $X305), 1)"),0.289)</f>
        <v>0.289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99</v>
      </c>
      <c r="E306" s="17" t="s">
        <v>209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4"/>
        <v>-0.2197413447</v>
      </c>
      <c r="Y306" s="20">
        <f t="shared" si="4"/>
        <v>26.59426363</v>
      </c>
      <c r="Z306" s="20">
        <f t="shared" si="6"/>
        <v>5.189416405</v>
      </c>
      <c r="AA306" s="20"/>
      <c r="AB306" s="20">
        <f>IFERROR(__xludf.DUMMYFUNCTION("iferror(PERCENTRANK.INC(FILTER($X$2:$X$421, $U$2:$U$421&lt;3.75), $X306), 1)"),0.098)</f>
        <v>0.098</v>
      </c>
      <c r="AC306" s="20">
        <f>IFERROR(__xludf.DUMMYFUNCTION("iferror(PERCENTRANK.INC(FILTER($X$2:$X$421, $U$2:$U$421&lt;4.25), $X306), 1)"),0.096)</f>
        <v>0.096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546</v>
      </c>
      <c r="C307" s="18">
        <v>12.0</v>
      </c>
      <c r="D307" s="17" t="s">
        <v>99</v>
      </c>
      <c r="E307" s="17" t="s">
        <v>152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4"/>
        <v>-0.823956</v>
      </c>
      <c r="Y307" s="20">
        <f t="shared" si="4"/>
        <v>25.89886591</v>
      </c>
      <c r="Z307" s="20">
        <f t="shared" si="6"/>
        <v>4.580332198</v>
      </c>
      <c r="AA307" s="20"/>
      <c r="AB307" s="20">
        <f>IFERROR(__xludf.DUMMYFUNCTION("iferror(PERCENTRANK.INC(FILTER($X$2:$X$421, $U$2:$U$421&lt;3.75), $X307), 1)"),0.033)</f>
        <v>0.033</v>
      </c>
      <c r="AC307" s="20">
        <f>IFERROR(__xludf.DUMMYFUNCTION("iferror(PERCENTRANK.INC(FILTER($X$2:$X$421, $U$2:$U$421&lt;4.25), $X307), 1)"),0.032)</f>
        <v>0.032</v>
      </c>
      <c r="AD307" s="20">
        <f>IFERROR(__xludf.DUMMYFUNCTION("iferror(PERCENTRANK.INC(FILTER($X$2:$X$421, $U$2:$U$421&gt;=4.1), $X307), 0.01)"),0.01)</f>
        <v>0.01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99</v>
      </c>
      <c r="E308" s="17" t="s">
        <v>209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4"/>
        <v>0.05833511886</v>
      </c>
      <c r="Y308" s="20">
        <f t="shared" si="4"/>
        <v>26.91430509</v>
      </c>
      <c r="Z308" s="20">
        <f t="shared" si="6"/>
        <v>6.080368572</v>
      </c>
      <c r="AA308" s="20"/>
      <c r="AB308" s="20">
        <f>IFERROR(__xludf.DUMMYFUNCTION("iferror(PERCENTRANK.INC(FILTER($X$2:$X$421, $U$2:$U$421&lt;3.75), $X308), 1)"),0.325)</f>
        <v>0.325</v>
      </c>
      <c r="AC308" s="20">
        <f>IFERROR(__xludf.DUMMYFUNCTION("iferror(PERCENTRANK.INC(FILTER($X$2:$X$421, $U$2:$U$421&lt;4.25), $X308), 1)"),0.319)</f>
        <v>0.319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134</v>
      </c>
      <c r="C309" s="18">
        <v>2.0</v>
      </c>
      <c r="D309" s="17" t="s">
        <v>99</v>
      </c>
      <c r="E309" s="17" t="s">
        <v>135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5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4"/>
        <v>-0.1218850475</v>
      </c>
      <c r="Y309" s="20">
        <f t="shared" si="4"/>
        <v>26.70688759</v>
      </c>
      <c r="Z309" s="20">
        <f t="shared" si="6"/>
        <v>5.764312661</v>
      </c>
      <c r="AA309" s="20"/>
      <c r="AB309" s="20">
        <f>IFERROR(__xludf.DUMMYFUNCTION("iferror(PERCENTRANK.INC(FILTER($X$2:$X$421, $U$2:$U$421&lt;3.75), $X309), 1)"),0.163)</f>
        <v>0.163</v>
      </c>
      <c r="AC309" s="20">
        <f>IFERROR(__xludf.DUMMYFUNCTION("iferror(PERCENTRANK.INC(FILTER($X$2:$X$421, $U$2:$U$421&lt;4.25), $X309), 1)"),0.159)</f>
        <v>0.159</v>
      </c>
      <c r="AD309" s="20">
        <f>IFERROR(__xludf.DUMMYFUNCTION("iferror(PERCENTRANK.INC(FILTER($X$2:$X$421, $U$2:$U$421&gt;=4.1), $X309), 0.01)"),0.01)</f>
        <v>0.01</v>
      </c>
      <c r="AE309" s="20"/>
    </row>
    <row r="310" ht="14.25" customHeight="1">
      <c r="A310" s="17" t="s">
        <v>669</v>
      </c>
      <c r="B310" s="17" t="s">
        <v>631</v>
      </c>
      <c r="C310" s="18">
        <v>10.0</v>
      </c>
      <c r="D310" s="17" t="s">
        <v>99</v>
      </c>
      <c r="E310" s="17" t="s">
        <v>152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4"/>
        <v>0.1515268318</v>
      </c>
      <c r="Y310" s="20">
        <f t="shared" si="4"/>
        <v>27.02156052</v>
      </c>
      <c r="Z310" s="20">
        <f t="shared" si="6"/>
        <v>6.171350489</v>
      </c>
      <c r="AA310" s="20"/>
      <c r="AB310" s="20">
        <f>IFERROR(__xludf.DUMMYFUNCTION("iferror(PERCENTRANK.INC(FILTER($X$2:$X$421, $U$2:$U$421&lt;3.75), $X310), 1)"),0.428)</f>
        <v>0.428</v>
      </c>
      <c r="AC310" s="20">
        <f>IFERROR(__xludf.DUMMYFUNCTION("iferror(PERCENTRANK.INC(FILTER($X$2:$X$421, $U$2:$U$421&lt;4.25), $X310), 1)"),0.419)</f>
        <v>0.419</v>
      </c>
      <c r="AD310" s="20">
        <f>IFERROR(__xludf.DUMMYFUNCTION("iferror(PERCENTRANK.INC(FILTER($X$2:$X$421, $U$2:$U$421&gt;=4.1), $X310), 0.01)"),0.01)</f>
        <v>0.01</v>
      </c>
      <c r="AE310" s="20"/>
    </row>
    <row r="311" ht="14.25" customHeight="1">
      <c r="A311" s="17" t="s">
        <v>670</v>
      </c>
      <c r="B311" s="17" t="s">
        <v>614</v>
      </c>
      <c r="C311" s="18">
        <v>8.0</v>
      </c>
      <c r="D311" s="17" t="s">
        <v>99</v>
      </c>
      <c r="E311" s="17" t="s">
        <v>120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6">
        <v>0.95</v>
      </c>
      <c r="X311" s="22">
        <f t="shared" si="14"/>
        <v>0.3111900612</v>
      </c>
      <c r="Y311" s="20">
        <f t="shared" si="4"/>
        <v>27.2053188</v>
      </c>
      <c r="Z311" s="20">
        <f t="shared" si="6"/>
        <v>6.680792252</v>
      </c>
      <c r="AA311" s="20"/>
      <c r="AB311" s="20">
        <f>IFERROR(__xludf.DUMMYFUNCTION("iferror(PERCENTRANK.INC(FILTER($X$2:$X$421, $U$2:$U$421&lt;3.75), $X311), 1)"),0.545)</f>
        <v>0.545</v>
      </c>
      <c r="AC311" s="20">
        <f>IFERROR(__xludf.DUMMYFUNCTION("iferror(PERCENTRANK.INC(FILTER($X$2:$X$421, $U$2:$U$421&lt;4.25), $X311), 1)"),0.534)</f>
        <v>0.534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471</v>
      </c>
      <c r="C312" s="18">
        <v>12.0</v>
      </c>
      <c r="D312" s="17" t="s">
        <v>99</v>
      </c>
      <c r="E312" s="17" t="s">
        <v>209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6">
        <v>0.9</v>
      </c>
      <c r="X312" s="22">
        <f t="shared" si="14"/>
        <v>-0.5891951489</v>
      </c>
      <c r="Y312" s="20">
        <f t="shared" si="4"/>
        <v>26.16905492</v>
      </c>
      <c r="Z312" s="20">
        <f t="shared" si="6"/>
        <v>5.645081648</v>
      </c>
      <c r="AA312" s="20"/>
      <c r="AB312" s="20">
        <f>IFERROR(__xludf.DUMMYFUNCTION("iferror(PERCENTRANK.INC(FILTER($X$2:$X$421, $U$2:$U$421&lt;3.75), $X312), 1)"),0.048)</f>
        <v>0.048</v>
      </c>
      <c r="AC312" s="20">
        <f>IFERROR(__xludf.DUMMYFUNCTION("iferror(PERCENTRANK.INC(FILTER($X$2:$X$421, $U$2:$U$421&lt;4.25), $X312), 1)"),0.047)</f>
        <v>0.047</v>
      </c>
      <c r="AD312" s="20">
        <f>IFERROR(__xludf.DUMMYFUNCTION("iferror(PERCENTRANK.INC(FILTER($X$2:$X$421, $U$2:$U$421&gt;=4.1), $X312), 0.01)"),0.01)</f>
        <v>0.01</v>
      </c>
      <c r="AE312" s="20"/>
    </row>
    <row r="313" ht="14.25" customHeight="1">
      <c r="A313" s="17" t="s">
        <v>672</v>
      </c>
      <c r="B313" s="17" t="s">
        <v>401</v>
      </c>
      <c r="C313" s="18">
        <v>12.0</v>
      </c>
      <c r="D313" s="17" t="s">
        <v>99</v>
      </c>
      <c r="E313" s="17" t="s">
        <v>209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6">
        <v>0.9</v>
      </c>
      <c r="X313" s="22">
        <f t="shared" si="14"/>
        <v>0.1231049563</v>
      </c>
      <c r="Y313" s="20">
        <f t="shared" si="4"/>
        <v>26.98884945</v>
      </c>
      <c r="Z313" s="20">
        <f t="shared" si="6"/>
        <v>6.239699641</v>
      </c>
      <c r="AA313" s="20"/>
      <c r="AB313" s="20">
        <f>IFERROR(__xludf.DUMMYFUNCTION("iferror(PERCENTRANK.INC(FILTER($X$2:$X$421, $U$2:$U$421&lt;3.75), $X313), 1)"),0.398)</f>
        <v>0.398</v>
      </c>
      <c r="AC313" s="20">
        <f>IFERROR(__xludf.DUMMYFUNCTION("iferror(PERCENTRANK.INC(FILTER($X$2:$X$421, $U$2:$U$421&lt;4.25), $X313), 1)"),0.39)</f>
        <v>0.39</v>
      </c>
      <c r="AD313" s="20">
        <f>IFERROR(__xludf.DUMMYFUNCTION("iferror(PERCENTRANK.INC(FILTER($X$2:$X$421, $U$2:$U$421&gt;=4.1), $X313), 0.01)"),0.01)</f>
        <v>0.01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99</v>
      </c>
      <c r="E314" s="17" t="s">
        <v>135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6">
        <v>0.9</v>
      </c>
      <c r="X314" s="22">
        <f t="shared" si="14"/>
        <v>0.01691464365</v>
      </c>
      <c r="Y314" s="20">
        <f t="shared" si="4"/>
        <v>26.86663378</v>
      </c>
      <c r="Z314" s="20">
        <f t="shared" si="6"/>
        <v>6.649125498</v>
      </c>
      <c r="AA314" s="20"/>
      <c r="AB314" s="20">
        <f>IFERROR(__xludf.DUMMYFUNCTION("iferror(PERCENTRANK.INC(FILTER($X$2:$X$421, $U$2:$U$421&lt;3.75), $X314), 1)"),0.28)</f>
        <v>0.28</v>
      </c>
      <c r="AC314" s="20">
        <f>IFERROR(__xludf.DUMMYFUNCTION("iferror(PERCENTRANK.INC(FILTER($X$2:$X$421, $U$2:$U$421&lt;4.25), $X314), 1)"),0.275)</f>
        <v>0.275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247</v>
      </c>
      <c r="C315" s="18">
        <v>10.0</v>
      </c>
      <c r="D315" s="17" t="s">
        <v>99</v>
      </c>
      <c r="E315" s="17" t="s">
        <v>188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5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4"/>
        <v>-0.2073293498</v>
      </c>
      <c r="Y315" s="20">
        <f t="shared" si="4"/>
        <v>26.60854874</v>
      </c>
      <c r="Z315" s="20">
        <f t="shared" si="6"/>
        <v>6.170554679</v>
      </c>
      <c r="AA315" s="20"/>
      <c r="AB315" s="20">
        <f>IFERROR(__xludf.DUMMYFUNCTION("iferror(PERCENTRANK.INC(FILTER($X$2:$X$421, $U$2:$U$421&lt;3.75), $X315), 1)"),0.108)</f>
        <v>0.108</v>
      </c>
      <c r="AC315" s="20">
        <f>IFERROR(__xludf.DUMMYFUNCTION("iferror(PERCENTRANK.INC(FILTER($X$2:$X$421, $U$2:$U$421&lt;4.25), $X315), 1)"),0.105)</f>
        <v>0.105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429</v>
      </c>
      <c r="C316" s="18">
        <v>7.0</v>
      </c>
      <c r="D316" s="17" t="s">
        <v>99</v>
      </c>
      <c r="E316" s="17" t="s">
        <v>111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6">
        <v>0.9</v>
      </c>
      <c r="X316" s="22">
        <f t="shared" si="14"/>
        <v>0.530873519</v>
      </c>
      <c r="Y316" s="20">
        <f t="shared" si="4"/>
        <v>27.45815507</v>
      </c>
      <c r="Z316" s="20">
        <f t="shared" si="6"/>
        <v>7.089494063</v>
      </c>
      <c r="AA316" s="20"/>
      <c r="AB316" s="20">
        <f>IFERROR(__xludf.DUMMYFUNCTION("iferror(PERCENTRANK.INC(FILTER($X$2:$X$421, $U$2:$U$421&lt;3.75), $X316), 1)"),0.675)</f>
        <v>0.675</v>
      </c>
      <c r="AC316" s="20">
        <f>IFERROR(__xludf.DUMMYFUNCTION("iferror(PERCENTRANK.INC(FILTER($X$2:$X$421, $U$2:$U$421&lt;4.25), $X316), 1)"),0.662)</f>
        <v>0.662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99</v>
      </c>
      <c r="E317" s="17" t="s">
        <v>108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4"/>
        <v>-0.2616439348</v>
      </c>
      <c r="Y317" s="20">
        <f t="shared" si="4"/>
        <v>26.54603745</v>
      </c>
      <c r="Z317" s="20">
        <f t="shared" si="6"/>
        <v>6.644055622</v>
      </c>
      <c r="AA317" s="20"/>
      <c r="AB317" s="20">
        <f>IFERROR(__xludf.DUMMYFUNCTION("iferror(PERCENTRANK.INC(FILTER($X$2:$X$421, $U$2:$U$421&lt;3.75), $X317), 1)"),0.088)</f>
        <v>0.088</v>
      </c>
      <c r="AC317" s="20">
        <f>IFERROR(__xludf.DUMMYFUNCTION("iferror(PERCENTRANK.INC(FILTER($X$2:$X$421, $U$2:$U$421&lt;4.25), $X317), 1)"),0.086)</f>
        <v>0.086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259</v>
      </c>
      <c r="C318" s="18">
        <v>7.0</v>
      </c>
      <c r="D318" s="17" t="s">
        <v>99</v>
      </c>
      <c r="E318" s="17" t="s">
        <v>149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4"/>
        <v>-1.991708392</v>
      </c>
      <c r="Y318" s="20">
        <f t="shared" si="4"/>
        <v>24.554886</v>
      </c>
      <c r="Z318" s="20">
        <f t="shared" si="6"/>
        <v>4.393854976</v>
      </c>
      <c r="AA318" s="20"/>
      <c r="AB318" s="20">
        <f>IFERROR(__xludf.DUMMYFUNCTION("iferror(PERCENTRANK.INC(FILTER($X$2:$X$421, $U$2:$U$421&lt;3.75), $X318), 1)"),0.01)</f>
        <v>0.01</v>
      </c>
      <c r="AC318" s="20">
        <f>IFERROR(__xludf.DUMMYFUNCTION("iferror(PERCENTRANK.INC(FILTER($X$2:$X$421, $U$2:$U$421&lt;4.25), $X318), 1)"),0.01)</f>
        <v>0.01</v>
      </c>
      <c r="AD318" s="20">
        <f>IFERROR(__xludf.DUMMYFUNCTION("iferror(PERCENTRANK.INC(FILTER($X$2:$X$421, $U$2:$U$421&gt;=4.1), $X318), 0.01)"),0.01)</f>
        <v>0.01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99</v>
      </c>
      <c r="E319" s="17" t="s">
        <v>164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6">
        <v>1.0</v>
      </c>
      <c r="X319" s="22">
        <f t="shared" si="14"/>
        <v>0.04669905676</v>
      </c>
      <c r="Y319" s="20">
        <f t="shared" si="4"/>
        <v>26.90091301</v>
      </c>
      <c r="Z319" s="20">
        <f t="shared" si="6"/>
        <v>7.054701212</v>
      </c>
      <c r="AA319" s="20"/>
      <c r="AB319" s="20">
        <f>IFERROR(__xludf.DUMMYFUNCTION("iferror(PERCENTRANK.INC(FILTER($X$2:$X$421, $U$2:$U$421&lt;3.75), $X319), 1)"),0.318)</f>
        <v>0.318</v>
      </c>
      <c r="AC319" s="20">
        <f>IFERROR(__xludf.DUMMYFUNCTION("iferror(PERCENTRANK.INC(FILTER($X$2:$X$421, $U$2:$U$421&lt;4.25), $X319), 1)"),0.311)</f>
        <v>0.311</v>
      </c>
      <c r="AD319" s="20">
        <f>IFERROR(__xludf.DUMMYFUNCTION("iferror(PERCENTRANK.INC(FILTER($X$2:$X$421, $U$2:$U$421&gt;=4.1), $X319), 0.01)"),0.01)</f>
        <v>0.01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99</v>
      </c>
      <c r="E320" s="17" t="s">
        <v>111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6">
        <v>0.9</v>
      </c>
      <c r="X320" s="22">
        <f t="shared" si="14"/>
        <v>0.01544224929</v>
      </c>
      <c r="Y320" s="20">
        <f t="shared" si="4"/>
        <v>26.86493918</v>
      </c>
      <c r="Z320" s="20">
        <f t="shared" si="6"/>
        <v>7.174297047</v>
      </c>
      <c r="AA320" s="20"/>
      <c r="AB320" s="20">
        <f>IFERROR(__xludf.DUMMYFUNCTION("iferror(PERCENTRANK.INC(FILTER($X$2:$X$421, $U$2:$U$421&lt;3.75), $X320), 1)"),0.278)</f>
        <v>0.278</v>
      </c>
      <c r="AC320" s="20">
        <f>IFERROR(__xludf.DUMMYFUNCTION("iferror(PERCENTRANK.INC(FILTER($X$2:$X$421, $U$2:$U$421&lt;4.25), $X320), 1)"),0.272)</f>
        <v>0.272</v>
      </c>
      <c r="AD320" s="20">
        <f>IFERROR(__xludf.DUMMYFUNCTION("iferror(PERCENTRANK.INC(FILTER($X$2:$X$421, $U$2:$U$421&gt;=4.1), $X320), 0.01)"),0.01)</f>
        <v>0.01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99</v>
      </c>
      <c r="E321" s="17" t="s">
        <v>152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6">
        <v>0.95</v>
      </c>
      <c r="X321" s="22">
        <f t="shared" si="14"/>
        <v>0.37494151</v>
      </c>
      <c r="Y321" s="20">
        <f t="shared" si="4"/>
        <v>27.27869109</v>
      </c>
      <c r="Z321" s="20">
        <f t="shared" si="6"/>
        <v>7.327013909</v>
      </c>
      <c r="AA321" s="20"/>
      <c r="AB321" s="20">
        <f>IFERROR(__xludf.DUMMYFUNCTION("iferror(PERCENTRANK.INC(FILTER($X$2:$X$421, $U$2:$U$421&lt;3.75), $X321), 1)"),0.583)</f>
        <v>0.583</v>
      </c>
      <c r="AC321" s="20">
        <f>IFERROR(__xludf.DUMMYFUNCTION("iferror(PERCENTRANK.INC(FILTER($X$2:$X$421, $U$2:$U$421&lt;4.25), $X321), 1)"),0.571)</f>
        <v>0.571</v>
      </c>
      <c r="AD321" s="20">
        <f>IFERROR(__xludf.DUMMYFUNCTION("iferror(PERCENTRANK.INC(FILTER($X$2:$X$421, $U$2:$U$421&gt;=4.1), $X321), 0.01)"),0.01)</f>
        <v>0.01</v>
      </c>
      <c r="AE321" s="20"/>
    </row>
    <row r="322" ht="14.25" customHeight="1">
      <c r="A322" s="17" t="s">
        <v>684</v>
      </c>
      <c r="B322" s="17" t="s">
        <v>281</v>
      </c>
      <c r="C322" s="18">
        <v>17.0</v>
      </c>
      <c r="D322" s="17" t="s">
        <v>99</v>
      </c>
      <c r="E322" s="17" t="s">
        <v>111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6">
        <v>0.9</v>
      </c>
      <c r="X322" s="22">
        <f t="shared" si="14"/>
        <v>0.1437686</v>
      </c>
      <c r="Y322" s="20">
        <f t="shared" si="4"/>
        <v>27.01263148</v>
      </c>
      <c r="Z322" s="20">
        <f t="shared" si="6"/>
        <v>7.075631729</v>
      </c>
      <c r="AA322" s="20"/>
      <c r="AB322" s="20">
        <f>IFERROR(__xludf.DUMMYFUNCTION("iferror(PERCENTRANK.INC(FILTER($X$2:$X$421, $U$2:$U$421&lt;3.75), $X322), 1)"),0.418)</f>
        <v>0.418</v>
      </c>
      <c r="AC322" s="20">
        <f>IFERROR(__xludf.DUMMYFUNCTION("iferror(PERCENTRANK.INC(FILTER($X$2:$X$421, $U$2:$U$421&lt;4.25), $X322), 1)"),0.409)</f>
        <v>0.409</v>
      </c>
      <c r="AD322" s="20">
        <f>IFERROR(__xludf.DUMMYFUNCTION("iferror(PERCENTRANK.INC(FILTER($X$2:$X$421, $U$2:$U$421&gt;=4.1), $X322), 0.01)"),0.01)</f>
        <v>0.01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99</v>
      </c>
      <c r="E323" s="17" t="s">
        <v>149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4"/>
        <v>0.2632514341</v>
      </c>
      <c r="Y323" s="20">
        <f t="shared" si="4"/>
        <v>27.15014568</v>
      </c>
      <c r="Z323" s="20">
        <f t="shared" si="6"/>
        <v>7.511699817</v>
      </c>
      <c r="AA323" s="20"/>
      <c r="AB323" s="20">
        <f>IFERROR(__xludf.DUMMYFUNCTION("iferror(PERCENTRANK.INC(FILTER($X$2:$X$421, $U$2:$U$421&lt;3.75), $X323), 1)"),0.518)</f>
        <v>0.518</v>
      </c>
      <c r="AC323" s="20">
        <f>IFERROR(__xludf.DUMMYFUNCTION("iferror(PERCENTRANK.INC(FILTER($X$2:$X$421, $U$2:$U$421&lt;4.25), $X323), 1)"),0.507)</f>
        <v>0.507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156</v>
      </c>
      <c r="C324" s="18">
        <v>17.0</v>
      </c>
      <c r="D324" s="17" t="s">
        <v>99</v>
      </c>
      <c r="E324" s="17" t="s">
        <v>157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6">
        <v>0.9</v>
      </c>
      <c r="X324" s="22">
        <f t="shared" si="14"/>
        <v>-0.1057897018</v>
      </c>
      <c r="Y324" s="20">
        <f t="shared" si="4"/>
        <v>26.72541191</v>
      </c>
      <c r="Z324" s="20">
        <f t="shared" si="6"/>
        <v>6.892588284</v>
      </c>
      <c r="AA324" s="20"/>
      <c r="AB324" s="20">
        <f>IFERROR(__xludf.DUMMYFUNCTION("iferror(PERCENTRANK.INC(FILTER($X$2:$X$421, $U$2:$U$421&lt;3.75), $X324), 1)"),0.17)</f>
        <v>0.17</v>
      </c>
      <c r="AC324" s="20">
        <f>IFERROR(__xludf.DUMMYFUNCTION("iferror(PERCENTRANK.INC(FILTER($X$2:$X$421, $U$2:$U$421&lt;4.25), $X324), 1)"),0.167)</f>
        <v>0.167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148</v>
      </c>
      <c r="C325" s="18">
        <v>9.0</v>
      </c>
      <c r="D325" s="17" t="s">
        <v>99</v>
      </c>
      <c r="E325" s="17" t="s">
        <v>149</v>
      </c>
      <c r="F325" s="18">
        <v>130.0</v>
      </c>
      <c r="G325" s="18">
        <v>110.0</v>
      </c>
      <c r="H325" s="18">
        <v>62.0</v>
      </c>
      <c r="I325" s="19">
        <v>0.564</v>
      </c>
      <c r="J325" s="18">
        <v>580.0</v>
      </c>
      <c r="K325" s="18">
        <v>5.3</v>
      </c>
      <c r="L325" s="18">
        <v>3.0</v>
      </c>
      <c r="M325" s="18">
        <v>3.0</v>
      </c>
      <c r="N325" s="18">
        <v>12.0</v>
      </c>
      <c r="O325" s="18">
        <v>3.0</v>
      </c>
      <c r="P325" s="20">
        <f t="shared" si="1"/>
        <v>0.8558221259</v>
      </c>
      <c r="Q325" s="20">
        <f t="shared" si="2"/>
        <v>19.45038809</v>
      </c>
      <c r="R325" s="24"/>
      <c r="S325" s="20">
        <v>0.8558221258741259</v>
      </c>
      <c r="T325" s="22">
        <v>-0.67</v>
      </c>
      <c r="U325" s="23">
        <v>4.5</v>
      </c>
      <c r="V325" s="23">
        <v>-2.81</v>
      </c>
      <c r="W325" s="18">
        <v>0.95</v>
      </c>
      <c r="X325" s="22">
        <f t="shared" si="14"/>
        <v>3.165035987</v>
      </c>
      <c r="Y325" s="20">
        <f t="shared" si="4"/>
        <v>30.4898435</v>
      </c>
      <c r="Z325" s="20">
        <f t="shared" si="6"/>
        <v>11.03945541</v>
      </c>
      <c r="AA325" s="20"/>
      <c r="AB325" s="20">
        <f>IFERROR(__xludf.DUMMYFUNCTION("iferror(PERCENTRANK.INC(FILTER($X$2:$X$421, $U$2:$U$421&lt;3.75), $X325), 1)"),0.988)</f>
        <v>0.988</v>
      </c>
      <c r="AC325" s="20">
        <f>IFERROR(__xludf.DUMMYFUNCTION("iferror(PERCENTRANK.INC(FILTER($X$2:$X$421, $U$2:$U$421&lt;4.25), $X325), 1)"),0.979)</f>
        <v>0.979</v>
      </c>
      <c r="AD325" s="20">
        <f>IFERROR(__xludf.DUMMYFUNCTION("iferror(PERCENTRANK.INC(FILTER($X$2:$X$421, $U$2:$U$421&gt;=4.1), $X325), 0.01)"),0.154)</f>
        <v>0.154</v>
      </c>
      <c r="AE325" s="20"/>
    </row>
    <row r="326" ht="14.25" customHeight="1">
      <c r="A326" s="17" t="s">
        <v>689</v>
      </c>
      <c r="B326" s="17" t="s">
        <v>166</v>
      </c>
      <c r="C326" s="18">
        <v>1.0</v>
      </c>
      <c r="D326" s="17" t="s">
        <v>99</v>
      </c>
      <c r="E326" s="17" t="s">
        <v>157</v>
      </c>
      <c r="F326" s="18">
        <v>74.0</v>
      </c>
      <c r="G326" s="18">
        <v>61.0</v>
      </c>
      <c r="H326" s="18">
        <v>36.0</v>
      </c>
      <c r="I326" s="19">
        <v>0.59</v>
      </c>
      <c r="J326" s="18">
        <v>316.0</v>
      </c>
      <c r="K326" s="18">
        <v>5.2</v>
      </c>
      <c r="L326" s="18">
        <v>1.0</v>
      </c>
      <c r="M326" s="18">
        <v>1.0</v>
      </c>
      <c r="N326" s="18">
        <v>4.0</v>
      </c>
      <c r="O326" s="18">
        <v>2.0</v>
      </c>
      <c r="P326" s="20">
        <f t="shared" si="1"/>
        <v>0.8246464377</v>
      </c>
      <c r="Q326" s="20">
        <f t="shared" si="2"/>
        <v>19.09313194</v>
      </c>
      <c r="R326" s="24"/>
      <c r="S326" s="20">
        <v>0.8246464377492246</v>
      </c>
      <c r="T326" s="22">
        <v>-0.76</v>
      </c>
      <c r="W326" s="26">
        <v>0.9</v>
      </c>
      <c r="X326" s="22">
        <f t="shared" si="14"/>
        <v>-0.002672730904</v>
      </c>
      <c r="Y326" s="20">
        <f t="shared" si="4"/>
        <v>26.84409044</v>
      </c>
      <c r="Z326" s="20">
        <f t="shared" si="6"/>
        <v>7.7509585</v>
      </c>
      <c r="AA326" s="20"/>
      <c r="AB326" s="20">
        <f>IFERROR(__xludf.DUMMYFUNCTION("iferror(PERCENTRANK.INC(FILTER($X$2:$X$421, $U$2:$U$421&lt;3.75), $X326), 1)"),0.253)</f>
        <v>0.253</v>
      </c>
      <c r="AC326" s="20">
        <f>IFERROR(__xludf.DUMMYFUNCTION("iferror(PERCENTRANK.INC(FILTER($X$2:$X$421, $U$2:$U$421&lt;4.25), $X326), 1)"),0.248)</f>
        <v>0.248</v>
      </c>
      <c r="AD326" s="20">
        <f>IFERROR(__xludf.DUMMYFUNCTION("iferror(PERCENTRANK.INC(FILTER($X$2:$X$421, $U$2:$U$421&gt;=4.1), $X326), 0.01)"),0.01)</f>
        <v>0.01</v>
      </c>
      <c r="AE326" s="20"/>
    </row>
    <row r="327" ht="14.25" customHeight="1">
      <c r="A327" s="17" t="s">
        <v>690</v>
      </c>
      <c r="B327" s="17" t="s">
        <v>423</v>
      </c>
      <c r="C327" s="18">
        <v>5.0</v>
      </c>
      <c r="D327" s="17" t="s">
        <v>99</v>
      </c>
      <c r="E327" s="17" t="s">
        <v>188</v>
      </c>
      <c r="F327" s="18">
        <v>52.0</v>
      </c>
      <c r="G327" s="18">
        <v>42.0</v>
      </c>
      <c r="H327" s="18">
        <v>17.0</v>
      </c>
      <c r="I327" s="19">
        <v>0.405</v>
      </c>
      <c r="J327" s="18">
        <v>251.0</v>
      </c>
      <c r="K327" s="18">
        <v>6.0</v>
      </c>
      <c r="L327" s="18">
        <v>1.0</v>
      </c>
      <c r="M327" s="18">
        <v>1.0</v>
      </c>
      <c r="N327" s="18">
        <v>3.0</v>
      </c>
      <c r="O327" s="18">
        <v>2.0</v>
      </c>
      <c r="P327" s="20">
        <f t="shared" si="1"/>
        <v>0.8678474542</v>
      </c>
      <c r="Q327" s="20">
        <f t="shared" si="2"/>
        <v>19.5881917</v>
      </c>
      <c r="R327" s="24"/>
      <c r="S327" s="20">
        <v>0.8678474542124541</v>
      </c>
      <c r="T327" s="22">
        <v>-5.85</v>
      </c>
      <c r="U327" s="30"/>
      <c r="V327" s="30"/>
      <c r="W327" s="18">
        <v>0.9</v>
      </c>
      <c r="X327" s="22">
        <f t="shared" si="14"/>
        <v>-0.7538317378</v>
      </c>
      <c r="Y327" s="20">
        <f t="shared" si="4"/>
        <v>25.97957274</v>
      </c>
      <c r="Z327" s="20">
        <f t="shared" si="6"/>
        <v>6.391381043</v>
      </c>
      <c r="AA327" s="20"/>
      <c r="AB327" s="20">
        <f>IFERROR(__xludf.DUMMYFUNCTION("iferror(PERCENTRANK.INC(FILTER($X$2:$X$421, $U$2:$U$421&lt;3.75), $X327), 1)"),0.043)</f>
        <v>0.043</v>
      </c>
      <c r="AC327" s="20">
        <f>IFERROR(__xludf.DUMMYFUNCTION("iferror(PERCENTRANK.INC(FILTER($X$2:$X$421, $U$2:$U$421&lt;4.25), $X327), 1)"),0.042)</f>
        <v>0.042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477</v>
      </c>
      <c r="C328" s="18">
        <v>15.0</v>
      </c>
      <c r="D328" s="17" t="s">
        <v>99</v>
      </c>
      <c r="E328" s="17" t="s">
        <v>141</v>
      </c>
      <c r="F328" s="18">
        <v>33.0</v>
      </c>
      <c r="G328" s="18">
        <v>28.0</v>
      </c>
      <c r="H328" s="18">
        <v>17.0</v>
      </c>
      <c r="I328" s="19">
        <v>0.607</v>
      </c>
      <c r="J328" s="18">
        <v>142.0</v>
      </c>
      <c r="K328" s="18">
        <v>5.1</v>
      </c>
      <c r="L328" s="18">
        <v>1.0</v>
      </c>
      <c r="M328" s="18">
        <v>0.0</v>
      </c>
      <c r="N328" s="18">
        <v>2.0</v>
      </c>
      <c r="O328" s="18">
        <v>1.0</v>
      </c>
      <c r="P328" s="20">
        <f t="shared" si="1"/>
        <v>0.8626715108</v>
      </c>
      <c r="Q328" s="20">
        <f t="shared" si="2"/>
        <v>19.52887825</v>
      </c>
      <c r="R328" s="24"/>
      <c r="S328" s="20">
        <v>0.8626715108225106</v>
      </c>
      <c r="T328" s="22">
        <v>1.82</v>
      </c>
      <c r="U328" s="30"/>
      <c r="V328" s="30"/>
      <c r="W328" s="18">
        <v>0.9</v>
      </c>
      <c r="X328" s="22">
        <f t="shared" si="14"/>
        <v>0.3959306903</v>
      </c>
      <c r="Y328" s="20">
        <f t="shared" si="4"/>
        <v>27.30284779</v>
      </c>
      <c r="Z328" s="20">
        <f t="shared" si="6"/>
        <v>7.773969535</v>
      </c>
      <c r="AA328" s="20"/>
      <c r="AB328" s="20">
        <f>IFERROR(__xludf.DUMMYFUNCTION("iferror(PERCENTRANK.INC(FILTER($X$2:$X$421, $U$2:$U$421&lt;3.75), $X328), 1)"),0.593)</f>
        <v>0.593</v>
      </c>
      <c r="AC328" s="20">
        <f>IFERROR(__xludf.DUMMYFUNCTION("iferror(PERCENTRANK.INC(FILTER($X$2:$X$421, $U$2:$U$421&lt;4.25), $X328), 1)"),0.581)</f>
        <v>0.581</v>
      </c>
      <c r="AD328" s="20">
        <f>IFERROR(__xludf.DUMMYFUNCTION("iferror(PERCENTRANK.INC(FILTER($X$2:$X$421, $U$2:$U$421&gt;=4.1), $X328), 0.01)"),0.01)</f>
        <v>0.01</v>
      </c>
      <c r="AE328" s="20"/>
    </row>
    <row r="329" ht="14.25" customHeight="1">
      <c r="A329" s="17" t="s">
        <v>692</v>
      </c>
      <c r="B329" s="17" t="s">
        <v>614</v>
      </c>
      <c r="C329" s="18">
        <v>3.0</v>
      </c>
      <c r="D329" s="17" t="s">
        <v>99</v>
      </c>
      <c r="E329" s="17" t="s">
        <v>120</v>
      </c>
      <c r="F329" s="18">
        <v>96.0</v>
      </c>
      <c r="G329" s="18">
        <v>71.0</v>
      </c>
      <c r="H329" s="18">
        <v>42.0</v>
      </c>
      <c r="I329" s="19">
        <v>0.592</v>
      </c>
      <c r="J329" s="18">
        <v>352.0</v>
      </c>
      <c r="K329" s="18">
        <v>5.0</v>
      </c>
      <c r="L329" s="18">
        <v>3.0</v>
      </c>
      <c r="M329" s="18">
        <v>2.0</v>
      </c>
      <c r="N329" s="18">
        <v>8.0</v>
      </c>
      <c r="O329" s="18">
        <v>2.0</v>
      </c>
      <c r="P329" s="20">
        <f t="shared" si="1"/>
        <v>0.8398754554</v>
      </c>
      <c r="Q329" s="20">
        <f t="shared" si="2"/>
        <v>19.26764806</v>
      </c>
      <c r="R329" s="24"/>
      <c r="S329" s="20">
        <v>0.839875455399061</v>
      </c>
      <c r="T329" s="22">
        <v>-1.5</v>
      </c>
      <c r="W329" s="26">
        <v>0.95</v>
      </c>
      <c r="X329" s="22">
        <f t="shared" si="14"/>
        <v>-0.1116168135</v>
      </c>
      <c r="Y329" s="20">
        <f t="shared" si="4"/>
        <v>26.71870542</v>
      </c>
      <c r="Z329" s="20">
        <f t="shared" si="6"/>
        <v>7.451057359</v>
      </c>
      <c r="AA329" s="20"/>
      <c r="AB329" s="20">
        <f>IFERROR(__xludf.DUMMYFUNCTION("iferror(PERCENTRANK.INC(FILTER($X$2:$X$421, $U$2:$U$421&lt;3.75), $X329), 1)"),0.165)</f>
        <v>0.165</v>
      </c>
      <c r="AC329" s="20">
        <f>IFERROR(__xludf.DUMMYFUNCTION("iferror(PERCENTRANK.INC(FILTER($X$2:$X$421, $U$2:$U$421&lt;4.25), $X329), 1)"),0.162)</f>
        <v>0.162</v>
      </c>
      <c r="AD329" s="20">
        <f>IFERROR(__xludf.DUMMYFUNCTION("iferror(PERCENTRANK.INC(FILTER($X$2:$X$421, $U$2:$U$421&gt;=4.1), $X329), 0.01)"),0.01)</f>
        <v>0.01</v>
      </c>
      <c r="AE329" s="20"/>
    </row>
    <row r="330" ht="14.25" customHeight="1">
      <c r="A330" s="17" t="s">
        <v>693</v>
      </c>
      <c r="B330" s="17" t="s">
        <v>609</v>
      </c>
      <c r="C330" s="18">
        <v>15.0</v>
      </c>
      <c r="D330" s="17" t="s">
        <v>99</v>
      </c>
      <c r="E330" s="17" t="s">
        <v>188</v>
      </c>
      <c r="F330" s="18">
        <v>85.0</v>
      </c>
      <c r="G330" s="18">
        <v>82.0</v>
      </c>
      <c r="H330" s="18">
        <v>40.0</v>
      </c>
      <c r="I330" s="19">
        <v>0.488</v>
      </c>
      <c r="J330" s="18">
        <v>348.0</v>
      </c>
      <c r="K330" s="18">
        <v>4.2</v>
      </c>
      <c r="L330" s="18">
        <v>0.0</v>
      </c>
      <c r="M330" s="18">
        <v>0.0</v>
      </c>
      <c r="N330" s="18">
        <v>1.0</v>
      </c>
      <c r="O330" s="18">
        <v>2.0</v>
      </c>
      <c r="P330" s="20">
        <f t="shared" si="1"/>
        <v>0.838539099</v>
      </c>
      <c r="Q330" s="20">
        <f t="shared" si="2"/>
        <v>19.25233416</v>
      </c>
      <c r="R330" s="24"/>
      <c r="S330" s="20">
        <v>0.8385390989956959</v>
      </c>
      <c r="T330" s="22">
        <v>-0.38</v>
      </c>
      <c r="U330" s="30"/>
      <c r="V330" s="30"/>
      <c r="W330" s="18">
        <v>0.9</v>
      </c>
      <c r="X330" s="22">
        <f t="shared" si="14"/>
        <v>0.05620277836</v>
      </c>
      <c r="Y330" s="20">
        <f t="shared" si="4"/>
        <v>26.91185095</v>
      </c>
      <c r="Z330" s="20">
        <f t="shared" si="6"/>
        <v>7.659516798</v>
      </c>
      <c r="AA330" s="20"/>
      <c r="AB330" s="20">
        <f>IFERROR(__xludf.DUMMYFUNCTION("iferror(PERCENTRANK.INC(FILTER($X$2:$X$421, $U$2:$U$421&lt;3.75), $X330), 1)"),0.323)</f>
        <v>0.323</v>
      </c>
      <c r="AC330" s="20">
        <f>IFERROR(__xludf.DUMMYFUNCTION("iferror(PERCENTRANK.INC(FILTER($X$2:$X$421, $U$2:$U$421&lt;4.25), $X330), 1)"),0.316)</f>
        <v>0.316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539</v>
      </c>
      <c r="C331" s="18">
        <v>8.0</v>
      </c>
      <c r="D331" s="17" t="s">
        <v>99</v>
      </c>
      <c r="E331" s="17" t="s">
        <v>176</v>
      </c>
      <c r="F331" s="18">
        <v>60.0</v>
      </c>
      <c r="G331" s="18">
        <v>38.0</v>
      </c>
      <c r="H331" s="18">
        <v>24.0</v>
      </c>
      <c r="I331" s="19">
        <v>0.632</v>
      </c>
      <c r="J331" s="18">
        <v>236.0</v>
      </c>
      <c r="K331" s="18">
        <v>6.2</v>
      </c>
      <c r="L331" s="18">
        <v>2.0</v>
      </c>
      <c r="M331" s="18">
        <v>1.0</v>
      </c>
      <c r="N331" s="18">
        <v>12.0</v>
      </c>
      <c r="O331" s="18">
        <v>3.0</v>
      </c>
      <c r="P331" s="20">
        <f t="shared" si="1"/>
        <v>0.8380661053</v>
      </c>
      <c r="Q331" s="20">
        <f t="shared" si="2"/>
        <v>19.24691391</v>
      </c>
      <c r="R331" s="24"/>
      <c r="S331" s="20">
        <v>0.838066105263158</v>
      </c>
      <c r="T331" s="22">
        <v>-0.69</v>
      </c>
      <c r="W331" s="26">
        <v>0.9</v>
      </c>
      <c r="X331" s="22">
        <f t="shared" si="14"/>
        <v>0.009638924211</v>
      </c>
      <c r="Y331" s="20">
        <f t="shared" si="4"/>
        <v>26.85826007</v>
      </c>
      <c r="Z331" s="20">
        <f t="shared" si="6"/>
        <v>7.611346159</v>
      </c>
      <c r="AA331" s="20"/>
      <c r="AB331" s="20">
        <f>IFERROR(__xludf.DUMMYFUNCTION("iferror(PERCENTRANK.INC(FILTER($X$2:$X$421, $U$2:$U$421&lt;3.75), $X331), 1)"),0.273)</f>
        <v>0.273</v>
      </c>
      <c r="AC331" s="20">
        <f>IFERROR(__xludf.DUMMYFUNCTION("iferror(PERCENTRANK.INC(FILTER($X$2:$X$421, $U$2:$U$421&lt;4.25), $X331), 1)"),0.267)</f>
        <v>0.267</v>
      </c>
      <c r="AD331" s="20">
        <f>IFERROR(__xludf.DUMMYFUNCTION("iferror(PERCENTRANK.INC(FILTER($X$2:$X$421, $U$2:$U$421&gt;=4.1), $X331), 0.01)"),0.01)</f>
        <v>0.01</v>
      </c>
      <c r="AE331" s="20"/>
    </row>
    <row r="332" ht="14.25" customHeight="1">
      <c r="A332" s="17" t="s">
        <v>695</v>
      </c>
      <c r="B332" s="17" t="s">
        <v>585</v>
      </c>
      <c r="C332" s="18">
        <v>7.0</v>
      </c>
      <c r="D332" s="17" t="s">
        <v>99</v>
      </c>
      <c r="E332" s="17" t="s">
        <v>120</v>
      </c>
      <c r="F332" s="18">
        <v>222.0</v>
      </c>
      <c r="G332" s="18">
        <v>199.0</v>
      </c>
      <c r="H332" s="18">
        <v>105.0</v>
      </c>
      <c r="I332" s="19">
        <v>0.528</v>
      </c>
      <c r="J332" s="18">
        <v>1183.0</v>
      </c>
      <c r="K332" s="18">
        <v>5.9</v>
      </c>
      <c r="L332" s="18">
        <v>8.0</v>
      </c>
      <c r="M332" s="18">
        <v>9.0</v>
      </c>
      <c r="N332" s="18">
        <v>11.0</v>
      </c>
      <c r="O332" s="18">
        <v>13.0</v>
      </c>
      <c r="P332" s="20">
        <f t="shared" si="1"/>
        <v>0.8342851439</v>
      </c>
      <c r="Q332" s="20">
        <f t="shared" si="2"/>
        <v>19.20358618</v>
      </c>
      <c r="R332" s="24"/>
      <c r="S332" s="20">
        <v>0.8342851439177871</v>
      </c>
      <c r="T332" s="22">
        <v>-0.84</v>
      </c>
      <c r="W332" s="26">
        <v>0.95</v>
      </c>
      <c r="X332" s="22">
        <f t="shared" si="14"/>
        <v>-0.007114366992</v>
      </c>
      <c r="Y332" s="20">
        <f t="shared" si="4"/>
        <v>26.83897851</v>
      </c>
      <c r="Z332" s="20">
        <f t="shared" si="6"/>
        <v>7.635392326</v>
      </c>
      <c r="AA332" s="20"/>
      <c r="AB332" s="20">
        <f>IFERROR(__xludf.DUMMYFUNCTION("iferror(PERCENTRANK.INC(FILTER($X$2:$X$421, $U$2:$U$421&lt;3.75), $X332), 1)"),0.25)</f>
        <v>0.25</v>
      </c>
      <c r="AC332" s="20">
        <f>IFERROR(__xludf.DUMMYFUNCTION("iferror(PERCENTRANK.INC(FILTER($X$2:$X$421, $U$2:$U$421&lt;4.25), $X332), 1)"),0.245)</f>
        <v>0.245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293</v>
      </c>
      <c r="C333" s="18">
        <v>6.0</v>
      </c>
      <c r="D333" s="17" t="s">
        <v>99</v>
      </c>
      <c r="E333" s="17" t="s">
        <v>152</v>
      </c>
      <c r="F333" s="18">
        <v>51.0</v>
      </c>
      <c r="G333" s="18">
        <v>35.0</v>
      </c>
      <c r="H333" s="18">
        <v>21.0</v>
      </c>
      <c r="I333" s="19">
        <v>0.6</v>
      </c>
      <c r="J333" s="18">
        <v>269.0</v>
      </c>
      <c r="K333" s="18">
        <v>7.7</v>
      </c>
      <c r="L333" s="18">
        <v>2.0</v>
      </c>
      <c r="M333" s="18">
        <v>3.0</v>
      </c>
      <c r="N333" s="18">
        <v>3.0</v>
      </c>
      <c r="O333" s="18">
        <v>2.0</v>
      </c>
      <c r="P333" s="20">
        <f t="shared" si="1"/>
        <v>0.8328621849</v>
      </c>
      <c r="Q333" s="20">
        <f t="shared" si="2"/>
        <v>19.18727986</v>
      </c>
      <c r="R333" s="24"/>
      <c r="S333" s="20">
        <v>0.8328621848739498</v>
      </c>
      <c r="T333" s="22">
        <v>0.9</v>
      </c>
      <c r="U333" s="30"/>
      <c r="V333" s="30"/>
      <c r="W333" s="18">
        <v>0.95</v>
      </c>
      <c r="X333" s="22">
        <f t="shared" si="14"/>
        <v>0.247436395</v>
      </c>
      <c r="Y333" s="20">
        <f t="shared" si="4"/>
        <v>27.13194396</v>
      </c>
      <c r="Z333" s="20">
        <f t="shared" si="6"/>
        <v>7.944664103</v>
      </c>
      <c r="AA333" s="20"/>
      <c r="AB333" s="20">
        <f>IFERROR(__xludf.DUMMYFUNCTION("iferror(PERCENTRANK.INC(FILTER($X$2:$X$421, $U$2:$U$421&lt;3.75), $X333), 1)"),0.503)</f>
        <v>0.503</v>
      </c>
      <c r="AC333" s="20">
        <f>IFERROR(__xludf.DUMMYFUNCTION("iferror(PERCENTRANK.INC(FILTER($X$2:$X$421, $U$2:$U$421&lt;4.25), $X333), 1)"),0.493)</f>
        <v>0.493</v>
      </c>
      <c r="AD333" s="20">
        <f>IFERROR(__xludf.DUMMYFUNCTION("iferror(PERCENTRANK.INC(FILTER($X$2:$X$421, $U$2:$U$421&gt;=4.1), $X333), 0.01)"),0.01)</f>
        <v>0.01</v>
      </c>
      <c r="AE333" s="20"/>
    </row>
    <row r="334" ht="14.25" customHeight="1">
      <c r="A334" s="17" t="s">
        <v>697</v>
      </c>
      <c r="B334" s="17" t="s">
        <v>341</v>
      </c>
      <c r="C334" s="18">
        <v>15.0</v>
      </c>
      <c r="D334" s="17" t="s">
        <v>99</v>
      </c>
      <c r="E334" s="17" t="s">
        <v>135</v>
      </c>
      <c r="F334" s="18">
        <v>147.0</v>
      </c>
      <c r="G334" s="18">
        <v>133.0</v>
      </c>
      <c r="H334" s="18">
        <v>86.0</v>
      </c>
      <c r="I334" s="19">
        <v>0.647</v>
      </c>
      <c r="J334" s="18">
        <v>843.0</v>
      </c>
      <c r="K334" s="18">
        <v>6.3</v>
      </c>
      <c r="L334" s="18">
        <v>3.0</v>
      </c>
      <c r="M334" s="18">
        <v>5.0</v>
      </c>
      <c r="N334" s="18">
        <v>9.0</v>
      </c>
      <c r="O334" s="18">
        <v>6.0</v>
      </c>
      <c r="P334" s="20">
        <f t="shared" si="1"/>
        <v>0.8236142846</v>
      </c>
      <c r="Q334" s="20">
        <f t="shared" si="2"/>
        <v>19.08130404</v>
      </c>
      <c r="R334" s="24"/>
      <c r="S334" s="20">
        <v>0.8236142846401716</v>
      </c>
      <c r="T334" s="22">
        <v>-6.82</v>
      </c>
      <c r="U334" s="30"/>
      <c r="V334" s="30"/>
      <c r="W334" s="18">
        <v>0.9</v>
      </c>
      <c r="X334" s="22">
        <f t="shared" si="14"/>
        <v>-0.9118120716</v>
      </c>
      <c r="Y334" s="20">
        <f t="shared" si="4"/>
        <v>25.79775133</v>
      </c>
      <c r="Z334" s="20">
        <f t="shared" si="6"/>
        <v>6.71644729</v>
      </c>
      <c r="AA334" s="20"/>
      <c r="AB334" s="20">
        <f>IFERROR(__xludf.DUMMYFUNCTION("iferror(PERCENTRANK.INC(FILTER($X$2:$X$421, $U$2:$U$421&lt;3.75), $X334), 1)"),0.025)</f>
        <v>0.025</v>
      </c>
      <c r="AC334" s="20">
        <f>IFERROR(__xludf.DUMMYFUNCTION("iferror(PERCENTRANK.INC(FILTER($X$2:$X$421, $U$2:$U$421&lt;4.25), $X334), 1)"),0.025)</f>
        <v>0.025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261</v>
      </c>
      <c r="C335" s="18">
        <v>8.0</v>
      </c>
      <c r="D335" s="17" t="s">
        <v>99</v>
      </c>
      <c r="E335" s="17" t="s">
        <v>176</v>
      </c>
      <c r="F335" s="18">
        <v>35.0</v>
      </c>
      <c r="G335" s="18">
        <v>27.0</v>
      </c>
      <c r="H335" s="18">
        <v>14.0</v>
      </c>
      <c r="I335" s="19">
        <v>0.518</v>
      </c>
      <c r="J335" s="18">
        <v>188.0</v>
      </c>
      <c r="K335" s="18">
        <v>7.0</v>
      </c>
      <c r="L335" s="18">
        <v>0.0</v>
      </c>
      <c r="M335" s="18">
        <v>1.0</v>
      </c>
      <c r="N335" s="18">
        <v>3.0</v>
      </c>
      <c r="O335" s="18">
        <v>1.0</v>
      </c>
      <c r="P335" s="20">
        <f t="shared" si="1"/>
        <v>0.8186820847</v>
      </c>
      <c r="Q335" s="20">
        <f t="shared" si="2"/>
        <v>19.02478375</v>
      </c>
      <c r="R335" s="24"/>
      <c r="S335" s="20">
        <v>0.8186820846560847</v>
      </c>
      <c r="T335" s="22">
        <v>-0.33</v>
      </c>
      <c r="U335" s="30"/>
      <c r="V335" s="30"/>
      <c r="W335" s="18">
        <v>0.9</v>
      </c>
      <c r="X335" s="22">
        <f t="shared" si="14"/>
        <v>0.06102208143</v>
      </c>
      <c r="Y335" s="20">
        <f t="shared" si="4"/>
        <v>26.91739755</v>
      </c>
      <c r="Z335" s="20">
        <f t="shared" si="6"/>
        <v>7.892613794</v>
      </c>
      <c r="AA335" s="20"/>
      <c r="AB335" s="20">
        <f>IFERROR(__xludf.DUMMYFUNCTION("iferror(PERCENTRANK.INC(FILTER($X$2:$X$421, $U$2:$U$421&lt;3.75), $X335), 1)"),0.328)</f>
        <v>0.328</v>
      </c>
      <c r="AC335" s="20">
        <f>IFERROR(__xludf.DUMMYFUNCTION("iferror(PERCENTRANK.INC(FILTER($X$2:$X$421, $U$2:$U$421&lt;4.25), $X335), 1)"),0.321)</f>
        <v>0.321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682</v>
      </c>
      <c r="C336" s="18">
        <v>2.0</v>
      </c>
      <c r="D336" s="17" t="s">
        <v>99</v>
      </c>
      <c r="E336" s="17" t="s">
        <v>111</v>
      </c>
      <c r="F336" s="18">
        <v>268.0</v>
      </c>
      <c r="G336" s="18">
        <v>222.0</v>
      </c>
      <c r="H336" s="18">
        <v>134.0</v>
      </c>
      <c r="I336" s="19">
        <v>0.604</v>
      </c>
      <c r="J336" s="18">
        <v>1583.0</v>
      </c>
      <c r="K336" s="18">
        <v>7.1</v>
      </c>
      <c r="L336" s="18">
        <v>12.0</v>
      </c>
      <c r="M336" s="18">
        <v>14.0</v>
      </c>
      <c r="N336" s="18">
        <v>22.0</v>
      </c>
      <c r="O336" s="18">
        <v>13.0</v>
      </c>
      <c r="P336" s="20">
        <f t="shared" si="1"/>
        <v>0.7756916009</v>
      </c>
      <c r="Q336" s="20">
        <f t="shared" si="2"/>
        <v>18.53213658</v>
      </c>
      <c r="R336" s="24"/>
      <c r="S336" s="20">
        <v>0.7756916009143469</v>
      </c>
      <c r="T336" s="22">
        <v>-0.84</v>
      </c>
      <c r="U336" s="30"/>
      <c r="V336" s="30"/>
      <c r="W336" s="18">
        <v>0.9</v>
      </c>
      <c r="X336" s="22">
        <f t="shared" si="14"/>
        <v>-0.02128163388</v>
      </c>
      <c r="Y336" s="20">
        <f t="shared" si="4"/>
        <v>26.82267324</v>
      </c>
      <c r="Z336" s="20">
        <f t="shared" si="6"/>
        <v>8.290536655</v>
      </c>
      <c r="AA336" s="20"/>
      <c r="AB336" s="20">
        <f>IFERROR(__xludf.DUMMYFUNCTION("iferror(PERCENTRANK.INC(FILTER($X$2:$X$421, $U$2:$U$421&lt;3.75), $X336), 1)"),0.228)</f>
        <v>0.228</v>
      </c>
      <c r="AC336" s="20">
        <f>IFERROR(__xludf.DUMMYFUNCTION("iferror(PERCENTRANK.INC(FILTER($X$2:$X$421, $U$2:$U$421&lt;4.25), $X336), 1)"),0.223)</f>
        <v>0.223</v>
      </c>
      <c r="AD336" s="20">
        <f>IFERROR(__xludf.DUMMYFUNCTION("iferror(PERCENTRANK.INC(FILTER($X$2:$X$421, $U$2:$U$421&gt;=4.1), $X336), 0.01)"),0.01)</f>
        <v>0.01</v>
      </c>
      <c r="AE336" s="20"/>
    </row>
    <row r="337" ht="14.25" customHeight="1">
      <c r="A337" s="17" t="s">
        <v>700</v>
      </c>
      <c r="B337" s="17" t="s">
        <v>531</v>
      </c>
      <c r="C337" s="18">
        <v>2.0</v>
      </c>
      <c r="D337" s="17" t="s">
        <v>99</v>
      </c>
      <c r="E337" s="17" t="s">
        <v>120</v>
      </c>
      <c r="F337" s="18">
        <v>111.0</v>
      </c>
      <c r="G337" s="18">
        <v>95.0</v>
      </c>
      <c r="H337" s="18">
        <v>59.0</v>
      </c>
      <c r="I337" s="19">
        <v>0.621</v>
      </c>
      <c r="J337" s="18">
        <v>538.0</v>
      </c>
      <c r="K337" s="18">
        <v>5.7</v>
      </c>
      <c r="L337" s="18">
        <v>2.0</v>
      </c>
      <c r="M337" s="18">
        <v>3.0</v>
      </c>
      <c r="N337" s="18">
        <v>6.0</v>
      </c>
      <c r="O337" s="18">
        <v>3.0</v>
      </c>
      <c r="P337" s="20">
        <f t="shared" si="1"/>
        <v>0.7934297881</v>
      </c>
      <c r="Q337" s="20">
        <f t="shared" si="2"/>
        <v>18.7354064</v>
      </c>
      <c r="R337" s="24"/>
      <c r="S337" s="20">
        <v>0.7934297880512091</v>
      </c>
      <c r="T337" s="22">
        <v>-1.8</v>
      </c>
      <c r="W337" s="26">
        <v>0.95</v>
      </c>
      <c r="X337" s="22">
        <f t="shared" si="14"/>
        <v>-0.1628869786</v>
      </c>
      <c r="Y337" s="20">
        <f t="shared" si="4"/>
        <v>26.65969799</v>
      </c>
      <c r="Z337" s="20">
        <f t="shared" si="6"/>
        <v>7.924291589</v>
      </c>
      <c r="AA337" s="20"/>
      <c r="AB337" s="20">
        <f>IFERROR(__xludf.DUMMYFUNCTION("iferror(PERCENTRANK.INC(FILTER($X$2:$X$421, $U$2:$U$421&lt;3.75), $X337), 1)"),0.135)</f>
        <v>0.135</v>
      </c>
      <c r="AC337" s="20">
        <f>IFERROR(__xludf.DUMMYFUNCTION("iferror(PERCENTRANK.INC(FILTER($X$2:$X$421, $U$2:$U$421&lt;4.25), $X337), 1)"),0.132)</f>
        <v>0.132</v>
      </c>
      <c r="AD337" s="20">
        <f>IFERROR(__xludf.DUMMYFUNCTION("iferror(PERCENTRANK.INC(FILTER($X$2:$X$421, $U$2:$U$421&gt;=4.1), $X337), 0.01)"),0.01)</f>
        <v>0.01</v>
      </c>
      <c r="AE337" s="20"/>
    </row>
    <row r="338" ht="14.25" customHeight="1">
      <c r="A338" s="17" t="s">
        <v>701</v>
      </c>
      <c r="B338" s="17" t="s">
        <v>339</v>
      </c>
      <c r="C338" s="18">
        <v>4.0</v>
      </c>
      <c r="D338" s="17" t="s">
        <v>99</v>
      </c>
      <c r="E338" s="17" t="s">
        <v>105</v>
      </c>
      <c r="F338" s="18">
        <v>27.0</v>
      </c>
      <c r="G338" s="18">
        <v>24.0</v>
      </c>
      <c r="H338" s="18">
        <v>15.0</v>
      </c>
      <c r="I338" s="19">
        <v>0.625</v>
      </c>
      <c r="J338" s="18">
        <v>104.0</v>
      </c>
      <c r="K338" s="18">
        <v>4.3</v>
      </c>
      <c r="L338" s="18">
        <v>1.0</v>
      </c>
      <c r="M338" s="18">
        <v>0.0</v>
      </c>
      <c r="N338" s="18">
        <v>1.0</v>
      </c>
      <c r="O338" s="18">
        <v>0.0</v>
      </c>
      <c r="P338" s="20">
        <f t="shared" si="1"/>
        <v>0.772537963</v>
      </c>
      <c r="Q338" s="20">
        <f t="shared" si="2"/>
        <v>18.49599763</v>
      </c>
      <c r="R338" s="24"/>
      <c r="S338" s="20">
        <v>0.7725379629629627</v>
      </c>
      <c r="T338" s="22">
        <v>1.39</v>
      </c>
      <c r="U338" s="30"/>
      <c r="V338" s="30"/>
      <c r="W338" s="18">
        <v>0.9</v>
      </c>
      <c r="X338" s="22">
        <f t="shared" si="14"/>
        <v>0.312792625</v>
      </c>
      <c r="Y338" s="20">
        <f t="shared" si="4"/>
        <v>27.20716321</v>
      </c>
      <c r="Z338" s="20">
        <f t="shared" si="6"/>
        <v>8.711165579</v>
      </c>
      <c r="AA338" s="20"/>
      <c r="AB338" s="20">
        <f>IFERROR(__xludf.DUMMYFUNCTION("iferror(PERCENTRANK.INC(FILTER($X$2:$X$421, $U$2:$U$421&lt;3.75), $X338), 1)"),0.548)</f>
        <v>0.548</v>
      </c>
      <c r="AC338" s="20">
        <f>IFERROR(__xludf.DUMMYFUNCTION("iferror(PERCENTRANK.INC(FILTER($X$2:$X$421, $U$2:$U$421&lt;4.25), $X338), 1)"),0.537)</f>
        <v>0.537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702</v>
      </c>
      <c r="B339" s="17" t="s">
        <v>667</v>
      </c>
      <c r="C339" s="18">
        <v>11.0</v>
      </c>
      <c r="D339" s="17" t="s">
        <v>99</v>
      </c>
      <c r="E339" s="17" t="s">
        <v>209</v>
      </c>
      <c r="F339" s="18">
        <v>144.0</v>
      </c>
      <c r="G339" s="18">
        <v>123.0</v>
      </c>
      <c r="H339" s="18">
        <v>68.0</v>
      </c>
      <c r="I339" s="19">
        <v>0.553</v>
      </c>
      <c r="J339" s="18">
        <v>592.0</v>
      </c>
      <c r="K339" s="18">
        <v>4.8</v>
      </c>
      <c r="L339" s="18">
        <v>3.0</v>
      </c>
      <c r="M339" s="18">
        <v>3.0</v>
      </c>
      <c r="N339" s="18">
        <v>10.0</v>
      </c>
      <c r="O339" s="18">
        <v>5.0</v>
      </c>
      <c r="P339" s="20">
        <f t="shared" si="1"/>
        <v>0.8075062304</v>
      </c>
      <c r="Q339" s="20">
        <f t="shared" si="2"/>
        <v>18.89671464</v>
      </c>
      <c r="R339" s="24"/>
      <c r="S339" s="20">
        <v>0.8075062303523036</v>
      </c>
      <c r="T339" s="22">
        <v>0.13</v>
      </c>
      <c r="U339" s="30"/>
      <c r="V339" s="30"/>
      <c r="W339" s="18">
        <v>0.9</v>
      </c>
      <c r="X339" s="22">
        <f t="shared" si="14"/>
        <v>0.1285133411</v>
      </c>
      <c r="Y339" s="20">
        <f t="shared" si="4"/>
        <v>26.99507403</v>
      </c>
      <c r="Z339" s="20">
        <f t="shared" si="6"/>
        <v>8.098359385</v>
      </c>
      <c r="AA339" s="20"/>
      <c r="AB339" s="20">
        <f>IFERROR(__xludf.DUMMYFUNCTION("iferror(PERCENTRANK.INC(FILTER($X$2:$X$421, $U$2:$U$421&lt;3.75), $X339), 1)"),0.405)</f>
        <v>0.405</v>
      </c>
      <c r="AC339" s="20">
        <f>IFERROR(__xludf.DUMMYFUNCTION("iferror(PERCENTRANK.INC(FILTER($X$2:$X$421, $U$2:$U$421&lt;4.25), $X339), 1)"),0.397)</f>
        <v>0.397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703</v>
      </c>
      <c r="B340" s="17" t="s">
        <v>704</v>
      </c>
      <c r="C340" s="18">
        <v>1.0</v>
      </c>
      <c r="D340" s="17" t="s">
        <v>99</v>
      </c>
      <c r="E340" s="17" t="s">
        <v>176</v>
      </c>
      <c r="F340" s="18">
        <v>83.0</v>
      </c>
      <c r="G340" s="18">
        <v>70.0</v>
      </c>
      <c r="H340" s="18">
        <v>35.0</v>
      </c>
      <c r="I340" s="19">
        <v>0.5</v>
      </c>
      <c r="J340" s="18">
        <v>343.0</v>
      </c>
      <c r="K340" s="18">
        <v>4.9</v>
      </c>
      <c r="L340" s="18">
        <v>3.0</v>
      </c>
      <c r="M340" s="18">
        <v>2.0</v>
      </c>
      <c r="N340" s="18">
        <v>7.0</v>
      </c>
      <c r="O340" s="18">
        <v>3.0</v>
      </c>
      <c r="P340" s="20">
        <f t="shared" si="1"/>
        <v>0.8052769363</v>
      </c>
      <c r="Q340" s="20">
        <f t="shared" si="2"/>
        <v>18.87116816</v>
      </c>
      <c r="R340" s="24"/>
      <c r="S340" s="20">
        <v>0.8052769363166955</v>
      </c>
      <c r="T340" s="22">
        <v>-7.76</v>
      </c>
      <c r="U340" s="30"/>
      <c r="V340" s="30"/>
      <c r="W340" s="18">
        <v>0.9</v>
      </c>
      <c r="X340" s="22">
        <f t="shared" si="14"/>
        <v>-1.055287614</v>
      </c>
      <c r="Y340" s="20">
        <f t="shared" si="4"/>
        <v>25.63262364</v>
      </c>
      <c r="Z340" s="20">
        <f t="shared" si="6"/>
        <v>6.76145548</v>
      </c>
      <c r="AA340" s="20"/>
      <c r="AB340" s="20">
        <f>IFERROR(__xludf.DUMMYFUNCTION("iferror(PERCENTRANK.INC(FILTER($X$2:$X$421, $U$2:$U$421&lt;3.75), $X340), 1)"),0.013)</f>
        <v>0.013</v>
      </c>
      <c r="AC340" s="20">
        <f>IFERROR(__xludf.DUMMYFUNCTION("iferror(PERCENTRANK.INC(FILTER($X$2:$X$421, $U$2:$U$421&lt;4.25), $X340), 1)"),0.012)</f>
        <v>0.012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486</v>
      </c>
      <c r="C341" s="18">
        <v>4.0</v>
      </c>
      <c r="D341" s="17" t="s">
        <v>99</v>
      </c>
      <c r="E341" s="17" t="s">
        <v>135</v>
      </c>
      <c r="F341" s="18">
        <v>151.0</v>
      </c>
      <c r="G341" s="18">
        <v>128.0</v>
      </c>
      <c r="H341" s="18">
        <v>78.0</v>
      </c>
      <c r="I341" s="19">
        <v>0.609</v>
      </c>
      <c r="J341" s="18">
        <v>711.0</v>
      </c>
      <c r="K341" s="18">
        <v>5.5</v>
      </c>
      <c r="L341" s="18">
        <v>3.0</v>
      </c>
      <c r="M341" s="18">
        <v>4.0</v>
      </c>
      <c r="N341" s="18">
        <v>14.0</v>
      </c>
      <c r="O341" s="18">
        <v>2.0</v>
      </c>
      <c r="P341" s="20">
        <f t="shared" si="1"/>
        <v>0.7978477682</v>
      </c>
      <c r="Q341" s="20">
        <f t="shared" si="2"/>
        <v>18.78603401</v>
      </c>
      <c r="R341" s="25"/>
      <c r="S341" s="20">
        <v>0.7978477682119205</v>
      </c>
      <c r="T341" s="22">
        <v>-14.86</v>
      </c>
      <c r="U341" s="31"/>
      <c r="V341" s="30"/>
      <c r="W341" s="18">
        <v>0.9</v>
      </c>
      <c r="X341" s="22">
        <f t="shared" si="14"/>
        <v>-2.115306693</v>
      </c>
      <c r="Y341" s="20">
        <f t="shared" si="4"/>
        <v>24.41263527</v>
      </c>
      <c r="Z341" s="20">
        <f t="shared" si="6"/>
        <v>5.626601266</v>
      </c>
      <c r="AA341" s="20"/>
      <c r="AB341" s="20">
        <f>IFERROR(__xludf.DUMMYFUNCTION("iferror(PERCENTRANK.INC(FILTER($X$2:$X$421, $U$2:$U$421&lt;3.75), $X341), 1)"),0.008)</f>
        <v>0.008</v>
      </c>
      <c r="AC341" s="20">
        <f>IFERROR(__xludf.DUMMYFUNCTION("iferror(PERCENTRANK.INC(FILTER($X$2:$X$421, $U$2:$U$421&lt;4.25), $X341), 1)"),0.007)</f>
        <v>0.007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539</v>
      </c>
      <c r="C342" s="18">
        <v>10.0</v>
      </c>
      <c r="D342" s="17" t="s">
        <v>99</v>
      </c>
      <c r="E342" s="17" t="s">
        <v>176</v>
      </c>
      <c r="F342" s="18">
        <v>28.0</v>
      </c>
      <c r="G342" s="18">
        <v>23.0</v>
      </c>
      <c r="H342" s="18">
        <v>8.0</v>
      </c>
      <c r="I342" s="19">
        <v>0.348</v>
      </c>
      <c r="J342" s="18">
        <v>109.0</v>
      </c>
      <c r="K342" s="18">
        <v>4.7</v>
      </c>
      <c r="L342" s="18">
        <v>1.0</v>
      </c>
      <c r="M342" s="18">
        <v>0.0</v>
      </c>
      <c r="N342" s="18">
        <v>1.0</v>
      </c>
      <c r="O342" s="18">
        <v>1.0</v>
      </c>
      <c r="P342" s="20">
        <f t="shared" si="1"/>
        <v>0.7971391056</v>
      </c>
      <c r="Q342" s="20">
        <f t="shared" si="2"/>
        <v>18.77791312</v>
      </c>
      <c r="R342" s="24"/>
      <c r="S342" s="20">
        <v>0.7971391055900621</v>
      </c>
      <c r="T342" s="22">
        <v>-1.73</v>
      </c>
      <c r="U342" s="30"/>
      <c r="V342" s="30"/>
      <c r="W342" s="18">
        <v>0.9</v>
      </c>
      <c r="X342" s="22">
        <f t="shared" si="14"/>
        <v>-0.1518862207</v>
      </c>
      <c r="Y342" s="20">
        <f t="shared" si="4"/>
        <v>26.67235889</v>
      </c>
      <c r="Z342" s="20">
        <f t="shared" si="6"/>
        <v>7.894445763</v>
      </c>
      <c r="AA342" s="20"/>
      <c r="AB342" s="20">
        <f>IFERROR(__xludf.DUMMYFUNCTION("iferror(PERCENTRANK.INC(FILTER($X$2:$X$421, $U$2:$U$421&lt;3.75), $X342), 1)"),0.143)</f>
        <v>0.143</v>
      </c>
      <c r="AC342" s="20">
        <f>IFERROR(__xludf.DUMMYFUNCTION("iferror(PERCENTRANK.INC(FILTER($X$2:$X$421, $U$2:$U$421&lt;4.25), $X342), 1)"),0.14)</f>
        <v>0.14</v>
      </c>
      <c r="AD342" s="20">
        <f>IFERROR(__xludf.DUMMYFUNCTION("iferror(PERCENTRANK.INC(FILTER($X$2:$X$421, $U$2:$U$421&gt;=4.1), $X342), 0.01)"),0.01)</f>
        <v>0.01</v>
      </c>
      <c r="AE342" s="20"/>
    </row>
    <row r="343" ht="14.25" customHeight="1">
      <c r="A343" s="17" t="s">
        <v>707</v>
      </c>
      <c r="B343" s="17" t="s">
        <v>360</v>
      </c>
      <c r="C343" s="18">
        <v>10.0</v>
      </c>
      <c r="D343" s="17" t="s">
        <v>99</v>
      </c>
      <c r="E343" s="17" t="s">
        <v>188</v>
      </c>
      <c r="F343" s="18">
        <v>60.0</v>
      </c>
      <c r="G343" s="18">
        <v>47.0</v>
      </c>
      <c r="H343" s="18">
        <v>30.0</v>
      </c>
      <c r="I343" s="19">
        <v>0.638</v>
      </c>
      <c r="J343" s="18">
        <v>327.0</v>
      </c>
      <c r="K343" s="18">
        <v>7.0</v>
      </c>
      <c r="L343" s="18">
        <v>2.0</v>
      </c>
      <c r="M343" s="18">
        <v>3.0</v>
      </c>
      <c r="N343" s="18">
        <v>5.0</v>
      </c>
      <c r="O343" s="18">
        <v>3.0</v>
      </c>
      <c r="P343" s="20">
        <f t="shared" si="1"/>
        <v>0.7516688369</v>
      </c>
      <c r="Q343" s="20">
        <f t="shared" si="2"/>
        <v>18.25684899</v>
      </c>
      <c r="R343" s="24"/>
      <c r="S343" s="20">
        <v>0.7516688368794329</v>
      </c>
      <c r="T343" s="22">
        <v>-2.4</v>
      </c>
      <c r="W343" s="26">
        <v>0.9</v>
      </c>
      <c r="X343" s="22">
        <f t="shared" si="14"/>
        <v>-0.2472496745</v>
      </c>
      <c r="Y343" s="20">
        <f t="shared" si="4"/>
        <v>26.56260397</v>
      </c>
      <c r="Z343" s="20">
        <f t="shared" si="6"/>
        <v>8.305754982</v>
      </c>
      <c r="AA343" s="20"/>
      <c r="AB343" s="20">
        <f>IFERROR(__xludf.DUMMYFUNCTION("iferror(PERCENTRANK.INC(FILTER($X$2:$X$421, $U$2:$U$421&lt;3.75), $X343), 1)"),0.09)</f>
        <v>0.09</v>
      </c>
      <c r="AC343" s="20">
        <f>IFERROR(__xludf.DUMMYFUNCTION("iferror(PERCENTRANK.INC(FILTER($X$2:$X$421, $U$2:$U$421&lt;4.25), $X343), 1)"),0.088)</f>
        <v>0.088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550</v>
      </c>
      <c r="C344" s="18">
        <v>15.0</v>
      </c>
      <c r="D344" s="17" t="s">
        <v>99</v>
      </c>
      <c r="E344" s="17" t="s">
        <v>157</v>
      </c>
      <c r="F344" s="18">
        <v>249.0</v>
      </c>
      <c r="G344" s="18">
        <v>206.0</v>
      </c>
      <c r="H344" s="18">
        <v>124.0</v>
      </c>
      <c r="I344" s="19">
        <v>0.602</v>
      </c>
      <c r="J344" s="18">
        <v>1264.0</v>
      </c>
      <c r="K344" s="18">
        <v>6.1</v>
      </c>
      <c r="L344" s="18">
        <v>7.0</v>
      </c>
      <c r="M344" s="18">
        <v>9.0</v>
      </c>
      <c r="N344" s="18">
        <v>24.0</v>
      </c>
      <c r="O344" s="18">
        <v>13.0</v>
      </c>
      <c r="P344" s="20">
        <f t="shared" si="1"/>
        <v>0.7625430209</v>
      </c>
      <c r="Q344" s="20">
        <f t="shared" si="2"/>
        <v>18.38146113</v>
      </c>
      <c r="R344" s="24"/>
      <c r="S344" s="20">
        <v>0.7625430209381213</v>
      </c>
      <c r="T344" s="22">
        <v>0.54</v>
      </c>
      <c r="W344" s="26">
        <v>0.9</v>
      </c>
      <c r="X344" s="22">
        <f t="shared" si="14"/>
        <v>0.1839433078</v>
      </c>
      <c r="Y344" s="20">
        <f t="shared" si="4"/>
        <v>27.05886902</v>
      </c>
      <c r="Z344" s="20">
        <f t="shared" si="6"/>
        <v>8.677407899</v>
      </c>
      <c r="AA344" s="20"/>
      <c r="AB344" s="20">
        <f>IFERROR(__xludf.DUMMYFUNCTION("iferror(PERCENTRANK.INC(FILTER($X$2:$X$421, $U$2:$U$421&lt;3.75), $X344), 1)"),0.455)</f>
        <v>0.455</v>
      </c>
      <c r="AC344" s="20">
        <f>IFERROR(__xludf.DUMMYFUNCTION("iferror(PERCENTRANK.INC(FILTER($X$2:$X$421, $U$2:$U$421&lt;4.25), $X344), 1)"),0.446)</f>
        <v>0.446</v>
      </c>
      <c r="AD344" s="20">
        <f>IFERROR(__xludf.DUMMYFUNCTION("iferror(PERCENTRANK.INC(FILTER($X$2:$X$421, $U$2:$U$421&gt;=4.1), $X344), 0.01)"),0.01)</f>
        <v>0.01</v>
      </c>
      <c r="AE344" s="20"/>
    </row>
    <row r="345" ht="14.25" customHeight="1">
      <c r="A345" s="17" t="s">
        <v>709</v>
      </c>
      <c r="B345" s="17" t="s">
        <v>145</v>
      </c>
      <c r="C345" s="18">
        <v>11.0</v>
      </c>
      <c r="D345" s="17" t="s">
        <v>99</v>
      </c>
      <c r="E345" s="17" t="s">
        <v>146</v>
      </c>
      <c r="F345" s="18">
        <v>69.0</v>
      </c>
      <c r="G345" s="18">
        <v>64.0</v>
      </c>
      <c r="H345" s="18">
        <v>27.0</v>
      </c>
      <c r="I345" s="19">
        <v>0.422</v>
      </c>
      <c r="J345" s="18">
        <v>358.0</v>
      </c>
      <c r="K345" s="18">
        <v>5.6</v>
      </c>
      <c r="L345" s="18">
        <v>1.0</v>
      </c>
      <c r="M345" s="18">
        <v>2.0</v>
      </c>
      <c r="N345" s="18">
        <v>1.0</v>
      </c>
      <c r="O345" s="18">
        <v>4.0</v>
      </c>
      <c r="P345" s="20">
        <f t="shared" si="1"/>
        <v>0.7288612464</v>
      </c>
      <c r="Q345" s="20">
        <f t="shared" si="2"/>
        <v>17.99548661</v>
      </c>
      <c r="R345" s="24"/>
      <c r="S345" s="20">
        <v>0.7288612463768115</v>
      </c>
      <c r="T345" s="22">
        <v>-1.48</v>
      </c>
      <c r="U345" s="30"/>
      <c r="V345" s="30"/>
      <c r="W345" s="18">
        <v>0.9</v>
      </c>
      <c r="X345" s="22">
        <f t="shared" si="14"/>
        <v>-0.1236037317</v>
      </c>
      <c r="Y345" s="20">
        <f t="shared" si="4"/>
        <v>26.70490954</v>
      </c>
      <c r="Z345" s="20">
        <f t="shared" si="6"/>
        <v>8.709422921</v>
      </c>
      <c r="AA345" s="20"/>
      <c r="AB345" s="20">
        <f>IFERROR(__xludf.DUMMYFUNCTION("iferror(PERCENTRANK.INC(FILTER($X$2:$X$421, $U$2:$U$421&lt;3.75), $X345), 1)"),0.158)</f>
        <v>0.158</v>
      </c>
      <c r="AC345" s="20">
        <f>IFERROR(__xludf.DUMMYFUNCTION("iferror(PERCENTRANK.INC(FILTER($X$2:$X$421, $U$2:$U$421&lt;4.25), $X345), 1)"),0.154)</f>
        <v>0.154</v>
      </c>
      <c r="AD345" s="20">
        <f>IFERROR(__xludf.DUMMYFUNCTION("iferror(PERCENTRANK.INC(FILTER($X$2:$X$421, $U$2:$U$421&gt;=4.1), $X345), 0.01)"),0.01)</f>
        <v>0.01</v>
      </c>
      <c r="AE345" s="20"/>
    </row>
    <row r="346" ht="14.25" customHeight="1">
      <c r="A346" s="17" t="s">
        <v>710</v>
      </c>
      <c r="B346" s="17" t="s">
        <v>711</v>
      </c>
      <c r="C346" s="18">
        <v>7.0</v>
      </c>
      <c r="D346" s="17" t="s">
        <v>99</v>
      </c>
      <c r="E346" s="17" t="s">
        <v>152</v>
      </c>
      <c r="F346" s="18">
        <v>60.0</v>
      </c>
      <c r="G346" s="18">
        <v>58.0</v>
      </c>
      <c r="H346" s="18">
        <v>31.0</v>
      </c>
      <c r="I346" s="19">
        <v>0.534</v>
      </c>
      <c r="J346" s="18">
        <v>323.0</v>
      </c>
      <c r="K346" s="18">
        <v>5.6</v>
      </c>
      <c r="L346" s="18">
        <v>3.0</v>
      </c>
      <c r="M346" s="18">
        <v>3.0</v>
      </c>
      <c r="N346" s="18">
        <v>0.0</v>
      </c>
      <c r="O346" s="18">
        <v>3.0</v>
      </c>
      <c r="P346" s="20">
        <f t="shared" si="1"/>
        <v>0.7647586897</v>
      </c>
      <c r="Q346" s="20">
        <f t="shared" si="2"/>
        <v>18.40685146</v>
      </c>
      <c r="R346" s="25"/>
      <c r="S346" s="20">
        <v>0.7647586896551724</v>
      </c>
      <c r="T346" s="22">
        <v>4.81</v>
      </c>
      <c r="U346" s="31"/>
      <c r="V346" s="30"/>
      <c r="W346" s="18">
        <v>0.95</v>
      </c>
      <c r="X346" s="22">
        <f t="shared" si="14"/>
        <v>0.8304781133</v>
      </c>
      <c r="Y346" s="20">
        <f t="shared" si="4"/>
        <v>27.8029735</v>
      </c>
      <c r="Z346" s="20">
        <f t="shared" si="6"/>
        <v>9.39612204</v>
      </c>
      <c r="AA346" s="20"/>
      <c r="AB346" s="20">
        <f>IFERROR(__xludf.DUMMYFUNCTION("iferror(PERCENTRANK.INC(FILTER($X$2:$X$421, $U$2:$U$421&lt;3.75), $X346), 1)"),0.838)</f>
        <v>0.838</v>
      </c>
      <c r="AC346" s="20">
        <f>IFERROR(__xludf.DUMMYFUNCTION("iferror(PERCENTRANK.INC(FILTER($X$2:$X$421, $U$2:$U$421&lt;4.25), $X346), 1)"),0.821)</f>
        <v>0.821</v>
      </c>
      <c r="AD346" s="20">
        <f>IFERROR(__xludf.DUMMYFUNCTION("iferror(PERCENTRANK.INC(FILTER($X$2:$X$421, $U$2:$U$421&gt;=4.1), $X346), 0.01)"),0.01)</f>
        <v>0.01</v>
      </c>
      <c r="AE346" s="20"/>
    </row>
    <row r="347" ht="14.25" customHeight="1">
      <c r="A347" s="17" t="s">
        <v>712</v>
      </c>
      <c r="B347" s="17" t="s">
        <v>660</v>
      </c>
      <c r="C347" s="18">
        <v>5.0</v>
      </c>
      <c r="D347" s="17" t="s">
        <v>99</v>
      </c>
      <c r="E347" s="17" t="s">
        <v>146</v>
      </c>
      <c r="F347" s="18">
        <v>34.0</v>
      </c>
      <c r="G347" s="18">
        <v>28.0</v>
      </c>
      <c r="H347" s="18">
        <v>12.0</v>
      </c>
      <c r="I347" s="19">
        <v>0.429</v>
      </c>
      <c r="J347" s="18">
        <v>140.0</v>
      </c>
      <c r="K347" s="18">
        <v>5.0</v>
      </c>
      <c r="L347" s="18">
        <v>1.0</v>
      </c>
      <c r="M347" s="18">
        <v>0.0</v>
      </c>
      <c r="N347" s="18">
        <v>5.0</v>
      </c>
      <c r="O347" s="18">
        <v>1.0</v>
      </c>
      <c r="P347" s="20">
        <f t="shared" si="1"/>
        <v>0.7593727479</v>
      </c>
      <c r="Q347" s="20">
        <f t="shared" si="2"/>
        <v>18.34513155</v>
      </c>
      <c r="R347" s="24"/>
      <c r="S347" s="20">
        <v>0.7593727478991597</v>
      </c>
      <c r="T347" s="22">
        <v>-0.57</v>
      </c>
      <c r="W347" s="26">
        <v>0.9</v>
      </c>
      <c r="X347" s="22">
        <f t="shared" si="14"/>
        <v>0.01701532097</v>
      </c>
      <c r="Y347" s="20">
        <f t="shared" si="4"/>
        <v>26.86674965</v>
      </c>
      <c r="Z347" s="20">
        <f t="shared" si="6"/>
        <v>8.5216181</v>
      </c>
      <c r="AA347" s="20"/>
      <c r="AB347" s="20">
        <f>IFERROR(__xludf.DUMMYFUNCTION("iferror(PERCENTRANK.INC(FILTER($X$2:$X$421, $U$2:$U$421&lt;3.75), $X347), 1)"),0.283)</f>
        <v>0.283</v>
      </c>
      <c r="AC347" s="20">
        <f>IFERROR(__xludf.DUMMYFUNCTION("iferror(PERCENTRANK.INC(FILTER($X$2:$X$421, $U$2:$U$421&lt;4.25), $X347), 1)"),0.277)</f>
        <v>0.277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511</v>
      </c>
      <c r="C348" s="18">
        <v>16.0</v>
      </c>
      <c r="D348" s="17" t="s">
        <v>99</v>
      </c>
      <c r="E348" s="17" t="s">
        <v>102</v>
      </c>
      <c r="F348" s="18">
        <v>76.0</v>
      </c>
      <c r="G348" s="18">
        <v>59.0</v>
      </c>
      <c r="H348" s="18">
        <v>30.0</v>
      </c>
      <c r="I348" s="19">
        <v>0.508</v>
      </c>
      <c r="J348" s="18">
        <v>427.0</v>
      </c>
      <c r="K348" s="18">
        <v>7.2</v>
      </c>
      <c r="L348" s="18">
        <v>3.0</v>
      </c>
      <c r="M348" s="18">
        <v>4.0</v>
      </c>
      <c r="N348" s="18">
        <v>7.0</v>
      </c>
      <c r="O348" s="18">
        <v>7.0</v>
      </c>
      <c r="P348" s="20">
        <f t="shared" si="1"/>
        <v>0.7261354826</v>
      </c>
      <c r="Q348" s="20">
        <f t="shared" si="2"/>
        <v>17.96425087</v>
      </c>
      <c r="R348" s="24"/>
      <c r="S348" s="20">
        <v>0.726135482604817</v>
      </c>
      <c r="T348" s="22">
        <v>0.39</v>
      </c>
      <c r="U348" s="30"/>
      <c r="V348" s="30"/>
      <c r="W348" s="18">
        <v>1.0</v>
      </c>
      <c r="X348" s="22">
        <f t="shared" si="14"/>
        <v>0.1565282902</v>
      </c>
      <c r="Y348" s="20">
        <f t="shared" si="4"/>
        <v>27.02731676</v>
      </c>
      <c r="Z348" s="20">
        <f t="shared" si="6"/>
        <v>9.063065891</v>
      </c>
      <c r="AA348" s="20"/>
      <c r="AB348" s="20">
        <f>IFERROR(__xludf.DUMMYFUNCTION("iferror(PERCENTRANK.INC(FILTER($X$2:$X$421, $U$2:$U$421&lt;3.75), $X348), 1)"),0.43)</f>
        <v>0.43</v>
      </c>
      <c r="AC348" s="20">
        <f>IFERROR(__xludf.DUMMYFUNCTION("iferror(PERCENTRANK.INC(FILTER($X$2:$X$421, $U$2:$U$421&lt;4.25), $X348), 1)"),0.422)</f>
        <v>0.422</v>
      </c>
      <c r="AD348" s="20">
        <f>IFERROR(__xludf.DUMMYFUNCTION("iferror(PERCENTRANK.INC(FILTER($X$2:$X$421, $U$2:$U$421&gt;=4.1), $X348), 0.01)"),0.01)</f>
        <v>0.01</v>
      </c>
      <c r="AE348" s="20"/>
    </row>
    <row r="349" ht="14.25" customHeight="1">
      <c r="A349" s="17" t="s">
        <v>714</v>
      </c>
      <c r="B349" s="17" t="s">
        <v>662</v>
      </c>
      <c r="C349" s="18">
        <v>15.0</v>
      </c>
      <c r="D349" s="17" t="s">
        <v>99</v>
      </c>
      <c r="E349" s="17" t="s">
        <v>135</v>
      </c>
      <c r="F349" s="18">
        <v>29.0</v>
      </c>
      <c r="G349" s="18">
        <v>22.0</v>
      </c>
      <c r="H349" s="18">
        <v>11.0</v>
      </c>
      <c r="I349" s="19">
        <v>0.5</v>
      </c>
      <c r="J349" s="18">
        <v>125.0</v>
      </c>
      <c r="K349" s="18">
        <v>5.7</v>
      </c>
      <c r="L349" s="18">
        <v>0.0</v>
      </c>
      <c r="M349" s="18">
        <v>0.0</v>
      </c>
      <c r="N349" s="18">
        <v>3.0</v>
      </c>
      <c r="O349" s="18">
        <v>2.0</v>
      </c>
      <c r="P349" s="20">
        <f t="shared" si="1"/>
        <v>0.7253244514</v>
      </c>
      <c r="Q349" s="20">
        <f t="shared" si="2"/>
        <v>17.9549569</v>
      </c>
      <c r="R349" s="25"/>
      <c r="S349" s="20">
        <v>0.725324451410658</v>
      </c>
      <c r="T349" s="22">
        <v>-1.2</v>
      </c>
      <c r="U349" s="31"/>
      <c r="V349" s="30"/>
      <c r="W349" s="18">
        <v>0.9</v>
      </c>
      <c r="X349" s="22">
        <f t="shared" si="14"/>
        <v>-0.08208119906</v>
      </c>
      <c r="Y349" s="20">
        <f t="shared" si="4"/>
        <v>26.7526983</v>
      </c>
      <c r="Z349" s="20">
        <f t="shared" si="6"/>
        <v>8.797741404</v>
      </c>
      <c r="AA349" s="20"/>
      <c r="AB349" s="20">
        <f>IFERROR(__xludf.DUMMYFUNCTION("iferror(PERCENTRANK.INC(FILTER($X$2:$X$421, $U$2:$U$421&lt;3.75), $X349), 1)"),0.188)</f>
        <v>0.188</v>
      </c>
      <c r="AC349" s="20">
        <f>IFERROR(__xludf.DUMMYFUNCTION("iferror(PERCENTRANK.INC(FILTER($X$2:$X$421, $U$2:$U$421&lt;4.25), $X349), 1)"),0.184)</f>
        <v>0.184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715</v>
      </c>
      <c r="B350" s="17" t="s">
        <v>127</v>
      </c>
      <c r="C350" s="18">
        <v>18.0</v>
      </c>
      <c r="D350" s="17" t="s">
        <v>99</v>
      </c>
      <c r="E350" s="17" t="s">
        <v>111</v>
      </c>
      <c r="F350" s="18">
        <v>110.0</v>
      </c>
      <c r="G350" s="18">
        <v>85.0</v>
      </c>
      <c r="H350" s="18">
        <v>52.0</v>
      </c>
      <c r="I350" s="19">
        <v>0.612</v>
      </c>
      <c r="J350" s="18">
        <v>546.0</v>
      </c>
      <c r="K350" s="18">
        <v>6.4</v>
      </c>
      <c r="L350" s="18">
        <v>2.0</v>
      </c>
      <c r="M350" s="18">
        <v>4.0</v>
      </c>
      <c r="N350" s="18">
        <v>5.0</v>
      </c>
      <c r="O350" s="18">
        <v>4.0</v>
      </c>
      <c r="P350" s="20">
        <f t="shared" si="1"/>
        <v>0.6939823957</v>
      </c>
      <c r="Q350" s="20">
        <f t="shared" si="2"/>
        <v>17.59579427</v>
      </c>
      <c r="R350" s="24"/>
      <c r="S350" s="20">
        <v>0.6939823957219252</v>
      </c>
      <c r="T350" s="22">
        <v>0.1</v>
      </c>
      <c r="W350" s="26">
        <v>0.9</v>
      </c>
      <c r="X350" s="22">
        <f t="shared" si="14"/>
        <v>0.1190973594</v>
      </c>
      <c r="Y350" s="20">
        <f t="shared" si="4"/>
        <v>26.98423706</v>
      </c>
      <c r="Z350" s="20">
        <f t="shared" si="6"/>
        <v>9.38844279</v>
      </c>
      <c r="AA350" s="20"/>
      <c r="AB350" s="20">
        <f>IFERROR(__xludf.DUMMYFUNCTION("iferror(PERCENTRANK.INC(FILTER($X$2:$X$421, $U$2:$U$421&lt;3.75), $X350), 1)"),0.39)</f>
        <v>0.39</v>
      </c>
      <c r="AC350" s="20">
        <f>IFERROR(__xludf.DUMMYFUNCTION("iferror(PERCENTRANK.INC(FILTER($X$2:$X$421, $U$2:$U$421&lt;4.25), $X350), 1)"),0.382)</f>
        <v>0.382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716</v>
      </c>
      <c r="B351" s="17" t="s">
        <v>717</v>
      </c>
      <c r="C351" s="18">
        <v>3.0</v>
      </c>
      <c r="D351" s="17" t="s">
        <v>99</v>
      </c>
      <c r="E351" s="17" t="s">
        <v>149</v>
      </c>
      <c r="F351" s="18">
        <v>56.0</v>
      </c>
      <c r="G351" s="18">
        <v>47.0</v>
      </c>
      <c r="H351" s="18">
        <v>28.0</v>
      </c>
      <c r="I351" s="19">
        <v>0.596</v>
      </c>
      <c r="J351" s="18">
        <v>305.0</v>
      </c>
      <c r="K351" s="18">
        <v>6.5</v>
      </c>
      <c r="L351" s="18">
        <v>2.0</v>
      </c>
      <c r="M351" s="18">
        <v>3.0</v>
      </c>
      <c r="N351" s="18">
        <v>4.0</v>
      </c>
      <c r="O351" s="18">
        <v>2.0</v>
      </c>
      <c r="P351" s="20">
        <f t="shared" si="1"/>
        <v>0.6927008754</v>
      </c>
      <c r="Q351" s="20">
        <f t="shared" si="2"/>
        <v>17.58110876</v>
      </c>
      <c r="R351" s="24"/>
      <c r="S351" s="20">
        <v>0.6927008753799392</v>
      </c>
      <c r="T351" s="22">
        <v>-1.71</v>
      </c>
      <c r="U351" s="30"/>
      <c r="V351" s="30"/>
      <c r="W351" s="18">
        <v>0.95</v>
      </c>
      <c r="X351" s="22">
        <f t="shared" si="14"/>
        <v>-0.1629853818</v>
      </c>
      <c r="Y351" s="20">
        <f t="shared" si="4"/>
        <v>26.65958473</v>
      </c>
      <c r="Z351" s="20">
        <f t="shared" si="6"/>
        <v>9.078475974</v>
      </c>
      <c r="AA351" s="20"/>
      <c r="AB351" s="20">
        <f>IFERROR(__xludf.DUMMYFUNCTION("iferror(PERCENTRANK.INC(FILTER($X$2:$X$421, $U$2:$U$421&lt;3.75), $X351), 1)"),0.133)</f>
        <v>0.133</v>
      </c>
      <c r="AC351" s="20">
        <f>IFERROR(__xludf.DUMMYFUNCTION("iferror(PERCENTRANK.INC(FILTER($X$2:$X$421, $U$2:$U$421&lt;4.25), $X351), 1)"),0.13)</f>
        <v>0.13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156</v>
      </c>
      <c r="C352" s="18">
        <v>11.0</v>
      </c>
      <c r="D352" s="17" t="s">
        <v>99</v>
      </c>
      <c r="E352" s="17" t="s">
        <v>157</v>
      </c>
      <c r="F352" s="18">
        <v>66.0</v>
      </c>
      <c r="G352" s="18">
        <v>57.0</v>
      </c>
      <c r="H352" s="18">
        <v>32.0</v>
      </c>
      <c r="I352" s="19">
        <v>0.561</v>
      </c>
      <c r="J352" s="18">
        <v>283.0</v>
      </c>
      <c r="K352" s="18">
        <v>5.0</v>
      </c>
      <c r="L352" s="18">
        <v>2.0</v>
      </c>
      <c r="M352" s="18">
        <v>2.0</v>
      </c>
      <c r="N352" s="18">
        <v>3.0</v>
      </c>
      <c r="O352" s="18">
        <v>3.0</v>
      </c>
      <c r="P352" s="20">
        <f t="shared" si="1"/>
        <v>0.6827671914</v>
      </c>
      <c r="Q352" s="20">
        <f t="shared" si="2"/>
        <v>17.46727423</v>
      </c>
      <c r="R352" s="24"/>
      <c r="S352" s="20">
        <v>0.6827671913875598</v>
      </c>
      <c r="T352" s="22">
        <v>-0.71</v>
      </c>
      <c r="W352" s="26">
        <v>0.9</v>
      </c>
      <c r="X352" s="22">
        <f t="shared" si="14"/>
        <v>-0.009205675227</v>
      </c>
      <c r="Y352" s="20">
        <f t="shared" si="4"/>
        <v>26.8365716</v>
      </c>
      <c r="Z352" s="20">
        <f t="shared" si="6"/>
        <v>9.369297365</v>
      </c>
      <c r="AA352" s="20"/>
      <c r="AB352" s="20">
        <f>IFERROR(__xludf.DUMMYFUNCTION("iferror(PERCENTRANK.INC(FILTER($X$2:$X$421, $U$2:$U$421&lt;3.75), $X352), 1)"),0.243)</f>
        <v>0.243</v>
      </c>
      <c r="AC352" s="20">
        <f>IFERROR(__xludf.DUMMYFUNCTION("iferror(PERCENTRANK.INC(FILTER($X$2:$X$421, $U$2:$U$421&lt;4.25), $X352), 1)"),0.238)</f>
        <v>0.238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401</v>
      </c>
      <c r="C353" s="18">
        <v>16.0</v>
      </c>
      <c r="D353" s="17" t="s">
        <v>99</v>
      </c>
      <c r="E353" s="17" t="s">
        <v>209</v>
      </c>
      <c r="F353" s="18">
        <v>103.0</v>
      </c>
      <c r="G353" s="18">
        <v>98.0</v>
      </c>
      <c r="H353" s="18">
        <v>46.0</v>
      </c>
      <c r="I353" s="19">
        <v>0.469</v>
      </c>
      <c r="J353" s="18">
        <v>584.0</v>
      </c>
      <c r="K353" s="18">
        <v>6.0</v>
      </c>
      <c r="L353" s="18">
        <v>2.0</v>
      </c>
      <c r="M353" s="18">
        <v>4.0</v>
      </c>
      <c r="N353" s="18">
        <v>3.0</v>
      </c>
      <c r="O353" s="18">
        <v>7.0</v>
      </c>
      <c r="P353" s="20">
        <f t="shared" si="1"/>
        <v>0.6642139293</v>
      </c>
      <c r="Q353" s="20">
        <f t="shared" si="2"/>
        <v>17.25466411</v>
      </c>
      <c r="R353" s="24"/>
      <c r="S353" s="20">
        <v>0.6642139292649099</v>
      </c>
      <c r="T353" s="22">
        <v>-0.85</v>
      </c>
      <c r="W353" s="26">
        <v>0.9</v>
      </c>
      <c r="X353" s="22">
        <f t="shared" si="14"/>
        <v>-0.03783111955</v>
      </c>
      <c r="Y353" s="20">
        <f t="shared" si="4"/>
        <v>26.80362624</v>
      </c>
      <c r="Z353" s="20">
        <f t="shared" si="6"/>
        <v>9.54896213</v>
      </c>
      <c r="AA353" s="20"/>
      <c r="AB353" s="20">
        <f>IFERROR(__xludf.DUMMYFUNCTION("iferror(PERCENTRANK.INC(FILTER($X$2:$X$421, $U$2:$U$421&lt;3.75), $X353), 1)"),0.22)</f>
        <v>0.22</v>
      </c>
      <c r="AC353" s="20">
        <f>IFERROR(__xludf.DUMMYFUNCTION("iferror(PERCENTRANK.INC(FILTER($X$2:$X$421, $U$2:$U$421&lt;4.25), $X353), 1)"),0.216)</f>
        <v>0.216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447</v>
      </c>
      <c r="C354" s="18">
        <v>1.0</v>
      </c>
      <c r="D354" s="17" t="s">
        <v>99</v>
      </c>
      <c r="E354" s="17" t="s">
        <v>146</v>
      </c>
      <c r="F354" s="18">
        <v>116.0</v>
      </c>
      <c r="G354" s="18">
        <v>106.0</v>
      </c>
      <c r="H354" s="18">
        <v>53.0</v>
      </c>
      <c r="I354" s="19">
        <v>0.5</v>
      </c>
      <c r="J354" s="18">
        <v>550.0</v>
      </c>
      <c r="K354" s="18">
        <v>5.2</v>
      </c>
      <c r="L354" s="18">
        <v>5.0</v>
      </c>
      <c r="M354" s="18">
        <v>5.0</v>
      </c>
      <c r="N354" s="18">
        <v>5.0</v>
      </c>
      <c r="O354" s="18">
        <v>7.0</v>
      </c>
      <c r="P354" s="20">
        <f t="shared" si="1"/>
        <v>0.675566363</v>
      </c>
      <c r="Q354" s="20">
        <f t="shared" si="2"/>
        <v>17.38475672</v>
      </c>
      <c r="R354" s="24"/>
      <c r="S354" s="20">
        <v>0.6755663630448925</v>
      </c>
      <c r="T354" s="22">
        <v>-1.69</v>
      </c>
      <c r="U354" s="30"/>
      <c r="V354" s="30"/>
      <c r="W354" s="18">
        <v>0.9</v>
      </c>
      <c r="X354" s="22">
        <f t="shared" si="14"/>
        <v>-0.1521650455</v>
      </c>
      <c r="Y354" s="20">
        <f t="shared" si="4"/>
        <v>26.67203798</v>
      </c>
      <c r="Z354" s="20">
        <f t="shared" si="6"/>
        <v>9.287281262</v>
      </c>
      <c r="AA354" s="20"/>
      <c r="AB354" s="20">
        <f>IFERROR(__xludf.DUMMYFUNCTION("iferror(PERCENTRANK.INC(FILTER($X$2:$X$421, $U$2:$U$421&lt;3.75), $X354), 1)"),0.14)</f>
        <v>0.14</v>
      </c>
      <c r="AC354" s="20">
        <f>IFERROR(__xludf.DUMMYFUNCTION("iferror(PERCENTRANK.INC(FILTER($X$2:$X$421, $U$2:$U$421&lt;4.25), $X354), 1)"),0.137)</f>
        <v>0.137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351</v>
      </c>
      <c r="C355" s="18">
        <v>10.0</v>
      </c>
      <c r="D355" s="17" t="s">
        <v>99</v>
      </c>
      <c r="E355" s="17" t="s">
        <v>130</v>
      </c>
      <c r="F355" s="18">
        <v>26.0</v>
      </c>
      <c r="G355" s="18">
        <v>19.0</v>
      </c>
      <c r="H355" s="18">
        <v>10.0</v>
      </c>
      <c r="I355" s="19">
        <v>0.526</v>
      </c>
      <c r="J355" s="18">
        <v>141.0</v>
      </c>
      <c r="K355" s="18">
        <v>7.4</v>
      </c>
      <c r="L355" s="18">
        <v>1.0</v>
      </c>
      <c r="M355" s="18">
        <v>2.0</v>
      </c>
      <c r="N355" s="18">
        <v>3.0</v>
      </c>
      <c r="O355" s="18">
        <v>2.0</v>
      </c>
      <c r="P355" s="20">
        <f t="shared" si="1"/>
        <v>0.6728868583</v>
      </c>
      <c r="Q355" s="20">
        <f t="shared" si="2"/>
        <v>17.35405108</v>
      </c>
      <c r="R355" s="24"/>
      <c r="S355" s="20">
        <v>0.6728868582995954</v>
      </c>
      <c r="T355" s="22">
        <v>-3.37</v>
      </c>
      <c r="W355" s="26">
        <v>1.0</v>
      </c>
      <c r="X355" s="22">
        <f t="shared" si="14"/>
        <v>-0.4096136227</v>
      </c>
      <c r="Y355" s="20">
        <f t="shared" si="4"/>
        <v>26.3757374</v>
      </c>
      <c r="Z355" s="20">
        <f t="shared" si="6"/>
        <v>9.021686322</v>
      </c>
      <c r="AA355" s="20"/>
      <c r="AB355" s="20">
        <f>IFERROR(__xludf.DUMMYFUNCTION("iferror(PERCENTRANK.INC(FILTER($X$2:$X$421, $U$2:$U$421&lt;3.75), $X355), 1)"),0.065)</f>
        <v>0.065</v>
      </c>
      <c r="AC355" s="20">
        <f>IFERROR(__xludf.DUMMYFUNCTION("iferror(PERCENTRANK.INC(FILTER($X$2:$X$421, $U$2:$U$421&lt;4.25), $X355), 1)"),0.064)</f>
        <v>0.064</v>
      </c>
      <c r="AD355" s="20">
        <f>IFERROR(__xludf.DUMMYFUNCTION("iferror(PERCENTRANK.INC(FILTER($X$2:$X$421, $U$2:$U$421&gt;=4.1), $X355), 0.01)"),0.01)</f>
        <v>0.01</v>
      </c>
      <c r="AE355" s="20"/>
    </row>
    <row r="356" ht="14.25" customHeight="1">
      <c r="A356" s="17" t="s">
        <v>722</v>
      </c>
      <c r="B356" s="17" t="s">
        <v>643</v>
      </c>
      <c r="C356" s="18">
        <v>18.0</v>
      </c>
      <c r="D356" s="17" t="s">
        <v>99</v>
      </c>
      <c r="E356" s="17" t="s">
        <v>100</v>
      </c>
      <c r="F356" s="18">
        <v>42.0</v>
      </c>
      <c r="G356" s="18">
        <v>32.0</v>
      </c>
      <c r="H356" s="18">
        <v>18.0</v>
      </c>
      <c r="I356" s="19">
        <v>0.563</v>
      </c>
      <c r="J356" s="18">
        <v>223.0</v>
      </c>
      <c r="K356" s="18">
        <v>7.0</v>
      </c>
      <c r="L356" s="18">
        <v>1.0</v>
      </c>
      <c r="M356" s="18">
        <v>2.0</v>
      </c>
      <c r="N356" s="18">
        <v>6.0</v>
      </c>
      <c r="O356" s="18">
        <v>2.0</v>
      </c>
      <c r="P356" s="20">
        <f t="shared" si="1"/>
        <v>0.6894838571</v>
      </c>
      <c r="Q356" s="20">
        <f t="shared" si="2"/>
        <v>17.54424351</v>
      </c>
      <c r="R356" s="24"/>
      <c r="S356" s="20">
        <v>0.6894838571428571</v>
      </c>
      <c r="T356" s="22">
        <v>-1.26</v>
      </c>
      <c r="U356" s="30"/>
      <c r="V356" s="30"/>
      <c r="W356" s="18">
        <v>0.9</v>
      </c>
      <c r="X356" s="22">
        <f t="shared" si="14"/>
        <v>-0.08557742143</v>
      </c>
      <c r="Y356" s="20">
        <f t="shared" si="4"/>
        <v>26.74867446</v>
      </c>
      <c r="Z356" s="20">
        <f t="shared" si="6"/>
        <v>9.204430952</v>
      </c>
      <c r="AA356" s="20"/>
      <c r="AB356" s="20">
        <f>IFERROR(__xludf.DUMMYFUNCTION("iferror(PERCENTRANK.INC(FILTER($X$2:$X$421, $U$2:$U$421&lt;3.75), $X356), 1)"),0.185)</f>
        <v>0.185</v>
      </c>
      <c r="AC356" s="20">
        <f>IFERROR(__xludf.DUMMYFUNCTION("iferror(PERCENTRANK.INC(FILTER($X$2:$X$421, $U$2:$U$421&lt;4.25), $X356), 1)"),0.181)</f>
        <v>0.181</v>
      </c>
      <c r="AD356" s="20">
        <f>IFERROR(__xludf.DUMMYFUNCTION("iferror(PERCENTRANK.INC(FILTER($X$2:$X$421, $U$2:$U$421&gt;=4.1), $X356), 0.01)"),0.01)</f>
        <v>0.01</v>
      </c>
      <c r="AE356" s="20"/>
    </row>
    <row r="357" ht="14.25" customHeight="1">
      <c r="A357" s="17" t="s">
        <v>723</v>
      </c>
      <c r="B357" s="17" t="s">
        <v>724</v>
      </c>
      <c r="C357" s="18">
        <v>6.0</v>
      </c>
      <c r="D357" s="17" t="s">
        <v>99</v>
      </c>
      <c r="E357" s="17" t="s">
        <v>125</v>
      </c>
      <c r="F357" s="18">
        <v>202.0</v>
      </c>
      <c r="G357" s="18">
        <v>181.0</v>
      </c>
      <c r="H357" s="18">
        <v>113.0</v>
      </c>
      <c r="I357" s="19">
        <v>0.624</v>
      </c>
      <c r="J357" s="18">
        <v>1046.0</v>
      </c>
      <c r="K357" s="18">
        <v>5.8</v>
      </c>
      <c r="L357" s="18">
        <v>6.0</v>
      </c>
      <c r="M357" s="18">
        <v>8.0</v>
      </c>
      <c r="N357" s="18">
        <v>11.0</v>
      </c>
      <c r="O357" s="18">
        <v>11.0</v>
      </c>
      <c r="P357" s="20">
        <f t="shared" si="1"/>
        <v>0.6700937699</v>
      </c>
      <c r="Q357" s="20">
        <f t="shared" si="2"/>
        <v>17.32204383</v>
      </c>
      <c r="R357" s="24"/>
      <c r="S357" s="20">
        <v>0.6700937699250588</v>
      </c>
      <c r="T357" s="22">
        <v>0.06</v>
      </c>
      <c r="W357" s="26">
        <v>0.95</v>
      </c>
      <c r="X357" s="22">
        <f t="shared" si="14"/>
        <v>0.1044883622</v>
      </c>
      <c r="Y357" s="20">
        <f t="shared" si="4"/>
        <v>26.9674234</v>
      </c>
      <c r="Z357" s="20">
        <f t="shared" si="6"/>
        <v>9.645379566</v>
      </c>
      <c r="AA357" s="20"/>
      <c r="AB357" s="20">
        <f>IFERROR(__xludf.DUMMYFUNCTION("iferror(PERCENTRANK.INC(FILTER($X$2:$X$421, $U$2:$U$421&lt;3.75), $X357), 1)"),0.375)</f>
        <v>0.375</v>
      </c>
      <c r="AC357" s="20">
        <f>IFERROR(__xludf.DUMMYFUNCTION("iferror(PERCENTRANK.INC(FILTER($X$2:$X$421, $U$2:$U$421&lt;4.25), $X357), 1)"),0.368)</f>
        <v>0.368</v>
      </c>
      <c r="AD357" s="20">
        <f>IFERROR(__xludf.DUMMYFUNCTION("iferror(PERCENTRANK.INC(FILTER($X$2:$X$421, $U$2:$U$421&gt;=4.1), $X357), 0.01)"),0.01)</f>
        <v>0.01</v>
      </c>
      <c r="AE357" s="20"/>
    </row>
    <row r="358" ht="14.25" customHeight="1">
      <c r="A358" s="17" t="s">
        <v>725</v>
      </c>
      <c r="B358" s="17" t="s">
        <v>463</v>
      </c>
      <c r="C358" s="18">
        <v>2.0</v>
      </c>
      <c r="D358" s="17" t="s">
        <v>99</v>
      </c>
      <c r="E358" s="17" t="s">
        <v>100</v>
      </c>
      <c r="F358" s="18">
        <v>95.0</v>
      </c>
      <c r="G358" s="18">
        <v>78.0</v>
      </c>
      <c r="H358" s="18">
        <v>41.0</v>
      </c>
      <c r="I358" s="19">
        <v>0.526</v>
      </c>
      <c r="J358" s="18">
        <v>454.0</v>
      </c>
      <c r="K358" s="18">
        <v>5.8</v>
      </c>
      <c r="L358" s="18">
        <v>0.0</v>
      </c>
      <c r="M358" s="18">
        <v>2.0</v>
      </c>
      <c r="N358" s="18">
        <v>8.0</v>
      </c>
      <c r="O358" s="18">
        <v>3.0</v>
      </c>
      <c r="P358" s="20">
        <f t="shared" si="1"/>
        <v>0.6639022429</v>
      </c>
      <c r="Q358" s="20">
        <f t="shared" si="2"/>
        <v>17.25109236</v>
      </c>
      <c r="R358" s="24"/>
      <c r="S358" s="20">
        <v>0.6639022429149799</v>
      </c>
      <c r="T358" s="22">
        <v>0.99</v>
      </c>
      <c r="U358" s="30"/>
      <c r="V358" s="30"/>
      <c r="W358" s="18">
        <v>0.9</v>
      </c>
      <c r="X358" s="22">
        <f t="shared" si="14"/>
        <v>0.2431060696</v>
      </c>
      <c r="Y358" s="20">
        <f t="shared" si="4"/>
        <v>27.12696014</v>
      </c>
      <c r="Z358" s="20">
        <f t="shared" si="6"/>
        <v>9.875867784</v>
      </c>
      <c r="AA358" s="20"/>
      <c r="AB358" s="20">
        <f>IFERROR(__xludf.DUMMYFUNCTION("iferror(PERCENTRANK.INC(FILTER($X$2:$X$421, $U$2:$U$421&lt;3.75), $X358), 1)"),0.5)</f>
        <v>0.5</v>
      </c>
      <c r="AC358" s="20">
        <f>IFERROR(__xludf.DUMMYFUNCTION("iferror(PERCENTRANK.INC(FILTER($X$2:$X$421, $U$2:$U$421&lt;4.25), $X358), 1)"),0.49)</f>
        <v>0.49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726</v>
      </c>
      <c r="B359" s="17" t="s">
        <v>727</v>
      </c>
      <c r="C359" s="18">
        <v>6.0</v>
      </c>
      <c r="D359" s="17" t="s">
        <v>99</v>
      </c>
      <c r="E359" s="17" t="s">
        <v>102</v>
      </c>
      <c r="F359" s="18">
        <v>312.0</v>
      </c>
      <c r="G359" s="18">
        <v>276.0</v>
      </c>
      <c r="H359" s="18">
        <v>163.0</v>
      </c>
      <c r="I359" s="19">
        <v>0.591</v>
      </c>
      <c r="J359" s="18">
        <v>1537.0</v>
      </c>
      <c r="K359" s="18">
        <v>5.6</v>
      </c>
      <c r="L359" s="18">
        <v>3.0</v>
      </c>
      <c r="M359" s="18">
        <v>8.0</v>
      </c>
      <c r="N359" s="18">
        <v>19.0</v>
      </c>
      <c r="O359" s="18">
        <v>14.0</v>
      </c>
      <c r="P359" s="20">
        <f t="shared" si="1"/>
        <v>0.676259854</v>
      </c>
      <c r="Q359" s="20">
        <f t="shared" si="2"/>
        <v>17.39270374</v>
      </c>
      <c r="R359" s="24"/>
      <c r="S359" s="20">
        <v>0.6762598539576365</v>
      </c>
      <c r="T359" s="22">
        <v>-1.8</v>
      </c>
      <c r="W359" s="26">
        <v>1.0</v>
      </c>
      <c r="X359" s="22">
        <f t="shared" si="14"/>
        <v>-0.1787049197</v>
      </c>
      <c r="Y359" s="20">
        <f t="shared" si="4"/>
        <v>26.64149293</v>
      </c>
      <c r="Z359" s="20">
        <f t="shared" si="6"/>
        <v>9.248789188</v>
      </c>
      <c r="AA359" s="20"/>
      <c r="AB359" s="20">
        <f>IFERROR(__xludf.DUMMYFUNCTION("iferror(PERCENTRANK.INC(FILTER($X$2:$X$421, $U$2:$U$421&lt;3.75), $X359), 1)"),0.123)</f>
        <v>0.123</v>
      </c>
      <c r="AC359" s="20">
        <f>IFERROR(__xludf.DUMMYFUNCTION("iferror(PERCENTRANK.INC(FILTER($X$2:$X$421, $U$2:$U$421&lt;4.25), $X359), 1)"),0.12)</f>
        <v>0.12</v>
      </c>
      <c r="AD359" s="20">
        <f>IFERROR(__xludf.DUMMYFUNCTION("iferror(PERCENTRANK.INC(FILTER($X$2:$X$421, $U$2:$U$421&gt;=4.1), $X359), 0.01)"),0.01)</f>
        <v>0.01</v>
      </c>
      <c r="AE359" s="20"/>
    </row>
    <row r="360" ht="14.25" customHeight="1">
      <c r="A360" s="17" t="s">
        <v>728</v>
      </c>
      <c r="B360" s="17" t="s">
        <v>386</v>
      </c>
      <c r="C360" s="18">
        <v>11.0</v>
      </c>
      <c r="D360" s="17" t="s">
        <v>99</v>
      </c>
      <c r="E360" s="17" t="s">
        <v>152</v>
      </c>
      <c r="F360" s="18">
        <v>98.0</v>
      </c>
      <c r="G360" s="18">
        <v>96.0</v>
      </c>
      <c r="H360" s="18">
        <v>55.0</v>
      </c>
      <c r="I360" s="19">
        <v>0.573</v>
      </c>
      <c r="J360" s="18">
        <v>498.0</v>
      </c>
      <c r="K360" s="18">
        <v>5.2</v>
      </c>
      <c r="L360" s="18">
        <v>3.0</v>
      </c>
      <c r="M360" s="18">
        <v>4.0</v>
      </c>
      <c r="N360" s="18">
        <v>1.0</v>
      </c>
      <c r="O360" s="18">
        <v>2.0</v>
      </c>
      <c r="P360" s="20">
        <f t="shared" si="1"/>
        <v>0.6635402517</v>
      </c>
      <c r="Q360" s="20">
        <f t="shared" si="2"/>
        <v>17.24694414</v>
      </c>
      <c r="R360" s="24"/>
      <c r="S360" s="20">
        <v>0.6635402517006803</v>
      </c>
      <c r="T360" s="22">
        <v>-0.83</v>
      </c>
      <c r="U360" s="30"/>
      <c r="V360" s="30"/>
      <c r="W360" s="18">
        <v>0.95</v>
      </c>
      <c r="X360" s="22">
        <f t="shared" si="14"/>
        <v>-0.02496896224</v>
      </c>
      <c r="Y360" s="20">
        <f t="shared" si="4"/>
        <v>26.81842945</v>
      </c>
      <c r="Z360" s="20">
        <f t="shared" si="6"/>
        <v>9.57148531</v>
      </c>
      <c r="AA360" s="20"/>
      <c r="AB360" s="20">
        <f>IFERROR(__xludf.DUMMYFUNCTION("iferror(PERCENTRANK.INC(FILTER($X$2:$X$421, $U$2:$U$421&lt;3.75), $X360), 1)"),0.225)</f>
        <v>0.225</v>
      </c>
      <c r="AC360" s="20">
        <f>IFERROR(__xludf.DUMMYFUNCTION("iferror(PERCENTRANK.INC(FILTER($X$2:$X$421, $U$2:$U$421&lt;4.25), $X360), 1)"),0.221)</f>
        <v>0.221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727</v>
      </c>
      <c r="C361" s="18">
        <v>18.0</v>
      </c>
      <c r="D361" s="17" t="s">
        <v>99</v>
      </c>
      <c r="E361" s="17" t="s">
        <v>102</v>
      </c>
      <c r="F361" s="18">
        <v>86.0</v>
      </c>
      <c r="G361" s="18">
        <v>71.0</v>
      </c>
      <c r="H361" s="18">
        <v>36.0</v>
      </c>
      <c r="I361" s="19">
        <v>0.507</v>
      </c>
      <c r="J361" s="18">
        <v>358.0</v>
      </c>
      <c r="K361" s="18">
        <v>5.0</v>
      </c>
      <c r="L361" s="18">
        <v>1.0</v>
      </c>
      <c r="M361" s="18">
        <v>2.0</v>
      </c>
      <c r="N361" s="18">
        <v>2.0</v>
      </c>
      <c r="O361" s="18">
        <v>3.0</v>
      </c>
      <c r="P361" s="20">
        <f t="shared" si="1"/>
        <v>0.6528903691</v>
      </c>
      <c r="Q361" s="20">
        <f t="shared" si="2"/>
        <v>17.12490237</v>
      </c>
      <c r="R361" s="24"/>
      <c r="S361" s="20">
        <v>0.6528903691451032</v>
      </c>
      <c r="T361" s="22">
        <v>-0.21</v>
      </c>
      <c r="U361" s="30"/>
      <c r="V361" s="30"/>
      <c r="W361" s="18">
        <v>1.0</v>
      </c>
      <c r="X361" s="22">
        <f t="shared" si="14"/>
        <v>0.0615368776</v>
      </c>
      <c r="Y361" s="20">
        <f t="shared" si="4"/>
        <v>26.91799003</v>
      </c>
      <c r="Z361" s="20">
        <f t="shared" si="6"/>
        <v>9.793087659</v>
      </c>
      <c r="AA361" s="20"/>
      <c r="AB361" s="20">
        <f>IFERROR(__xludf.DUMMYFUNCTION("iferror(PERCENTRANK.INC(FILTER($X$2:$X$421, $U$2:$U$421&lt;3.75), $X361), 1)"),0.33)</f>
        <v>0.33</v>
      </c>
      <c r="AC361" s="20">
        <f>IFERROR(__xludf.DUMMYFUNCTION("iferror(PERCENTRANK.INC(FILTER($X$2:$X$421, $U$2:$U$421&lt;4.25), $X361), 1)"),0.324)</f>
        <v>0.324</v>
      </c>
      <c r="AD361" s="20">
        <f>IFERROR(__xludf.DUMMYFUNCTION("iferror(PERCENTRANK.INC(FILTER($X$2:$X$421, $U$2:$U$421&gt;=4.1), $X361), 0.01)"),0.01)</f>
        <v>0.01</v>
      </c>
      <c r="AE361" s="20"/>
    </row>
    <row r="362" ht="14.25" customHeight="1">
      <c r="A362" s="17" t="s">
        <v>730</v>
      </c>
      <c r="B362" s="17" t="s">
        <v>557</v>
      </c>
      <c r="C362" s="18">
        <v>12.0</v>
      </c>
      <c r="D362" s="17" t="s">
        <v>99</v>
      </c>
      <c r="E362" s="17" t="s">
        <v>108</v>
      </c>
      <c r="F362" s="18">
        <v>249.0</v>
      </c>
      <c r="G362" s="18">
        <v>222.0</v>
      </c>
      <c r="H362" s="18">
        <v>118.0</v>
      </c>
      <c r="I362" s="19">
        <v>0.531</v>
      </c>
      <c r="J362" s="18">
        <v>1029.0</v>
      </c>
      <c r="K362" s="18">
        <v>4.6</v>
      </c>
      <c r="L362" s="18">
        <v>4.0</v>
      </c>
      <c r="M362" s="18">
        <v>6.0</v>
      </c>
      <c r="N362" s="18">
        <v>14.0</v>
      </c>
      <c r="O362" s="18">
        <v>13.0</v>
      </c>
      <c r="P362" s="20">
        <f t="shared" si="1"/>
        <v>0.6478452536</v>
      </c>
      <c r="Q362" s="20">
        <f t="shared" si="2"/>
        <v>17.06708814</v>
      </c>
      <c r="R362" s="24"/>
      <c r="S362" s="20">
        <v>0.6478452535547596</v>
      </c>
      <c r="T362" s="22">
        <v>-0.95</v>
      </c>
      <c r="U362" s="30"/>
      <c r="V362" s="30"/>
      <c r="W362" s="18">
        <v>0.95</v>
      </c>
      <c r="X362" s="22">
        <f t="shared" si="14"/>
        <v>-0.05018205137</v>
      </c>
      <c r="Y362" s="20">
        <f t="shared" si="4"/>
        <v>26.78941141</v>
      </c>
      <c r="Z362" s="20">
        <f t="shared" si="6"/>
        <v>9.72232327</v>
      </c>
      <c r="AA362" s="20"/>
      <c r="AB362" s="20">
        <f>IFERROR(__xludf.DUMMYFUNCTION("iferror(PERCENTRANK.INC(FILTER($X$2:$X$421, $U$2:$U$421&lt;3.75), $X362), 1)"),0.21)</f>
        <v>0.21</v>
      </c>
      <c r="AC362" s="20">
        <f>IFERROR(__xludf.DUMMYFUNCTION("iferror(PERCENTRANK.INC(FILTER($X$2:$X$421, $U$2:$U$421&lt;4.25), $X362), 1)"),0.206)</f>
        <v>0.206</v>
      </c>
      <c r="AD362" s="20">
        <f>IFERROR(__xludf.DUMMYFUNCTION("iferror(PERCENTRANK.INC(FILTER($X$2:$X$421, $U$2:$U$421&gt;=4.1), $X362), 0.01)"),0.01)</f>
        <v>0.01</v>
      </c>
      <c r="AE362" s="20"/>
    </row>
    <row r="363" ht="14.25" customHeight="1">
      <c r="A363" s="17" t="s">
        <v>731</v>
      </c>
      <c r="B363" s="17" t="s">
        <v>567</v>
      </c>
      <c r="C363" s="18">
        <v>5.0</v>
      </c>
      <c r="D363" s="17" t="s">
        <v>99</v>
      </c>
      <c r="E363" s="17" t="s">
        <v>508</v>
      </c>
      <c r="F363" s="18">
        <v>122.0</v>
      </c>
      <c r="G363" s="18">
        <v>102.0</v>
      </c>
      <c r="H363" s="18">
        <v>61.0</v>
      </c>
      <c r="I363" s="19">
        <v>0.598</v>
      </c>
      <c r="J363" s="18">
        <v>507.0</v>
      </c>
      <c r="K363" s="18">
        <v>5.0</v>
      </c>
      <c r="L363" s="18">
        <v>2.0</v>
      </c>
      <c r="M363" s="18">
        <v>3.0</v>
      </c>
      <c r="N363" s="18">
        <v>10.0</v>
      </c>
      <c r="O363" s="18">
        <v>4.0</v>
      </c>
      <c r="P363" s="20">
        <f t="shared" si="1"/>
        <v>0.6364462379</v>
      </c>
      <c r="Q363" s="20">
        <f t="shared" si="2"/>
        <v>16.93646172</v>
      </c>
      <c r="R363" s="24"/>
      <c r="S363" s="20">
        <v>0.636446237865638</v>
      </c>
      <c r="T363" s="22">
        <v>-0.51</v>
      </c>
      <c r="W363" s="26">
        <v>0.95</v>
      </c>
      <c r="X363" s="22">
        <f t="shared" si="14"/>
        <v>0.009420242112</v>
      </c>
      <c r="Y363" s="20">
        <f t="shared" si="4"/>
        <v>26.85800838</v>
      </c>
      <c r="Z363" s="20">
        <f t="shared" si="6"/>
        <v>9.921546664</v>
      </c>
      <c r="AA363" s="20"/>
      <c r="AB363" s="20">
        <f>IFERROR(__xludf.DUMMYFUNCTION("iferror(PERCENTRANK.INC(FILTER($X$2:$X$421, $U$2:$U$421&lt;3.75), $X363), 1)"),0.27)</f>
        <v>0.27</v>
      </c>
      <c r="AC363" s="20">
        <f>IFERROR(__xludf.DUMMYFUNCTION("iferror(PERCENTRANK.INC(FILTER($X$2:$X$421, $U$2:$U$421&lt;4.25), $X363), 1)"),0.265)</f>
        <v>0.265</v>
      </c>
      <c r="AD363" s="20">
        <f>IFERROR(__xludf.DUMMYFUNCTION("iferror(PERCENTRANK.INC(FILTER($X$2:$X$421, $U$2:$U$421&gt;=4.1), $X363), 0.01)"),0.01)</f>
        <v>0.01</v>
      </c>
      <c r="AE363" s="20"/>
    </row>
    <row r="364" ht="14.25" customHeight="1">
      <c r="A364" s="17" t="s">
        <v>732</v>
      </c>
      <c r="B364" s="17" t="s">
        <v>451</v>
      </c>
      <c r="C364" s="18">
        <v>10.0</v>
      </c>
      <c r="D364" s="17" t="s">
        <v>99</v>
      </c>
      <c r="E364" s="17" t="s">
        <v>169</v>
      </c>
      <c r="F364" s="18">
        <v>73.0</v>
      </c>
      <c r="G364" s="18">
        <v>63.0</v>
      </c>
      <c r="H364" s="18">
        <v>28.0</v>
      </c>
      <c r="I364" s="19">
        <v>0.444</v>
      </c>
      <c r="J364" s="18">
        <v>324.0</v>
      </c>
      <c r="K364" s="18">
        <v>5.1</v>
      </c>
      <c r="L364" s="18">
        <v>3.0</v>
      </c>
      <c r="M364" s="18">
        <v>3.0</v>
      </c>
      <c r="N364" s="18">
        <v>5.0</v>
      </c>
      <c r="O364" s="18">
        <v>4.0</v>
      </c>
      <c r="P364" s="20">
        <f t="shared" si="1"/>
        <v>0.6170211985</v>
      </c>
      <c r="Q364" s="20">
        <f t="shared" si="2"/>
        <v>16.71386151</v>
      </c>
      <c r="R364" s="24"/>
      <c r="S364" s="20">
        <v>0.6170211985214177</v>
      </c>
      <c r="T364" s="22">
        <v>-0.33</v>
      </c>
      <c r="W364" s="26">
        <v>0.9</v>
      </c>
      <c r="X364" s="22">
        <f t="shared" si="14"/>
        <v>0.0337978618</v>
      </c>
      <c r="Y364" s="20">
        <f t="shared" si="4"/>
        <v>26.88606487</v>
      </c>
      <c r="Z364" s="20">
        <f t="shared" si="6"/>
        <v>10.17220336</v>
      </c>
      <c r="AA364" s="20"/>
      <c r="AB364" s="20">
        <f>IFERROR(__xludf.DUMMYFUNCTION("iferror(PERCENTRANK.INC(FILTER($X$2:$X$421, $U$2:$U$421&lt;3.75), $X364), 1)"),0.305)</f>
        <v>0.305</v>
      </c>
      <c r="AC364" s="20">
        <f>IFERROR(__xludf.DUMMYFUNCTION("iferror(PERCENTRANK.INC(FILTER($X$2:$X$421, $U$2:$U$421&lt;4.25), $X364), 1)"),0.299)</f>
        <v>0.299</v>
      </c>
      <c r="AD364" s="20">
        <f>IFERROR(__xludf.DUMMYFUNCTION("iferror(PERCENTRANK.INC(FILTER($X$2:$X$421, $U$2:$U$421&gt;=4.1), $X364), 0.01)"),0.01)</f>
        <v>0.01</v>
      </c>
      <c r="AE364" s="20"/>
    </row>
    <row r="365" ht="14.25" customHeight="1">
      <c r="A365" s="17" t="s">
        <v>733</v>
      </c>
      <c r="B365" s="17" t="s">
        <v>255</v>
      </c>
      <c r="C365" s="18">
        <v>12.0</v>
      </c>
      <c r="D365" s="17" t="s">
        <v>99</v>
      </c>
      <c r="E365" s="17" t="s">
        <v>179</v>
      </c>
      <c r="F365" s="18">
        <v>30.0</v>
      </c>
      <c r="G365" s="18">
        <v>27.0</v>
      </c>
      <c r="H365" s="18">
        <v>16.0</v>
      </c>
      <c r="I365" s="19">
        <v>0.593</v>
      </c>
      <c r="J365" s="18">
        <v>161.0</v>
      </c>
      <c r="K365" s="18">
        <v>6.0</v>
      </c>
      <c r="L365" s="18">
        <v>1.0</v>
      </c>
      <c r="M365" s="18">
        <v>2.0</v>
      </c>
      <c r="N365" s="18">
        <v>1.0</v>
      </c>
      <c r="O365" s="18">
        <v>1.0</v>
      </c>
      <c r="P365" s="20">
        <f t="shared" si="1"/>
        <v>0.629988037</v>
      </c>
      <c r="Q365" s="20">
        <f t="shared" si="2"/>
        <v>16.86245431</v>
      </c>
      <c r="R365" s="24"/>
      <c r="S365" s="20">
        <v>0.629988037037037</v>
      </c>
      <c r="T365" s="22">
        <v>0.0</v>
      </c>
      <c r="W365" s="26">
        <v>1.0</v>
      </c>
      <c r="X365" s="22">
        <f t="shared" si="14"/>
        <v>0.08977329528</v>
      </c>
      <c r="Y365" s="20">
        <f t="shared" si="4"/>
        <v>26.95048765</v>
      </c>
      <c r="Z365" s="20">
        <f t="shared" si="6"/>
        <v>10.08803334</v>
      </c>
      <c r="AA365" s="20"/>
      <c r="AB365" s="20">
        <f>IFERROR(__xludf.DUMMYFUNCTION("iferror(PERCENTRANK.INC(FILTER($X$2:$X$421, $U$2:$U$421&lt;3.75), $X365), 1)"),0.355)</f>
        <v>0.355</v>
      </c>
      <c r="AC365" s="20">
        <f>IFERROR(__xludf.DUMMYFUNCTION("iferror(PERCENTRANK.INC(FILTER($X$2:$X$421, $U$2:$U$421&lt;4.25), $X365), 1)"),0.348)</f>
        <v>0.348</v>
      </c>
      <c r="AD365" s="20">
        <f>IFERROR(__xludf.DUMMYFUNCTION("iferror(PERCENTRANK.INC(FILTER($X$2:$X$421, $U$2:$U$421&gt;=4.1), $X365), 0.01)"),0.01)</f>
        <v>0.01</v>
      </c>
      <c r="AE365" s="20"/>
    </row>
    <row r="366" ht="14.25" customHeight="1">
      <c r="A366" s="17" t="s">
        <v>734</v>
      </c>
      <c r="B366" s="17" t="s">
        <v>724</v>
      </c>
      <c r="C366" s="18">
        <v>10.0</v>
      </c>
      <c r="D366" s="17" t="s">
        <v>99</v>
      </c>
      <c r="E366" s="17" t="s">
        <v>125</v>
      </c>
      <c r="F366" s="18">
        <v>60.0</v>
      </c>
      <c r="G366" s="18">
        <v>49.0</v>
      </c>
      <c r="H366" s="18">
        <v>29.0</v>
      </c>
      <c r="I366" s="19">
        <v>0.592</v>
      </c>
      <c r="J366" s="18">
        <v>216.0</v>
      </c>
      <c r="K366" s="18">
        <v>4.4</v>
      </c>
      <c r="L366" s="18">
        <v>1.0</v>
      </c>
      <c r="M366" s="18">
        <v>1.0</v>
      </c>
      <c r="N366" s="18">
        <v>5.0</v>
      </c>
      <c r="O366" s="18">
        <v>2.0</v>
      </c>
      <c r="P366" s="20">
        <f t="shared" si="1"/>
        <v>0.5969576054</v>
      </c>
      <c r="Q366" s="20">
        <f t="shared" si="2"/>
        <v>16.48394383</v>
      </c>
      <c r="R366" s="24"/>
      <c r="S366" s="20">
        <v>0.596957605442177</v>
      </c>
      <c r="T366" s="22">
        <v>-0.35</v>
      </c>
      <c r="U366" s="30"/>
      <c r="V366" s="30"/>
      <c r="W366" s="18">
        <v>0.95</v>
      </c>
      <c r="X366" s="22">
        <f t="shared" si="14"/>
        <v>0.03256645878</v>
      </c>
      <c r="Y366" s="20">
        <f t="shared" si="4"/>
        <v>26.88464764</v>
      </c>
      <c r="Z366" s="20">
        <f t="shared" si="6"/>
        <v>10.40070381</v>
      </c>
      <c r="AA366" s="20"/>
      <c r="AB366" s="20">
        <f>IFERROR(__xludf.DUMMYFUNCTION("iferror(PERCENTRANK.INC(FILTER($X$2:$X$421, $U$2:$U$421&lt;3.75), $X366), 1)"),0.303)</f>
        <v>0.303</v>
      </c>
      <c r="AC366" s="20">
        <f>IFERROR(__xludf.DUMMYFUNCTION("iferror(PERCENTRANK.INC(FILTER($X$2:$X$421, $U$2:$U$421&lt;4.25), $X366), 1)"),0.297)</f>
        <v>0.297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475</v>
      </c>
      <c r="C367" s="18">
        <v>9.0</v>
      </c>
      <c r="D367" s="17" t="s">
        <v>99</v>
      </c>
      <c r="E367" s="17" t="s">
        <v>108</v>
      </c>
      <c r="F367" s="18">
        <v>45.0</v>
      </c>
      <c r="G367" s="18">
        <v>41.0</v>
      </c>
      <c r="H367" s="18">
        <v>20.0</v>
      </c>
      <c r="I367" s="19">
        <v>0.488</v>
      </c>
      <c r="J367" s="18">
        <v>196.0</v>
      </c>
      <c r="K367" s="18">
        <v>4.8</v>
      </c>
      <c r="L367" s="18">
        <v>2.0</v>
      </c>
      <c r="M367" s="18">
        <v>2.0</v>
      </c>
      <c r="N367" s="18">
        <v>0.0</v>
      </c>
      <c r="O367" s="18">
        <v>4.0</v>
      </c>
      <c r="P367" s="20">
        <f t="shared" si="1"/>
        <v>0.5941672195</v>
      </c>
      <c r="Q367" s="20">
        <f t="shared" si="2"/>
        <v>16.45196755</v>
      </c>
      <c r="R367" s="24"/>
      <c r="S367" s="20">
        <v>0.5941672195121951</v>
      </c>
      <c r="T367" s="22">
        <v>2.3</v>
      </c>
      <c r="W367" s="26">
        <v>0.95</v>
      </c>
      <c r="X367" s="22">
        <f t="shared" si="14"/>
        <v>0.4252125746</v>
      </c>
      <c r="Y367" s="20">
        <f t="shared" si="4"/>
        <v>27.33654865</v>
      </c>
      <c r="Z367" s="20">
        <f t="shared" si="6"/>
        <v>10.8845811</v>
      </c>
      <c r="AA367" s="20"/>
      <c r="AB367" s="20">
        <f>IFERROR(__xludf.DUMMYFUNCTION("iferror(PERCENTRANK.INC(FILTER($X$2:$X$421, $U$2:$U$421&lt;3.75), $X367), 1)"),0.605)</f>
        <v>0.605</v>
      </c>
      <c r="AC367" s="20">
        <f>IFERROR(__xludf.DUMMYFUNCTION("iferror(PERCENTRANK.INC(FILTER($X$2:$X$421, $U$2:$U$421&lt;4.25), $X367), 1)"),0.593)</f>
        <v>0.593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132</v>
      </c>
      <c r="C368" s="18">
        <v>6.0</v>
      </c>
      <c r="D368" s="17" t="s">
        <v>99</v>
      </c>
      <c r="E368" s="17" t="s">
        <v>111</v>
      </c>
      <c r="F368" s="18">
        <v>53.0</v>
      </c>
      <c r="G368" s="18">
        <v>40.0</v>
      </c>
      <c r="H368" s="18">
        <v>23.0</v>
      </c>
      <c r="I368" s="19">
        <v>0.575</v>
      </c>
      <c r="J368" s="18">
        <v>223.0</v>
      </c>
      <c r="K368" s="18">
        <v>5.6</v>
      </c>
      <c r="L368" s="18">
        <v>0.0</v>
      </c>
      <c r="M368" s="18">
        <v>1.0</v>
      </c>
      <c r="N368" s="18">
        <v>6.0</v>
      </c>
      <c r="O368" s="18">
        <v>3.0</v>
      </c>
      <c r="P368" s="20">
        <f t="shared" si="1"/>
        <v>0.5932174528</v>
      </c>
      <c r="Q368" s="20">
        <f t="shared" si="2"/>
        <v>16.44108375</v>
      </c>
      <c r="R368" s="24"/>
      <c r="S368" s="20">
        <v>0.5932174528301887</v>
      </c>
      <c r="T368" s="22">
        <v>-5.69</v>
      </c>
      <c r="W368" s="26">
        <v>0.9</v>
      </c>
      <c r="X368" s="22">
        <f t="shared" si="14"/>
        <v>-0.7645173821</v>
      </c>
      <c r="Y368" s="20">
        <f t="shared" si="4"/>
        <v>25.96727451</v>
      </c>
      <c r="Z368" s="20">
        <f t="shared" si="6"/>
        <v>9.52619076</v>
      </c>
      <c r="AA368" s="20"/>
      <c r="AB368" s="20">
        <f>IFERROR(__xludf.DUMMYFUNCTION("iferror(PERCENTRANK.INC(FILTER($X$2:$X$421, $U$2:$U$421&lt;3.75), $X368), 1)"),0.04)</f>
        <v>0.04</v>
      </c>
      <c r="AC368" s="20">
        <f>IFERROR(__xludf.DUMMYFUNCTION("iferror(PERCENTRANK.INC(FILTER($X$2:$X$421, $U$2:$U$421&lt;4.25), $X368), 1)"),0.039)</f>
        <v>0.039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674</v>
      </c>
      <c r="C369" s="18">
        <v>10.0</v>
      </c>
      <c r="D369" s="17" t="s">
        <v>99</v>
      </c>
      <c r="E369" s="17" t="s">
        <v>135</v>
      </c>
      <c r="F369" s="18">
        <v>265.0</v>
      </c>
      <c r="G369" s="18">
        <v>221.0</v>
      </c>
      <c r="H369" s="18">
        <v>116.0</v>
      </c>
      <c r="I369" s="19">
        <v>0.525</v>
      </c>
      <c r="J369" s="18">
        <v>1160.0</v>
      </c>
      <c r="K369" s="18">
        <v>5.3</v>
      </c>
      <c r="L369" s="18">
        <v>7.0</v>
      </c>
      <c r="M369" s="18">
        <v>9.0</v>
      </c>
      <c r="N369" s="18">
        <v>22.0</v>
      </c>
      <c r="O369" s="18">
        <v>15.0</v>
      </c>
      <c r="P369" s="20">
        <f t="shared" si="1"/>
        <v>0.5763574895</v>
      </c>
      <c r="Q369" s="20">
        <f t="shared" si="2"/>
        <v>16.24787789</v>
      </c>
      <c r="R369" s="24"/>
      <c r="S369" s="20">
        <v>0.5763574895415351</v>
      </c>
      <c r="T369" s="22">
        <v>-0.85</v>
      </c>
      <c r="W369" s="26">
        <v>0.9</v>
      </c>
      <c r="X369" s="22">
        <f t="shared" si="14"/>
        <v>-0.04969173891</v>
      </c>
      <c r="Y369" s="20">
        <f t="shared" si="4"/>
        <v>26.78997571</v>
      </c>
      <c r="Z369" s="20">
        <f t="shared" si="6"/>
        <v>10.54209782</v>
      </c>
      <c r="AA369" s="20"/>
      <c r="AB369" s="20">
        <f>IFERROR(__xludf.DUMMYFUNCTION("iferror(PERCENTRANK.INC(FILTER($X$2:$X$421, $U$2:$U$421&lt;3.75), $X369), 1)"),0.213)</f>
        <v>0.213</v>
      </c>
      <c r="AC369" s="20">
        <f>IFERROR(__xludf.DUMMYFUNCTION("iferror(PERCENTRANK.INC(FILTER($X$2:$X$421, $U$2:$U$421&lt;4.25), $X369), 1)"),0.208)</f>
        <v>0.208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412</v>
      </c>
      <c r="C370" s="18">
        <v>9.0</v>
      </c>
      <c r="D370" s="17" t="s">
        <v>99</v>
      </c>
      <c r="E370" s="17" t="s">
        <v>149</v>
      </c>
      <c r="F370" s="18">
        <v>54.0</v>
      </c>
      <c r="G370" s="18">
        <v>54.0</v>
      </c>
      <c r="H370" s="18">
        <v>29.0</v>
      </c>
      <c r="I370" s="19">
        <v>0.537</v>
      </c>
      <c r="J370" s="18">
        <v>228.0</v>
      </c>
      <c r="K370" s="18">
        <v>4.2</v>
      </c>
      <c r="L370" s="18">
        <v>2.0</v>
      </c>
      <c r="M370" s="18">
        <v>2.0</v>
      </c>
      <c r="N370" s="18">
        <v>0.0</v>
      </c>
      <c r="O370" s="18">
        <v>3.0</v>
      </c>
      <c r="P370" s="20">
        <f t="shared" si="1"/>
        <v>0.5697145556</v>
      </c>
      <c r="Q370" s="20">
        <f t="shared" si="2"/>
        <v>16.17175354</v>
      </c>
      <c r="R370" s="24"/>
      <c r="S370" s="20">
        <v>0.5697145555555556</v>
      </c>
      <c r="T370" s="22">
        <v>-3.52</v>
      </c>
      <c r="U370" s="30"/>
      <c r="V370" s="30"/>
      <c r="W370" s="18">
        <v>0.95</v>
      </c>
      <c r="X370" s="22">
        <f t="shared" si="14"/>
        <v>-0.451088535</v>
      </c>
      <c r="Y370" s="20">
        <f t="shared" si="4"/>
        <v>26.32800344</v>
      </c>
      <c r="Z370" s="20">
        <f t="shared" si="6"/>
        <v>10.1562499</v>
      </c>
      <c r="AA370" s="20"/>
      <c r="AB370" s="20">
        <f>IFERROR(__xludf.DUMMYFUNCTION("iferror(PERCENTRANK.INC(FILTER($X$2:$X$421, $U$2:$U$421&lt;3.75), $X370), 1)"),0.055)</f>
        <v>0.055</v>
      </c>
      <c r="AC370" s="20">
        <f>IFERROR(__xludf.DUMMYFUNCTION("iferror(PERCENTRANK.INC(FILTER($X$2:$X$421, $U$2:$U$421&lt;4.25), $X370), 1)"),0.054)</f>
        <v>0.054</v>
      </c>
      <c r="AD370" s="20">
        <f>IFERROR(__xludf.DUMMYFUNCTION("iferror(PERCENTRANK.INC(FILTER($X$2:$X$421, $U$2:$U$421&gt;=4.1), $X370), 0.01)"),0.01)</f>
        <v>0.01</v>
      </c>
      <c r="AE370" s="20"/>
    </row>
    <row r="371" ht="14.25" customHeight="1">
      <c r="A371" s="17" t="s">
        <v>739</v>
      </c>
      <c r="B371" s="17" t="s">
        <v>546</v>
      </c>
      <c r="C371" s="18">
        <v>1.0</v>
      </c>
      <c r="D371" s="17" t="s">
        <v>99</v>
      </c>
      <c r="E371" s="17" t="s">
        <v>152</v>
      </c>
      <c r="F371" s="18">
        <v>63.0</v>
      </c>
      <c r="G371" s="18">
        <v>55.0</v>
      </c>
      <c r="H371" s="18">
        <v>35.0</v>
      </c>
      <c r="I371" s="19">
        <v>0.636</v>
      </c>
      <c r="J371" s="18">
        <v>302.0</v>
      </c>
      <c r="K371" s="18">
        <v>5.5</v>
      </c>
      <c r="L371" s="18">
        <v>2.0</v>
      </c>
      <c r="M371" s="18">
        <v>3.0</v>
      </c>
      <c r="N371" s="18">
        <v>3.0</v>
      </c>
      <c r="O371" s="18">
        <v>5.0</v>
      </c>
      <c r="P371" s="20">
        <f t="shared" si="1"/>
        <v>0.5357056797</v>
      </c>
      <c r="Q371" s="20">
        <f t="shared" si="2"/>
        <v>15.78203063</v>
      </c>
      <c r="R371" s="24"/>
      <c r="S371" s="20">
        <v>0.5357056796536797</v>
      </c>
      <c r="T371" s="22">
        <v>-2.98</v>
      </c>
      <c r="U371" s="30"/>
      <c r="V371" s="30"/>
      <c r="W371" s="18">
        <v>0.95</v>
      </c>
      <c r="X371" s="22">
        <f t="shared" si="14"/>
        <v>-0.3746797332</v>
      </c>
      <c r="Y371" s="20">
        <f t="shared" si="4"/>
        <v>26.41594322</v>
      </c>
      <c r="Z371" s="20">
        <f t="shared" si="6"/>
        <v>10.63391259</v>
      </c>
      <c r="AA371" s="20"/>
      <c r="AB371" s="20">
        <f>IFERROR(__xludf.DUMMYFUNCTION("iferror(PERCENTRANK.INC(FILTER($X$2:$X$421, $U$2:$U$421&lt;3.75), $X371), 1)"),0.073)</f>
        <v>0.073</v>
      </c>
      <c r="AC371" s="20">
        <f>IFERROR(__xludf.DUMMYFUNCTION("iferror(PERCENTRANK.INC(FILTER($X$2:$X$421, $U$2:$U$421&lt;4.25), $X371), 1)"),0.071)</f>
        <v>0.071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740</v>
      </c>
      <c r="B372" s="17" t="s">
        <v>741</v>
      </c>
      <c r="C372" s="18">
        <v>5.0</v>
      </c>
      <c r="D372" s="17" t="s">
        <v>99</v>
      </c>
      <c r="E372" s="17" t="s">
        <v>146</v>
      </c>
      <c r="F372" s="18">
        <v>135.0</v>
      </c>
      <c r="G372" s="18">
        <v>120.0</v>
      </c>
      <c r="H372" s="18">
        <v>61.0</v>
      </c>
      <c r="I372" s="19">
        <v>0.508</v>
      </c>
      <c r="J372" s="18">
        <v>526.0</v>
      </c>
      <c r="K372" s="18">
        <v>4.4</v>
      </c>
      <c r="L372" s="18">
        <v>3.0</v>
      </c>
      <c r="M372" s="18">
        <v>4.0</v>
      </c>
      <c r="N372" s="18">
        <v>4.0</v>
      </c>
      <c r="O372" s="18">
        <v>4.0</v>
      </c>
      <c r="P372" s="20">
        <f t="shared" si="1"/>
        <v>0.5440597037</v>
      </c>
      <c r="Q372" s="20">
        <f t="shared" si="2"/>
        <v>15.87776313</v>
      </c>
      <c r="R372" s="24"/>
      <c r="S372" s="20">
        <v>0.5440597037037036</v>
      </c>
      <c r="T372" s="22">
        <v>-0.25</v>
      </c>
      <c r="U372" s="30"/>
      <c r="V372" s="30"/>
      <c r="W372" s="18">
        <v>0.9</v>
      </c>
      <c r="X372" s="22">
        <f t="shared" si="14"/>
        <v>0.03594806</v>
      </c>
      <c r="Y372" s="20">
        <f t="shared" si="4"/>
        <v>26.88853956</v>
      </c>
      <c r="Z372" s="20">
        <f t="shared" si="6"/>
        <v>11.01077643</v>
      </c>
      <c r="AA372" s="20"/>
      <c r="AB372" s="20">
        <f>IFERROR(__xludf.DUMMYFUNCTION("iferror(PERCENTRANK.INC(FILTER($X$2:$X$421, $U$2:$U$421&lt;3.75), $X372), 1)"),0.308)</f>
        <v>0.308</v>
      </c>
      <c r="AC372" s="20">
        <f>IFERROR(__xludf.DUMMYFUNCTION("iferror(PERCENTRANK.INC(FILTER($X$2:$X$421, $U$2:$U$421&lt;4.25), $X372), 1)"),0.301)</f>
        <v>0.301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382</v>
      </c>
      <c r="C373" s="18">
        <v>9.0</v>
      </c>
      <c r="D373" s="17" t="s">
        <v>99</v>
      </c>
      <c r="E373" s="17" t="s">
        <v>179</v>
      </c>
      <c r="F373" s="18">
        <v>37.0</v>
      </c>
      <c r="G373" s="18">
        <v>31.0</v>
      </c>
      <c r="H373" s="18">
        <v>19.0</v>
      </c>
      <c r="I373" s="19">
        <v>0.613</v>
      </c>
      <c r="J373" s="18">
        <v>148.0</v>
      </c>
      <c r="K373" s="18">
        <v>4.8</v>
      </c>
      <c r="L373" s="18">
        <v>0.0</v>
      </c>
      <c r="M373" s="18">
        <v>1.0</v>
      </c>
      <c r="N373" s="18">
        <v>1.0</v>
      </c>
      <c r="O373" s="18">
        <v>1.0</v>
      </c>
      <c r="P373" s="20">
        <f t="shared" si="1"/>
        <v>0.5418575214</v>
      </c>
      <c r="Q373" s="20">
        <f t="shared" si="2"/>
        <v>15.85252734</v>
      </c>
      <c r="R373" s="25"/>
      <c r="S373" s="20">
        <v>0.5418575213600699</v>
      </c>
      <c r="T373" s="22">
        <v>-2.49</v>
      </c>
      <c r="U373" s="31"/>
      <c r="V373" s="30"/>
      <c r="W373" s="18">
        <v>1.0</v>
      </c>
      <c r="X373" s="22">
        <f t="shared" si="14"/>
        <v>-0.2962853032</v>
      </c>
      <c r="Y373" s="20">
        <f t="shared" si="4"/>
        <v>26.50616829</v>
      </c>
      <c r="Z373" s="20">
        <f t="shared" si="6"/>
        <v>10.65364096</v>
      </c>
      <c r="AA373" s="20"/>
      <c r="AB373" s="20">
        <f>IFERROR(__xludf.DUMMYFUNCTION("iferror(PERCENTRANK.INC(FILTER($X$2:$X$421, $U$2:$U$421&lt;3.75), $X373), 1)"),0.085)</f>
        <v>0.085</v>
      </c>
      <c r="AC373" s="20">
        <f>IFERROR(__xludf.DUMMYFUNCTION("iferror(PERCENTRANK.INC(FILTER($X$2:$X$421, $U$2:$U$421&lt;4.25), $X373), 1)"),0.083)</f>
        <v>0.083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741</v>
      </c>
      <c r="C374" s="18">
        <v>8.0</v>
      </c>
      <c r="D374" s="17" t="s">
        <v>99</v>
      </c>
      <c r="E374" s="17" t="s">
        <v>146</v>
      </c>
      <c r="F374" s="18">
        <v>322.0</v>
      </c>
      <c r="G374" s="18">
        <v>297.0</v>
      </c>
      <c r="H374" s="18">
        <v>171.0</v>
      </c>
      <c r="I374" s="19">
        <v>0.576</v>
      </c>
      <c r="J374" s="18">
        <v>1801.0</v>
      </c>
      <c r="K374" s="18">
        <v>6.1</v>
      </c>
      <c r="L374" s="18">
        <v>6.0</v>
      </c>
      <c r="M374" s="18">
        <v>12.0</v>
      </c>
      <c r="N374" s="18">
        <v>12.0</v>
      </c>
      <c r="O374" s="18">
        <v>18.0</v>
      </c>
      <c r="P374" s="20">
        <f t="shared" si="1"/>
        <v>0.5330800708</v>
      </c>
      <c r="Q374" s="20">
        <f t="shared" si="2"/>
        <v>15.75194261</v>
      </c>
      <c r="R374" s="24"/>
      <c r="S374" s="20">
        <v>0.5330800707698098</v>
      </c>
      <c r="T374" s="22">
        <v>-1.23</v>
      </c>
      <c r="W374" s="26">
        <v>0.9</v>
      </c>
      <c r="X374" s="22">
        <f t="shared" si="14"/>
        <v>-0.1085360899</v>
      </c>
      <c r="Y374" s="20">
        <f t="shared" si="4"/>
        <v>26.72225106</v>
      </c>
      <c r="Z374" s="20">
        <f t="shared" si="6"/>
        <v>10.97030846</v>
      </c>
      <c r="AA374" s="20"/>
      <c r="AB374" s="20">
        <f>IFERROR(__xludf.DUMMYFUNCTION("iferror(PERCENTRANK.INC(FILTER($X$2:$X$421, $U$2:$U$421&lt;3.75), $X374), 1)"),0.168)</f>
        <v>0.168</v>
      </c>
      <c r="AC374" s="20">
        <f>IFERROR(__xludf.DUMMYFUNCTION("iferror(PERCENTRANK.INC(FILTER($X$2:$X$421, $U$2:$U$421&lt;4.25), $X374), 1)"),0.164)</f>
        <v>0.164</v>
      </c>
      <c r="AD374" s="20">
        <f>IFERROR(__xludf.DUMMYFUNCTION("iferror(PERCENTRANK.INC(FILTER($X$2:$X$421, $U$2:$U$421&gt;=4.1), $X374), 0.01)"),0.01)</f>
        <v>0.01</v>
      </c>
      <c r="AE374" s="20"/>
    </row>
    <row r="375" ht="14.25" customHeight="1">
      <c r="A375" s="17" t="s">
        <v>744</v>
      </c>
      <c r="B375" s="17" t="s">
        <v>625</v>
      </c>
      <c r="C375" s="18">
        <v>4.0</v>
      </c>
      <c r="D375" s="17" t="s">
        <v>99</v>
      </c>
      <c r="E375" s="17" t="s">
        <v>169</v>
      </c>
      <c r="F375" s="18">
        <v>317.0</v>
      </c>
      <c r="G375" s="18">
        <v>299.0</v>
      </c>
      <c r="H375" s="18">
        <v>170.0</v>
      </c>
      <c r="I375" s="19">
        <v>0.569</v>
      </c>
      <c r="J375" s="18">
        <v>1827.0</v>
      </c>
      <c r="K375" s="18">
        <v>6.1</v>
      </c>
      <c r="L375" s="18">
        <v>9.0</v>
      </c>
      <c r="M375" s="18">
        <v>14.0</v>
      </c>
      <c r="N375" s="18">
        <v>9.0</v>
      </c>
      <c r="O375" s="18">
        <v>17.0</v>
      </c>
      <c r="P375" s="20">
        <f t="shared" si="1"/>
        <v>0.525706883</v>
      </c>
      <c r="Q375" s="20">
        <f t="shared" si="2"/>
        <v>15.66744995</v>
      </c>
      <c r="R375" s="24"/>
      <c r="S375" s="20">
        <v>0.5257068829747952</v>
      </c>
      <c r="T375" s="22">
        <v>-1.88</v>
      </c>
      <c r="W375" s="26">
        <v>0.9</v>
      </c>
      <c r="X375" s="22">
        <f t="shared" si="14"/>
        <v>-0.2110295708</v>
      </c>
      <c r="Y375" s="20">
        <f t="shared" si="4"/>
        <v>26.60429011</v>
      </c>
      <c r="Z375" s="20">
        <f t="shared" si="6"/>
        <v>10.93684016</v>
      </c>
      <c r="AA375" s="20"/>
      <c r="AB375" s="20">
        <f>IFERROR(__xludf.DUMMYFUNCTION("iferror(PERCENTRANK.INC(FILTER($X$2:$X$421, $U$2:$U$421&lt;3.75), $X375), 1)"),0.105)</f>
        <v>0.105</v>
      </c>
      <c r="AC375" s="20">
        <f>IFERROR(__xludf.DUMMYFUNCTION("iferror(PERCENTRANK.INC(FILTER($X$2:$X$421, $U$2:$U$421&lt;4.25), $X375), 1)"),0.103)</f>
        <v>0.103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704</v>
      </c>
      <c r="C376" s="18">
        <v>16.0</v>
      </c>
      <c r="D376" s="17" t="s">
        <v>99</v>
      </c>
      <c r="E376" s="17" t="s">
        <v>176</v>
      </c>
      <c r="F376" s="18">
        <v>225.0</v>
      </c>
      <c r="G376" s="18">
        <v>180.0</v>
      </c>
      <c r="H376" s="18">
        <v>104.0</v>
      </c>
      <c r="I376" s="19">
        <v>0.578</v>
      </c>
      <c r="J376" s="18">
        <v>1134.0</v>
      </c>
      <c r="K376" s="18">
        <v>6.3</v>
      </c>
      <c r="L376" s="18">
        <v>4.0</v>
      </c>
      <c r="M376" s="18">
        <v>8.0</v>
      </c>
      <c r="N376" s="18">
        <v>30.0</v>
      </c>
      <c r="O376" s="18">
        <v>9.0</v>
      </c>
      <c r="P376" s="20">
        <f t="shared" si="1"/>
        <v>0.4999126667</v>
      </c>
      <c r="Q376" s="20">
        <f t="shared" si="2"/>
        <v>15.3718625</v>
      </c>
      <c r="R376" s="24"/>
      <c r="S376" s="20">
        <v>0.49991266666666667</v>
      </c>
      <c r="T376" s="22">
        <v>4.95</v>
      </c>
      <c r="U376" s="30"/>
      <c r="V376" s="30"/>
      <c r="W376" s="18">
        <v>0.9</v>
      </c>
      <c r="X376" s="22">
        <f t="shared" si="14"/>
        <v>0.80998821</v>
      </c>
      <c r="Y376" s="20">
        <f t="shared" si="4"/>
        <v>27.77939143</v>
      </c>
      <c r="Z376" s="20">
        <f t="shared" si="6"/>
        <v>12.40752894</v>
      </c>
      <c r="AA376" s="20"/>
      <c r="AB376" s="20">
        <f>IFERROR(__xludf.DUMMYFUNCTION("iferror(PERCENTRANK.INC(FILTER($X$2:$X$421, $U$2:$U$421&lt;3.75), $X376), 1)"),0.823)</f>
        <v>0.823</v>
      </c>
      <c r="AC376" s="20">
        <f>IFERROR(__xludf.DUMMYFUNCTION("iferror(PERCENTRANK.INC(FILTER($X$2:$X$421, $U$2:$U$421&lt;4.25), $X376), 1)"),0.806)</f>
        <v>0.806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746</v>
      </c>
      <c r="B377" s="17" t="s">
        <v>357</v>
      </c>
      <c r="C377" s="18">
        <v>11.0</v>
      </c>
      <c r="D377" s="17" t="s">
        <v>99</v>
      </c>
      <c r="E377" s="17" t="s">
        <v>157</v>
      </c>
      <c r="F377" s="18">
        <v>69.0</v>
      </c>
      <c r="G377" s="18">
        <v>56.0</v>
      </c>
      <c r="H377" s="18">
        <v>27.0</v>
      </c>
      <c r="I377" s="19">
        <v>0.482</v>
      </c>
      <c r="J377" s="18">
        <v>211.0</v>
      </c>
      <c r="K377" s="18">
        <v>3.8</v>
      </c>
      <c r="L377" s="18">
        <v>1.0</v>
      </c>
      <c r="M377" s="18">
        <v>1.0</v>
      </c>
      <c r="N377" s="18">
        <v>7.0</v>
      </c>
      <c r="O377" s="18">
        <v>2.0</v>
      </c>
      <c r="P377" s="20">
        <f t="shared" si="1"/>
        <v>0.4941532961</v>
      </c>
      <c r="Q377" s="20">
        <f t="shared" si="2"/>
        <v>15.30586329</v>
      </c>
      <c r="R377" s="24"/>
      <c r="S377" s="20">
        <v>0.49415329606625247</v>
      </c>
      <c r="T377" s="22">
        <v>-6.66</v>
      </c>
      <c r="W377" s="26">
        <v>0.9</v>
      </c>
      <c r="X377" s="22">
        <f t="shared" si="14"/>
        <v>-0.932289305</v>
      </c>
      <c r="Y377" s="20">
        <f t="shared" si="4"/>
        <v>25.77418384</v>
      </c>
      <c r="Z377" s="20">
        <f t="shared" si="6"/>
        <v>10.46832055</v>
      </c>
      <c r="AA377" s="20"/>
      <c r="AB377" s="20">
        <f>IFERROR(__xludf.DUMMYFUNCTION("iferror(PERCENTRANK.INC(FILTER($X$2:$X$421, $U$2:$U$421&lt;3.75), $X377), 1)"),0.02)</f>
        <v>0.02</v>
      </c>
      <c r="AC377" s="20">
        <f>IFERROR(__xludf.DUMMYFUNCTION("iferror(PERCENTRANK.INC(FILTER($X$2:$X$421, $U$2:$U$421&lt;4.25), $X377), 1)"),0.02)</f>
        <v>0.02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747</v>
      </c>
      <c r="B378" s="17" t="s">
        <v>748</v>
      </c>
      <c r="C378" s="18">
        <v>15.0</v>
      </c>
      <c r="D378" s="17" t="s">
        <v>99</v>
      </c>
      <c r="E378" s="17" t="s">
        <v>149</v>
      </c>
      <c r="F378" s="18">
        <v>35.0</v>
      </c>
      <c r="G378" s="18">
        <v>25.0</v>
      </c>
      <c r="H378" s="18">
        <v>14.0</v>
      </c>
      <c r="I378" s="19">
        <v>0.56</v>
      </c>
      <c r="J378" s="18">
        <v>75.0</v>
      </c>
      <c r="K378" s="18">
        <v>3.0</v>
      </c>
      <c r="L378" s="18">
        <v>1.0</v>
      </c>
      <c r="M378" s="18">
        <v>0.0</v>
      </c>
      <c r="N378" s="18">
        <v>4.0</v>
      </c>
      <c r="O378" s="18">
        <v>0.0</v>
      </c>
      <c r="P378" s="20">
        <f t="shared" si="1"/>
        <v>0.4896342857</v>
      </c>
      <c r="Q378" s="20">
        <f t="shared" si="2"/>
        <v>15.25407793</v>
      </c>
      <c r="R378" s="25"/>
      <c r="S378" s="20">
        <v>0.48963428571428574</v>
      </c>
      <c r="T378" s="22">
        <v>-3.36</v>
      </c>
      <c r="U378" s="31"/>
      <c r="V378" s="30"/>
      <c r="W378" s="18">
        <v>0.95</v>
      </c>
      <c r="X378" s="22">
        <f t="shared" si="14"/>
        <v>-0.4378993714</v>
      </c>
      <c r="Y378" s="20">
        <f t="shared" si="4"/>
        <v>26.343183</v>
      </c>
      <c r="Z378" s="20">
        <f t="shared" si="6"/>
        <v>11.08910507</v>
      </c>
      <c r="AA378" s="20"/>
      <c r="AB378" s="20">
        <f>IFERROR(__xludf.DUMMYFUNCTION("iferror(PERCENTRANK.INC(FILTER($X$2:$X$421, $U$2:$U$421&lt;3.75), $X378), 1)"),0.058)</f>
        <v>0.058</v>
      </c>
      <c r="AC378" s="20">
        <f>IFERROR(__xludf.DUMMYFUNCTION("iferror(PERCENTRANK.INC(FILTER($X$2:$X$421, $U$2:$U$421&lt;4.25), $X378), 1)"),0.056)</f>
        <v>0.056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183</v>
      </c>
      <c r="C379" s="18">
        <v>3.0</v>
      </c>
      <c r="D379" s="17" t="s">
        <v>99</v>
      </c>
      <c r="E379" s="17" t="s">
        <v>152</v>
      </c>
      <c r="F379" s="18">
        <v>25.0</v>
      </c>
      <c r="G379" s="18">
        <v>22.0</v>
      </c>
      <c r="H379" s="18">
        <v>15.0</v>
      </c>
      <c r="I379" s="19">
        <v>0.682</v>
      </c>
      <c r="J379" s="18">
        <v>61.0</v>
      </c>
      <c r="K379" s="18">
        <v>2.8</v>
      </c>
      <c r="L379" s="18">
        <v>1.0</v>
      </c>
      <c r="M379" s="18">
        <v>0.0</v>
      </c>
      <c r="N379" s="18">
        <v>1.0</v>
      </c>
      <c r="O379" s="18">
        <v>1.0</v>
      </c>
      <c r="P379" s="20">
        <f t="shared" si="1"/>
        <v>0.4892103636</v>
      </c>
      <c r="Q379" s="20">
        <f t="shared" si="2"/>
        <v>15.24922002</v>
      </c>
      <c r="R379" s="25"/>
      <c r="S379" s="20">
        <v>0.4892103636363636</v>
      </c>
      <c r="T379" s="22">
        <v>-0.52</v>
      </c>
      <c r="U379" s="31"/>
      <c r="V379" s="30"/>
      <c r="W379" s="18">
        <v>0.95</v>
      </c>
      <c r="X379" s="22">
        <f t="shared" si="14"/>
        <v>-0.008287523182</v>
      </c>
      <c r="Y379" s="20">
        <f t="shared" si="4"/>
        <v>26.83762831</v>
      </c>
      <c r="Z379" s="20">
        <f t="shared" si="6"/>
        <v>11.58840829</v>
      </c>
      <c r="AA379" s="20"/>
      <c r="AB379" s="20">
        <f>IFERROR(__xludf.DUMMYFUNCTION("iferror(PERCENTRANK.INC(FILTER($X$2:$X$421, $U$2:$U$421&lt;3.75), $X379), 1)"),0.245)</f>
        <v>0.245</v>
      </c>
      <c r="AC379" s="20">
        <f>IFERROR(__xludf.DUMMYFUNCTION("iferror(PERCENTRANK.INC(FILTER($X$2:$X$421, $U$2:$U$421&lt;4.25), $X379), 1)"),0.24)</f>
        <v>0.24</v>
      </c>
      <c r="AD379" s="20">
        <f>IFERROR(__xludf.DUMMYFUNCTION("iferror(PERCENTRANK.INC(FILTER($X$2:$X$421, $U$2:$U$421&gt;=4.1), $X379), 0.01)"),0.01)</f>
        <v>0.01</v>
      </c>
      <c r="AE379" s="20"/>
    </row>
    <row r="380" ht="14.25" customHeight="1">
      <c r="A380" s="17" t="s">
        <v>750</v>
      </c>
      <c r="B380" s="17" t="s">
        <v>479</v>
      </c>
      <c r="C380" s="18">
        <v>14.0</v>
      </c>
      <c r="D380" s="17" t="s">
        <v>99</v>
      </c>
      <c r="E380" s="17" t="s">
        <v>176</v>
      </c>
      <c r="F380" s="18">
        <v>90.0</v>
      </c>
      <c r="G380" s="18">
        <v>73.0</v>
      </c>
      <c r="H380" s="18">
        <v>32.0</v>
      </c>
      <c r="I380" s="19">
        <v>0.438</v>
      </c>
      <c r="J380" s="18">
        <v>312.0</v>
      </c>
      <c r="K380" s="18">
        <v>4.3</v>
      </c>
      <c r="L380" s="18">
        <v>1.0</v>
      </c>
      <c r="M380" s="18">
        <v>2.0</v>
      </c>
      <c r="N380" s="18">
        <v>5.0</v>
      </c>
      <c r="O380" s="18">
        <v>4.0</v>
      </c>
      <c r="P380" s="20">
        <f t="shared" si="1"/>
        <v>0.475274828</v>
      </c>
      <c r="Q380" s="20">
        <f t="shared" si="2"/>
        <v>15.08952649</v>
      </c>
      <c r="R380" s="24"/>
      <c r="S380" s="20">
        <v>0.4752748280060882</v>
      </c>
      <c r="T380" s="22">
        <v>-0.87</v>
      </c>
      <c r="U380" s="30"/>
      <c r="V380" s="30"/>
      <c r="W380" s="18">
        <v>0.9</v>
      </c>
      <c r="X380" s="22">
        <f t="shared" si="14"/>
        <v>-0.06277333701</v>
      </c>
      <c r="Y380" s="20">
        <f t="shared" si="4"/>
        <v>26.77491995</v>
      </c>
      <c r="Z380" s="20">
        <f t="shared" si="6"/>
        <v>11.68539346</v>
      </c>
      <c r="AA380" s="20"/>
      <c r="AB380" s="20">
        <f>IFERROR(__xludf.DUMMYFUNCTION("iferror(PERCENTRANK.INC(FILTER($X$2:$X$421, $U$2:$U$421&lt;3.75), $X380), 1)"),0.203)</f>
        <v>0.203</v>
      </c>
      <c r="AC380" s="20">
        <f>IFERROR(__xludf.DUMMYFUNCTION("iferror(PERCENTRANK.INC(FILTER($X$2:$X$421, $U$2:$U$421&lt;4.25), $X380), 1)"),0.199)</f>
        <v>0.199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384</v>
      </c>
      <c r="C381" s="18">
        <v>17.0</v>
      </c>
      <c r="D381" s="17" t="s">
        <v>99</v>
      </c>
      <c r="E381" s="17" t="s">
        <v>111</v>
      </c>
      <c r="F381" s="18">
        <v>106.0</v>
      </c>
      <c r="G381" s="18">
        <v>83.0</v>
      </c>
      <c r="H381" s="18">
        <v>43.0</v>
      </c>
      <c r="I381" s="19">
        <v>0.518</v>
      </c>
      <c r="J381" s="18">
        <v>536.0</v>
      </c>
      <c r="K381" s="18">
        <v>6.5</v>
      </c>
      <c r="L381" s="18">
        <v>2.0</v>
      </c>
      <c r="M381" s="18">
        <v>5.0</v>
      </c>
      <c r="N381" s="18">
        <v>6.0</v>
      </c>
      <c r="O381" s="18">
        <v>6.0</v>
      </c>
      <c r="P381" s="20">
        <f t="shared" si="1"/>
        <v>0.4679909011</v>
      </c>
      <c r="Q381" s="20">
        <f t="shared" si="2"/>
        <v>15.00605671</v>
      </c>
      <c r="R381" s="24"/>
      <c r="S381" s="20">
        <v>0.46799090111388963</v>
      </c>
      <c r="T381" s="22">
        <v>0.19</v>
      </c>
      <c r="U381" s="30"/>
      <c r="V381" s="30"/>
      <c r="W381" s="18">
        <v>0.9</v>
      </c>
      <c r="X381" s="22">
        <f t="shared" si="14"/>
        <v>0.09167877165</v>
      </c>
      <c r="Y381" s="20">
        <f t="shared" si="4"/>
        <v>26.95268069</v>
      </c>
      <c r="Z381" s="20">
        <f t="shared" si="6"/>
        <v>11.94662398</v>
      </c>
      <c r="AA381" s="20"/>
      <c r="AB381" s="20">
        <f>IFERROR(__xludf.DUMMYFUNCTION("iferror(PERCENTRANK.INC(FILTER($X$2:$X$421, $U$2:$U$421&lt;3.75), $X381), 1)"),0.358)</f>
        <v>0.358</v>
      </c>
      <c r="AC381" s="20">
        <f>IFERROR(__xludf.DUMMYFUNCTION("iferror(PERCENTRANK.INC(FILTER($X$2:$X$421, $U$2:$U$421&lt;4.25), $X381), 1)"),0.35)</f>
        <v>0.35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553</v>
      </c>
      <c r="C382" s="18">
        <v>7.0</v>
      </c>
      <c r="D382" s="17" t="s">
        <v>99</v>
      </c>
      <c r="E382" s="17" t="s">
        <v>176</v>
      </c>
      <c r="F382" s="18">
        <v>25.0</v>
      </c>
      <c r="G382" s="18">
        <v>22.0</v>
      </c>
      <c r="H382" s="18">
        <v>10.0</v>
      </c>
      <c r="I382" s="19">
        <v>0.455</v>
      </c>
      <c r="J382" s="18">
        <v>79.0</v>
      </c>
      <c r="K382" s="18">
        <v>3.6</v>
      </c>
      <c r="L382" s="18">
        <v>0.0</v>
      </c>
      <c r="M382" s="18">
        <v>0.0</v>
      </c>
      <c r="N382" s="18">
        <v>3.0</v>
      </c>
      <c r="O382" s="18">
        <v>0.0</v>
      </c>
      <c r="P382" s="20">
        <f t="shared" si="1"/>
        <v>0.450385</v>
      </c>
      <c r="Q382" s="20">
        <f t="shared" si="2"/>
        <v>14.80430282</v>
      </c>
      <c r="R382" s="25"/>
      <c r="S382" s="20">
        <v>0.450385</v>
      </c>
      <c r="T382" s="22">
        <v>-1.09</v>
      </c>
      <c r="U382" s="31"/>
      <c r="V382" s="30"/>
      <c r="W382" s="18">
        <v>0.9</v>
      </c>
      <c r="X382" s="22">
        <f t="shared" si="14"/>
        <v>-0.102698025</v>
      </c>
      <c r="Y382" s="20">
        <f t="shared" si="4"/>
        <v>26.72897016</v>
      </c>
      <c r="Z382" s="20">
        <f t="shared" si="6"/>
        <v>11.92466733</v>
      </c>
      <c r="AA382" s="20"/>
      <c r="AB382" s="20">
        <f>IFERROR(__xludf.DUMMYFUNCTION("iferror(PERCENTRANK.INC(FILTER($X$2:$X$421, $U$2:$U$421&lt;3.75), $X382), 1)"),0.175)</f>
        <v>0.175</v>
      </c>
      <c r="AC382" s="20">
        <f>IFERROR(__xludf.DUMMYFUNCTION("iferror(PERCENTRANK.INC(FILTER($X$2:$X$421, $U$2:$U$421&lt;4.25), $X382), 1)"),0.172)</f>
        <v>0.172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655</v>
      </c>
      <c r="C383" s="18">
        <v>5.0</v>
      </c>
      <c r="D383" s="17" t="s">
        <v>99</v>
      </c>
      <c r="E383" s="17" t="s">
        <v>188</v>
      </c>
      <c r="F383" s="18">
        <v>29.0</v>
      </c>
      <c r="G383" s="18">
        <v>27.0</v>
      </c>
      <c r="H383" s="18">
        <v>15.0</v>
      </c>
      <c r="I383" s="19">
        <v>0.556</v>
      </c>
      <c r="J383" s="18">
        <v>137.0</v>
      </c>
      <c r="K383" s="18">
        <v>5.1</v>
      </c>
      <c r="L383" s="18">
        <v>0.0</v>
      </c>
      <c r="M383" s="18">
        <v>2.0</v>
      </c>
      <c r="N383" s="18">
        <v>0.0</v>
      </c>
      <c r="O383" s="18">
        <v>0.0</v>
      </c>
      <c r="P383" s="20">
        <f t="shared" si="1"/>
        <v>0.427492</v>
      </c>
      <c r="Q383" s="20">
        <f t="shared" si="2"/>
        <v>14.5419617</v>
      </c>
      <c r="R383" s="24"/>
      <c r="S383" s="20">
        <v>0.42749200000000004</v>
      </c>
      <c r="T383" s="22">
        <v>-5.73</v>
      </c>
      <c r="U383" s="30"/>
      <c r="V383" s="30"/>
      <c r="W383" s="18">
        <v>0.9</v>
      </c>
      <c r="X383" s="22">
        <f t="shared" si="14"/>
        <v>-0.80178858</v>
      </c>
      <c r="Y383" s="20">
        <f t="shared" si="4"/>
        <v>25.92437865</v>
      </c>
      <c r="Z383" s="20">
        <f t="shared" si="6"/>
        <v>11.38241695</v>
      </c>
      <c r="AA383" s="20"/>
      <c r="AB383" s="20">
        <f>IFERROR(__xludf.DUMMYFUNCTION("iferror(PERCENTRANK.INC(FILTER($X$2:$X$421, $U$2:$U$421&lt;3.75), $X383), 1)"),0.035)</f>
        <v>0.035</v>
      </c>
      <c r="AC383" s="20">
        <f>IFERROR(__xludf.DUMMYFUNCTION("iferror(PERCENTRANK.INC(FILTER($X$2:$X$421, $U$2:$U$421&lt;4.25), $X383), 1)"),0.034)</f>
        <v>0.034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148</v>
      </c>
      <c r="C384" s="18">
        <v>1.0</v>
      </c>
      <c r="D384" s="17" t="s">
        <v>99</v>
      </c>
      <c r="E384" s="17" t="s">
        <v>149</v>
      </c>
      <c r="F384" s="18">
        <v>105.0</v>
      </c>
      <c r="G384" s="18">
        <v>92.0</v>
      </c>
      <c r="H384" s="18">
        <v>53.0</v>
      </c>
      <c r="I384" s="19">
        <v>0.576</v>
      </c>
      <c r="J384" s="18">
        <v>447.0</v>
      </c>
      <c r="K384" s="18">
        <v>4.9</v>
      </c>
      <c r="L384" s="18">
        <v>1.0</v>
      </c>
      <c r="M384" s="18">
        <v>3.0</v>
      </c>
      <c r="N384" s="18">
        <v>7.0</v>
      </c>
      <c r="O384" s="18">
        <v>9.0</v>
      </c>
      <c r="P384" s="20">
        <f t="shared" si="1"/>
        <v>0.4227044638</v>
      </c>
      <c r="Q384" s="20">
        <f t="shared" si="2"/>
        <v>14.48709918</v>
      </c>
      <c r="R384" s="24"/>
      <c r="S384" s="20">
        <v>0.42270446376811605</v>
      </c>
      <c r="T384" s="22">
        <v>-0.43</v>
      </c>
      <c r="U384" s="30"/>
      <c r="V384" s="30"/>
      <c r="W384" s="18">
        <v>0.95</v>
      </c>
      <c r="X384" s="22">
        <f t="shared" si="14"/>
        <v>-0.007434897391</v>
      </c>
      <c r="Y384" s="20">
        <f t="shared" si="4"/>
        <v>26.83860961</v>
      </c>
      <c r="Z384" s="20">
        <f t="shared" si="6"/>
        <v>12.35151042</v>
      </c>
      <c r="AA384" s="20"/>
      <c r="AB384" s="20">
        <f>IFERROR(__xludf.DUMMYFUNCTION("iferror(PERCENTRANK.INC(FILTER($X$2:$X$421, $U$2:$U$421&lt;3.75), $X384), 1)"),0.248)</f>
        <v>0.248</v>
      </c>
      <c r="AC384" s="20">
        <f>IFERROR(__xludf.DUMMYFUNCTION("iferror(PERCENTRANK.INC(FILTER($X$2:$X$421, $U$2:$U$421&lt;4.25), $X384), 1)"),0.243)</f>
        <v>0.243</v>
      </c>
      <c r="AD384" s="20">
        <f>IFERROR(__xludf.DUMMYFUNCTION("iferror(PERCENTRANK.INC(FILTER($X$2:$X$421, $U$2:$U$421&gt;=4.1), $X384), 0.01)"),0.01)</f>
        <v>0.01</v>
      </c>
      <c r="AE384" s="20"/>
    </row>
    <row r="385" ht="14.25" customHeight="1">
      <c r="A385" s="17" t="s">
        <v>755</v>
      </c>
      <c r="B385" s="17" t="s">
        <v>399</v>
      </c>
      <c r="C385" s="18">
        <v>11.0</v>
      </c>
      <c r="D385" s="17" t="s">
        <v>99</v>
      </c>
      <c r="E385" s="17" t="s">
        <v>108</v>
      </c>
      <c r="F385" s="18">
        <v>41.0</v>
      </c>
      <c r="G385" s="18">
        <v>33.0</v>
      </c>
      <c r="H385" s="18">
        <v>13.0</v>
      </c>
      <c r="I385" s="19">
        <v>0.394</v>
      </c>
      <c r="J385" s="18">
        <v>111.0</v>
      </c>
      <c r="K385" s="18">
        <v>3.4</v>
      </c>
      <c r="L385" s="18">
        <v>0.0</v>
      </c>
      <c r="M385" s="18">
        <v>0.0</v>
      </c>
      <c r="N385" s="18">
        <v>4.0</v>
      </c>
      <c r="O385" s="18">
        <v>2.0</v>
      </c>
      <c r="P385" s="20">
        <f t="shared" si="1"/>
        <v>0.4215121759</v>
      </c>
      <c r="Q385" s="20">
        <f t="shared" si="2"/>
        <v>14.47343623</v>
      </c>
      <c r="R385" s="24"/>
      <c r="S385" s="20">
        <v>0.42151217590539536</v>
      </c>
      <c r="T385" s="22">
        <v>-6.69</v>
      </c>
      <c r="W385" s="26">
        <v>0.95</v>
      </c>
      <c r="X385" s="22">
        <f t="shared" si="14"/>
        <v>-0.9465958563</v>
      </c>
      <c r="Y385" s="20">
        <f t="shared" si="4"/>
        <v>25.75771826</v>
      </c>
      <c r="Z385" s="20">
        <f t="shared" si="6"/>
        <v>11.28428204</v>
      </c>
      <c r="AA385" s="20"/>
      <c r="AB385" s="20">
        <f>IFERROR(__xludf.DUMMYFUNCTION("iferror(PERCENTRANK.INC(FILTER($X$2:$X$421, $U$2:$U$421&lt;3.75), $X385), 1)"),0.018)</f>
        <v>0.018</v>
      </c>
      <c r="AC385" s="20">
        <f>IFERROR(__xludf.DUMMYFUNCTION("iferror(PERCENTRANK.INC(FILTER($X$2:$X$421, $U$2:$U$421&lt;4.25), $X385), 1)"),0.017)</f>
        <v>0.017</v>
      </c>
      <c r="AD385" s="20">
        <f>IFERROR(__xludf.DUMMYFUNCTION("iferror(PERCENTRANK.INC(FILTER($X$2:$X$421, $U$2:$U$421&gt;=4.1), $X385), 0.01)"),0.01)</f>
        <v>0.01</v>
      </c>
      <c r="AE385" s="20"/>
    </row>
    <row r="386" ht="14.25" customHeight="1">
      <c r="A386" s="17" t="s">
        <v>756</v>
      </c>
      <c r="B386" s="17" t="s">
        <v>110</v>
      </c>
      <c r="C386" s="18">
        <v>3.0</v>
      </c>
      <c r="D386" s="17" t="s">
        <v>99</v>
      </c>
      <c r="E386" s="17" t="s">
        <v>111</v>
      </c>
      <c r="F386" s="18">
        <v>56.0</v>
      </c>
      <c r="G386" s="18">
        <v>46.0</v>
      </c>
      <c r="H386" s="18">
        <v>23.0</v>
      </c>
      <c r="I386" s="19">
        <v>0.5</v>
      </c>
      <c r="J386" s="18">
        <v>237.0</v>
      </c>
      <c r="K386" s="18">
        <v>5.2</v>
      </c>
      <c r="L386" s="18">
        <v>3.0</v>
      </c>
      <c r="M386" s="18">
        <v>4.0</v>
      </c>
      <c r="N386" s="18">
        <v>1.0</v>
      </c>
      <c r="O386" s="18">
        <v>3.0</v>
      </c>
      <c r="P386" s="20">
        <f t="shared" si="1"/>
        <v>0.4110689441</v>
      </c>
      <c r="Q386" s="20">
        <f t="shared" si="2"/>
        <v>14.35376256</v>
      </c>
      <c r="R386" s="24"/>
      <c r="S386" s="20">
        <v>0.4110689440993787</v>
      </c>
      <c r="T386" s="22">
        <v>0.17</v>
      </c>
      <c r="U386" s="30"/>
      <c r="V386" s="30"/>
      <c r="W386" s="18">
        <v>0.9</v>
      </c>
      <c r="X386" s="22">
        <f t="shared" si="14"/>
        <v>0.08099430745</v>
      </c>
      <c r="Y386" s="20">
        <f t="shared" si="4"/>
        <v>26.94038381</v>
      </c>
      <c r="Z386" s="20">
        <f t="shared" si="6"/>
        <v>12.58662125</v>
      </c>
      <c r="AA386" s="20"/>
      <c r="AB386" s="20">
        <f>IFERROR(__xludf.DUMMYFUNCTION("iferror(PERCENTRANK.INC(FILTER($X$2:$X$421, $U$2:$U$421&lt;3.75), $X386), 1)"),0.345)</f>
        <v>0.345</v>
      </c>
      <c r="AC386" s="20">
        <f>IFERROR(__xludf.DUMMYFUNCTION("iferror(PERCENTRANK.INC(FILTER($X$2:$X$421, $U$2:$U$421&lt;4.25), $X386), 1)"),0.338)</f>
        <v>0.338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757</v>
      </c>
      <c r="B387" s="17" t="s">
        <v>758</v>
      </c>
      <c r="C387" s="18">
        <v>10.0</v>
      </c>
      <c r="D387" s="17" t="s">
        <v>99</v>
      </c>
      <c r="E387" s="17" t="s">
        <v>188</v>
      </c>
      <c r="F387" s="18">
        <v>182.0</v>
      </c>
      <c r="G387" s="18">
        <v>157.0</v>
      </c>
      <c r="H387" s="18">
        <v>99.0</v>
      </c>
      <c r="I387" s="19">
        <v>0.631</v>
      </c>
      <c r="J387" s="18">
        <v>831.0</v>
      </c>
      <c r="K387" s="18">
        <v>5.3</v>
      </c>
      <c r="L387" s="18">
        <v>4.0</v>
      </c>
      <c r="M387" s="18">
        <v>7.0</v>
      </c>
      <c r="N387" s="18">
        <v>10.0</v>
      </c>
      <c r="O387" s="18">
        <v>6.0</v>
      </c>
      <c r="P387" s="20">
        <f t="shared" si="1"/>
        <v>0.4056986966</v>
      </c>
      <c r="Q387" s="20">
        <f t="shared" si="2"/>
        <v>14.2922225</v>
      </c>
      <c r="R387" s="24"/>
      <c r="S387" s="20">
        <v>0.4056986966473018</v>
      </c>
      <c r="T387" s="22">
        <v>0.81</v>
      </c>
      <c r="U387" s="30"/>
      <c r="V387" s="30"/>
      <c r="W387" s="18">
        <v>0.9</v>
      </c>
      <c r="X387" s="22">
        <f t="shared" si="14"/>
        <v>0.176269324</v>
      </c>
      <c r="Y387" s="20">
        <f t="shared" si="4"/>
        <v>27.05003695</v>
      </c>
      <c r="Z387" s="20">
        <f t="shared" si="6"/>
        <v>12.75781445</v>
      </c>
      <c r="AA387" s="20"/>
      <c r="AB387" s="20">
        <f>IFERROR(__xludf.DUMMYFUNCTION("iferror(PERCENTRANK.INC(FILTER($X$2:$X$421, $U$2:$U$421&lt;3.75), $X387), 1)"),0.443)</f>
        <v>0.443</v>
      </c>
      <c r="AC387" s="20">
        <f>IFERROR(__xludf.DUMMYFUNCTION("iferror(PERCENTRANK.INC(FILTER($X$2:$X$421, $U$2:$U$421&lt;4.25), $X387), 1)"),0.434)</f>
        <v>0.434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499</v>
      </c>
      <c r="C388" s="18">
        <v>3.0</v>
      </c>
      <c r="D388" s="17" t="s">
        <v>99</v>
      </c>
      <c r="E388" s="17" t="s">
        <v>105</v>
      </c>
      <c r="F388" s="18">
        <v>200.0</v>
      </c>
      <c r="G388" s="18">
        <v>153.0</v>
      </c>
      <c r="H388" s="18">
        <v>82.0</v>
      </c>
      <c r="I388" s="19">
        <v>0.536</v>
      </c>
      <c r="J388" s="18">
        <v>851.0</v>
      </c>
      <c r="K388" s="18">
        <v>5.6</v>
      </c>
      <c r="L388" s="18">
        <v>4.0</v>
      </c>
      <c r="M388" s="18">
        <v>7.0</v>
      </c>
      <c r="N388" s="18">
        <v>25.0</v>
      </c>
      <c r="O388" s="18">
        <v>7.0</v>
      </c>
      <c r="P388" s="20">
        <f t="shared" si="1"/>
        <v>0.3869506928</v>
      </c>
      <c r="Q388" s="20">
        <f t="shared" si="2"/>
        <v>14.07738074</v>
      </c>
      <c r="R388" s="24"/>
      <c r="S388" s="20">
        <v>0.38695069281045746</v>
      </c>
      <c r="T388" s="22">
        <v>-0.87</v>
      </c>
      <c r="U388" s="30"/>
      <c r="V388" s="30"/>
      <c r="W388" s="18">
        <v>0.9</v>
      </c>
      <c r="X388" s="22">
        <f t="shared" si="14"/>
        <v>-0.07826165647</v>
      </c>
      <c r="Y388" s="20">
        <f t="shared" si="4"/>
        <v>26.75709426</v>
      </c>
      <c r="Z388" s="20">
        <f t="shared" si="6"/>
        <v>12.67971352</v>
      </c>
      <c r="AA388" s="20"/>
      <c r="AB388" s="20">
        <f>IFERROR(__xludf.DUMMYFUNCTION("iferror(PERCENTRANK.INC(FILTER($X$2:$X$421, $U$2:$U$421&lt;3.75), $X388), 1)"),0.19)</f>
        <v>0.19</v>
      </c>
      <c r="AC388" s="20">
        <f>IFERROR(__xludf.DUMMYFUNCTION("iferror(PERCENTRANK.INC(FILTER($X$2:$X$421, $U$2:$U$421&lt;4.25), $X388), 1)"),0.186)</f>
        <v>0.186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429</v>
      </c>
      <c r="C389" s="18">
        <v>12.0</v>
      </c>
      <c r="D389" s="17" t="s">
        <v>99</v>
      </c>
      <c r="E389" s="17" t="s">
        <v>111</v>
      </c>
      <c r="F389" s="18">
        <v>56.0</v>
      </c>
      <c r="G389" s="18">
        <v>51.0</v>
      </c>
      <c r="H389" s="18">
        <v>27.0</v>
      </c>
      <c r="I389" s="19">
        <v>0.529</v>
      </c>
      <c r="J389" s="18">
        <v>245.0</v>
      </c>
      <c r="K389" s="18">
        <v>4.8</v>
      </c>
      <c r="L389" s="18">
        <v>0.0</v>
      </c>
      <c r="M389" s="18">
        <v>2.0</v>
      </c>
      <c r="N389" s="18">
        <v>3.0</v>
      </c>
      <c r="O389" s="18">
        <v>2.0</v>
      </c>
      <c r="P389" s="20">
        <f t="shared" si="1"/>
        <v>0.3867590224</v>
      </c>
      <c r="Q389" s="20">
        <f t="shared" si="2"/>
        <v>14.0751843</v>
      </c>
      <c r="R389" s="24"/>
      <c r="S389" s="20">
        <v>0.38675902240896354</v>
      </c>
      <c r="T389" s="22">
        <v>-0.69</v>
      </c>
      <c r="W389" s="26">
        <v>0.9</v>
      </c>
      <c r="X389" s="22">
        <f t="shared" si="14"/>
        <v>-0.05128753197</v>
      </c>
      <c r="Y389" s="20">
        <f t="shared" si="4"/>
        <v>26.7881391</v>
      </c>
      <c r="Z389" s="20">
        <f t="shared" si="6"/>
        <v>12.71295479</v>
      </c>
      <c r="AA389" s="20"/>
      <c r="AB389" s="20">
        <f>IFERROR(__xludf.DUMMYFUNCTION("iferror(PERCENTRANK.INC(FILTER($X$2:$X$421, $U$2:$U$421&lt;3.75), $X389), 1)"),0.208)</f>
        <v>0.208</v>
      </c>
      <c r="AC389" s="20">
        <f>IFERROR(__xludf.DUMMYFUNCTION("iferror(PERCENTRANK.INC(FILTER($X$2:$X$421, $U$2:$U$421&lt;4.25), $X389), 1)"),0.203)</f>
        <v>0.203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521</v>
      </c>
      <c r="C390" s="18">
        <v>17.0</v>
      </c>
      <c r="D390" s="17" t="s">
        <v>99</v>
      </c>
      <c r="E390" s="17" t="s">
        <v>117</v>
      </c>
      <c r="F390" s="18">
        <v>42.0</v>
      </c>
      <c r="G390" s="18">
        <v>29.0</v>
      </c>
      <c r="H390" s="18">
        <v>13.0</v>
      </c>
      <c r="I390" s="19">
        <v>0.448</v>
      </c>
      <c r="J390" s="18">
        <v>119.0</v>
      </c>
      <c r="K390" s="18">
        <v>4.1</v>
      </c>
      <c r="L390" s="18">
        <v>1.0</v>
      </c>
      <c r="M390" s="18">
        <v>1.0</v>
      </c>
      <c r="N390" s="18">
        <v>6.0</v>
      </c>
      <c r="O390" s="18">
        <v>3.0</v>
      </c>
      <c r="P390" s="20">
        <f t="shared" si="1"/>
        <v>0.3667202365</v>
      </c>
      <c r="Q390" s="20">
        <f t="shared" si="2"/>
        <v>13.8455509</v>
      </c>
      <c r="R390" s="24"/>
      <c r="S390" s="20">
        <v>0.3667202364532018</v>
      </c>
      <c r="T390" s="22">
        <v>-5.55</v>
      </c>
      <c r="W390" s="26">
        <v>0.9</v>
      </c>
      <c r="X390" s="22">
        <f t="shared" si="14"/>
        <v>-0.7774919645</v>
      </c>
      <c r="Y390" s="20">
        <f t="shared" si="4"/>
        <v>25.95234191</v>
      </c>
      <c r="Z390" s="20">
        <f t="shared" si="6"/>
        <v>12.10679101</v>
      </c>
      <c r="AA390" s="20"/>
      <c r="AB390" s="20">
        <f>IFERROR(__xludf.DUMMYFUNCTION("iferror(PERCENTRANK.INC(FILTER($X$2:$X$421, $U$2:$U$421&lt;3.75), $X390), 1)"),0.038)</f>
        <v>0.038</v>
      </c>
      <c r="AC390" s="20">
        <f>IFERROR(__xludf.DUMMYFUNCTION("iferror(PERCENTRANK.INC(FILTER($X$2:$X$421, $U$2:$U$421&lt;4.25), $X390), 1)"),0.037)</f>
        <v>0.037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362</v>
      </c>
      <c r="C391" s="18">
        <v>7.0</v>
      </c>
      <c r="D391" s="17" t="s">
        <v>99</v>
      </c>
      <c r="E391" s="17" t="s">
        <v>138</v>
      </c>
      <c r="F391" s="18">
        <v>39.0</v>
      </c>
      <c r="G391" s="18">
        <v>35.0</v>
      </c>
      <c r="H391" s="18">
        <v>19.0</v>
      </c>
      <c r="I391" s="19">
        <v>0.543</v>
      </c>
      <c r="J391" s="18">
        <v>127.0</v>
      </c>
      <c r="K391" s="18">
        <v>3.6</v>
      </c>
      <c r="L391" s="18">
        <v>0.0</v>
      </c>
      <c r="M391" s="18">
        <v>1.0</v>
      </c>
      <c r="N391" s="18">
        <v>1.0</v>
      </c>
      <c r="O391" s="18">
        <v>1.0</v>
      </c>
      <c r="P391" s="20">
        <f t="shared" si="1"/>
        <v>0.3609028315</v>
      </c>
      <c r="Q391" s="20">
        <f t="shared" si="2"/>
        <v>13.77888665</v>
      </c>
      <c r="R391" s="24"/>
      <c r="S391" s="20">
        <v>0.36090283150183156</v>
      </c>
      <c r="T391" s="22">
        <v>-20.13</v>
      </c>
      <c r="W391" s="26">
        <v>0.9</v>
      </c>
      <c r="X391" s="22">
        <f t="shared" si="14"/>
        <v>-2.968071347</v>
      </c>
      <c r="Y391" s="20">
        <f t="shared" si="4"/>
        <v>23.43117845</v>
      </c>
      <c r="Z391" s="20">
        <f t="shared" si="6"/>
        <v>9.652291792</v>
      </c>
      <c r="AA391" s="20"/>
      <c r="AB391" s="20">
        <f>IFERROR(__xludf.DUMMYFUNCTION("iferror(PERCENTRANK.INC(FILTER($X$2:$X$421, $U$2:$U$421&lt;3.75), $X391), 1)"),0.003)</f>
        <v>0.003</v>
      </c>
      <c r="AC391" s="20">
        <f>IFERROR(__xludf.DUMMYFUNCTION("iferror(PERCENTRANK.INC(FILTER($X$2:$X$421, $U$2:$U$421&lt;4.25), $X391), 1)"),0.002)</f>
        <v>0.002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590</v>
      </c>
      <c r="C392" s="18">
        <v>19.0</v>
      </c>
      <c r="D392" s="17" t="s">
        <v>99</v>
      </c>
      <c r="E392" s="17" t="s">
        <v>111</v>
      </c>
      <c r="F392" s="18">
        <v>51.0</v>
      </c>
      <c r="G392" s="18">
        <v>43.0</v>
      </c>
      <c r="H392" s="18">
        <v>24.0</v>
      </c>
      <c r="I392" s="19">
        <v>0.558</v>
      </c>
      <c r="J392" s="18">
        <v>176.0</v>
      </c>
      <c r="K392" s="18">
        <v>4.1</v>
      </c>
      <c r="L392" s="18">
        <v>1.0</v>
      </c>
      <c r="M392" s="18">
        <v>2.0</v>
      </c>
      <c r="N392" s="18">
        <v>3.0</v>
      </c>
      <c r="O392" s="18">
        <v>2.0</v>
      </c>
      <c r="P392" s="20">
        <f t="shared" si="1"/>
        <v>0.3426731683</v>
      </c>
      <c r="Q392" s="20">
        <f t="shared" si="2"/>
        <v>13.56998479</v>
      </c>
      <c r="R392" s="24"/>
      <c r="S392" s="20">
        <v>0.3426731682626537</v>
      </c>
      <c r="T392" s="22">
        <v>-0.62</v>
      </c>
      <c r="W392" s="26">
        <v>0.9</v>
      </c>
      <c r="X392" s="22">
        <f t="shared" si="14"/>
        <v>-0.04673912228</v>
      </c>
      <c r="Y392" s="20">
        <f t="shared" si="4"/>
        <v>26.79337391</v>
      </c>
      <c r="Z392" s="20">
        <f t="shared" si="6"/>
        <v>13.22338912</v>
      </c>
      <c r="AA392" s="20"/>
      <c r="AB392" s="20">
        <f>IFERROR(__xludf.DUMMYFUNCTION("iferror(PERCENTRANK.INC(FILTER($X$2:$X$421, $U$2:$U$421&lt;3.75), $X392), 1)"),0.218)</f>
        <v>0.218</v>
      </c>
      <c r="AC392" s="20">
        <f>IFERROR(__xludf.DUMMYFUNCTION("iferror(PERCENTRANK.INC(FILTER($X$2:$X$421, $U$2:$U$421&lt;4.25), $X392), 1)"),0.213)</f>
        <v>0.213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664</v>
      </c>
      <c r="C393" s="18">
        <v>6.0</v>
      </c>
      <c r="D393" s="17" t="s">
        <v>99</v>
      </c>
      <c r="E393" s="17" t="s">
        <v>209</v>
      </c>
      <c r="F393" s="18">
        <v>322.0</v>
      </c>
      <c r="G393" s="18">
        <v>285.0</v>
      </c>
      <c r="H393" s="18">
        <v>166.0</v>
      </c>
      <c r="I393" s="19">
        <v>0.583</v>
      </c>
      <c r="J393" s="18">
        <v>1588.0</v>
      </c>
      <c r="K393" s="18">
        <v>5.6</v>
      </c>
      <c r="L393" s="18">
        <v>5.0</v>
      </c>
      <c r="M393" s="18">
        <v>11.0</v>
      </c>
      <c r="N393" s="18">
        <v>18.0</v>
      </c>
      <c r="O393" s="18">
        <v>15.0</v>
      </c>
      <c r="P393" s="20">
        <f t="shared" si="1"/>
        <v>0.3604751157</v>
      </c>
      <c r="Q393" s="20">
        <f t="shared" si="2"/>
        <v>13.77398527</v>
      </c>
      <c r="R393" s="24"/>
      <c r="S393" s="20">
        <v>0.3604751157240927</v>
      </c>
      <c r="T393" s="22">
        <v>-0.81</v>
      </c>
      <c r="U393" s="30"/>
      <c r="V393" s="30"/>
      <c r="W393" s="18">
        <v>0.9</v>
      </c>
      <c r="X393" s="22">
        <f t="shared" si="14"/>
        <v>-0.07283585938</v>
      </c>
      <c r="Y393" s="20">
        <f t="shared" si="4"/>
        <v>26.76333887</v>
      </c>
      <c r="Z393" s="20">
        <f t="shared" si="6"/>
        <v>12.98935361</v>
      </c>
      <c r="AA393" s="20"/>
      <c r="AB393" s="20">
        <f>IFERROR(__xludf.DUMMYFUNCTION("iferror(PERCENTRANK.INC(FILTER($X$2:$X$421, $U$2:$U$421&lt;3.75), $X393), 1)"),0.195)</f>
        <v>0.195</v>
      </c>
      <c r="AC393" s="20">
        <f>IFERROR(__xludf.DUMMYFUNCTION("iferror(PERCENTRANK.INC(FILTER($X$2:$X$421, $U$2:$U$421&lt;4.25), $X393), 1)"),0.191)</f>
        <v>0.191</v>
      </c>
      <c r="AD393" s="20">
        <f>IFERROR(__xludf.DUMMYFUNCTION("iferror(PERCENTRANK.INC(FILTER($X$2:$X$421, $U$2:$U$421&gt;=4.1), $X393), 0.01)"),0.01)</f>
        <v>0.01</v>
      </c>
      <c r="AE393" s="20"/>
    </row>
    <row r="394" ht="14.25" customHeight="1">
      <c r="A394" s="17" t="s">
        <v>765</v>
      </c>
      <c r="B394" s="17" t="s">
        <v>194</v>
      </c>
      <c r="C394" s="18">
        <v>8.0</v>
      </c>
      <c r="D394" s="17" t="s">
        <v>99</v>
      </c>
      <c r="E394" s="17" t="s">
        <v>169</v>
      </c>
      <c r="F394" s="18">
        <v>26.0</v>
      </c>
      <c r="G394" s="18">
        <v>23.0</v>
      </c>
      <c r="H394" s="18">
        <v>11.0</v>
      </c>
      <c r="I394" s="19">
        <v>0.478</v>
      </c>
      <c r="J394" s="18">
        <v>83.0</v>
      </c>
      <c r="K394" s="18">
        <v>3.6</v>
      </c>
      <c r="L394" s="18">
        <v>1.0</v>
      </c>
      <c r="M394" s="18">
        <v>1.0</v>
      </c>
      <c r="N394" s="18">
        <v>3.0</v>
      </c>
      <c r="O394" s="18">
        <v>1.0</v>
      </c>
      <c r="P394" s="20">
        <f t="shared" si="1"/>
        <v>0.3435787759</v>
      </c>
      <c r="Q394" s="20">
        <f t="shared" si="2"/>
        <v>13.58036256</v>
      </c>
      <c r="R394" s="24"/>
      <c r="S394" s="20">
        <v>0.3435787759197324</v>
      </c>
      <c r="T394" s="22">
        <v>-2.4</v>
      </c>
      <c r="W394" s="26">
        <v>0.9</v>
      </c>
      <c r="X394" s="22">
        <f t="shared" si="14"/>
        <v>-0.3136168653</v>
      </c>
      <c r="Y394" s="20">
        <f t="shared" si="4"/>
        <v>26.48622119</v>
      </c>
      <c r="Z394" s="20">
        <f t="shared" si="6"/>
        <v>12.90585864</v>
      </c>
      <c r="AA394" s="20"/>
      <c r="AB394" s="20">
        <f>IFERROR(__xludf.DUMMYFUNCTION("iferror(PERCENTRANK.INC(FILTER($X$2:$X$421, $U$2:$U$421&lt;3.75), $X394), 1)"),0.08)</f>
        <v>0.08</v>
      </c>
      <c r="AC394" s="20">
        <f>IFERROR(__xludf.DUMMYFUNCTION("iferror(PERCENTRANK.INC(FILTER($X$2:$X$421, $U$2:$U$421&lt;4.25), $X394), 1)"),0.078)</f>
        <v>0.078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560</v>
      </c>
      <c r="C395" s="18">
        <v>14.0</v>
      </c>
      <c r="D395" s="17" t="s">
        <v>99</v>
      </c>
      <c r="E395" s="17" t="s">
        <v>102</v>
      </c>
      <c r="F395" s="18">
        <v>49.0</v>
      </c>
      <c r="G395" s="18">
        <v>39.0</v>
      </c>
      <c r="H395" s="18">
        <v>16.0</v>
      </c>
      <c r="I395" s="19">
        <v>0.41</v>
      </c>
      <c r="J395" s="18">
        <v>217.0</v>
      </c>
      <c r="K395" s="18">
        <v>5.6</v>
      </c>
      <c r="L395" s="18">
        <v>1.0</v>
      </c>
      <c r="M395" s="18">
        <v>3.0</v>
      </c>
      <c r="N395" s="18">
        <v>3.0</v>
      </c>
      <c r="O395" s="18">
        <v>4.0</v>
      </c>
      <c r="P395" s="20">
        <f t="shared" si="1"/>
        <v>0.3371942282</v>
      </c>
      <c r="Q395" s="20">
        <f t="shared" si="2"/>
        <v>13.50719917</v>
      </c>
      <c r="R395" s="24"/>
      <c r="S395" s="20">
        <v>0.33719422815279954</v>
      </c>
      <c r="T395" s="22">
        <v>-0.19</v>
      </c>
      <c r="W395" s="26">
        <v>1.0</v>
      </c>
      <c r="X395" s="22">
        <f t="shared" si="14"/>
        <v>0.0170212208</v>
      </c>
      <c r="Y395" s="20">
        <f t="shared" si="4"/>
        <v>26.86675644</v>
      </c>
      <c r="Z395" s="20">
        <f t="shared" si="6"/>
        <v>13.35955727</v>
      </c>
      <c r="AA395" s="20"/>
      <c r="AB395" s="20">
        <f>IFERROR(__xludf.DUMMYFUNCTION("iferror(PERCENTRANK.INC(FILTER($X$2:$X$421, $U$2:$U$421&lt;3.75), $X395), 1)"),0.285)</f>
        <v>0.285</v>
      </c>
      <c r="AC395" s="20">
        <f>IFERROR(__xludf.DUMMYFUNCTION("iferror(PERCENTRANK.INC(FILTER($X$2:$X$421, $U$2:$U$421&lt;4.25), $X395), 1)"),0.279)</f>
        <v>0.279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531</v>
      </c>
      <c r="C396" s="18">
        <v>7.0</v>
      </c>
      <c r="D396" s="17" t="s">
        <v>99</v>
      </c>
      <c r="E396" s="17" t="s">
        <v>120</v>
      </c>
      <c r="F396" s="18">
        <v>60.0</v>
      </c>
      <c r="G396" s="18">
        <v>50.0</v>
      </c>
      <c r="H396" s="18">
        <v>25.0</v>
      </c>
      <c r="I396" s="19">
        <v>0.5</v>
      </c>
      <c r="J396" s="18">
        <v>241.0</v>
      </c>
      <c r="K396" s="18">
        <v>4.8</v>
      </c>
      <c r="L396" s="18">
        <v>0.0</v>
      </c>
      <c r="M396" s="18">
        <v>2.0</v>
      </c>
      <c r="N396" s="18">
        <v>6.0</v>
      </c>
      <c r="O396" s="18">
        <v>3.0</v>
      </c>
      <c r="P396" s="20">
        <f t="shared" si="1"/>
        <v>0.3203</v>
      </c>
      <c r="Q396" s="20">
        <f t="shared" si="2"/>
        <v>13.31360066</v>
      </c>
      <c r="R396" s="24"/>
      <c r="S396" s="20">
        <v>0.32030000000000003</v>
      </c>
      <c r="T396" s="22">
        <v>-1.96</v>
      </c>
      <c r="U396" s="30"/>
      <c r="V396" s="30"/>
      <c r="W396" s="18">
        <v>0.95</v>
      </c>
      <c r="X396" s="22">
        <f t="shared" si="14"/>
        <v>-0.245955</v>
      </c>
      <c r="Y396" s="20">
        <f t="shared" si="4"/>
        <v>26.56409403</v>
      </c>
      <c r="Z396" s="20">
        <f t="shared" si="6"/>
        <v>13.25049337</v>
      </c>
      <c r="AA396" s="20"/>
      <c r="AB396" s="20">
        <f>IFERROR(__xludf.DUMMYFUNCTION("iferror(PERCENTRANK.INC(FILTER($X$2:$X$421, $U$2:$U$421&lt;3.75), $X396), 1)"),0.093)</f>
        <v>0.093</v>
      </c>
      <c r="AC396" s="20">
        <f>IFERROR(__xludf.DUMMYFUNCTION("iferror(PERCENTRANK.INC(FILTER($X$2:$X$421, $U$2:$U$421&lt;4.25), $X396), 1)"),0.091)</f>
        <v>0.091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505</v>
      </c>
      <c r="C397" s="18">
        <v>8.0</v>
      </c>
      <c r="D397" s="17" t="s">
        <v>99</v>
      </c>
      <c r="E397" s="17" t="s">
        <v>188</v>
      </c>
      <c r="F397" s="18">
        <v>47.0</v>
      </c>
      <c r="G397" s="18">
        <v>43.0</v>
      </c>
      <c r="H397" s="18">
        <v>22.0</v>
      </c>
      <c r="I397" s="19">
        <v>0.512</v>
      </c>
      <c r="J397" s="18">
        <v>277.0</v>
      </c>
      <c r="K397" s="18">
        <v>6.4</v>
      </c>
      <c r="L397" s="18">
        <v>1.0</v>
      </c>
      <c r="M397" s="18">
        <v>4.0</v>
      </c>
      <c r="N397" s="18">
        <v>1.0</v>
      </c>
      <c r="O397" s="18">
        <v>6.0</v>
      </c>
      <c r="P397" s="20">
        <f t="shared" si="1"/>
        <v>0.3082794973</v>
      </c>
      <c r="Q397" s="20">
        <f t="shared" si="2"/>
        <v>13.17585234</v>
      </c>
      <c r="R397" s="24"/>
      <c r="S397" s="20">
        <v>0.30827949727857507</v>
      </c>
      <c r="T397" s="22">
        <v>-1.18</v>
      </c>
      <c r="U397" s="30"/>
      <c r="V397" s="30"/>
      <c r="W397" s="18">
        <v>0.9</v>
      </c>
      <c r="X397" s="22">
        <f t="shared" si="14"/>
        <v>-0.1330701716</v>
      </c>
      <c r="Y397" s="20">
        <f t="shared" si="4"/>
        <v>26.6940145</v>
      </c>
      <c r="Z397" s="20">
        <f t="shared" si="6"/>
        <v>13.51816216</v>
      </c>
      <c r="AA397" s="20"/>
      <c r="AB397" s="20">
        <f>IFERROR(__xludf.DUMMYFUNCTION("iferror(PERCENTRANK.INC(FILTER($X$2:$X$421, $U$2:$U$421&lt;3.75), $X397), 1)"),0.153)</f>
        <v>0.153</v>
      </c>
      <c r="AC397" s="20">
        <f>IFERROR(__xludf.DUMMYFUNCTION("iferror(PERCENTRANK.INC(FILTER($X$2:$X$421, $U$2:$U$421&lt;4.25), $X397), 1)"),0.15)</f>
        <v>0.15</v>
      </c>
      <c r="AD397" s="20">
        <f>IFERROR(__xludf.DUMMYFUNCTION("iferror(PERCENTRANK.INC(FILTER($X$2:$X$421, $U$2:$U$421&gt;=4.1), $X397), 0.01)"),0.01)</f>
        <v>0.01</v>
      </c>
      <c r="AE397" s="20"/>
    </row>
    <row r="398" ht="14.25" customHeight="1">
      <c r="A398" s="17" t="s">
        <v>769</v>
      </c>
      <c r="B398" s="17" t="s">
        <v>590</v>
      </c>
      <c r="C398" s="18">
        <v>17.0</v>
      </c>
      <c r="D398" s="17" t="s">
        <v>99</v>
      </c>
      <c r="E398" s="17" t="s">
        <v>111</v>
      </c>
      <c r="F398" s="18">
        <v>36.0</v>
      </c>
      <c r="G398" s="18">
        <v>30.0</v>
      </c>
      <c r="H398" s="18">
        <v>18.0</v>
      </c>
      <c r="I398" s="19">
        <v>0.6</v>
      </c>
      <c r="J398" s="18">
        <v>225.0</v>
      </c>
      <c r="K398" s="18">
        <v>7.5</v>
      </c>
      <c r="L398" s="18">
        <v>1.0</v>
      </c>
      <c r="M398" s="18">
        <v>4.0</v>
      </c>
      <c r="N398" s="18">
        <v>6.0</v>
      </c>
      <c r="O398" s="18">
        <v>4.0</v>
      </c>
      <c r="P398" s="20">
        <f t="shared" si="1"/>
        <v>0.2808666667</v>
      </c>
      <c r="Q398" s="20">
        <f t="shared" si="2"/>
        <v>12.86171646</v>
      </c>
      <c r="R398" s="24"/>
      <c r="S398" s="20">
        <v>0.2808666666666669</v>
      </c>
      <c r="T398" s="22">
        <v>-1.15</v>
      </c>
      <c r="U398" s="30"/>
      <c r="V398" s="30"/>
      <c r="W398" s="18">
        <v>0.9</v>
      </c>
      <c r="X398" s="22">
        <f t="shared" si="14"/>
        <v>-0.134583</v>
      </c>
      <c r="Y398" s="20">
        <f t="shared" si="4"/>
        <v>26.69227337</v>
      </c>
      <c r="Z398" s="20">
        <f t="shared" si="6"/>
        <v>13.8305569</v>
      </c>
      <c r="AA398" s="20"/>
      <c r="AB398" s="20">
        <f>IFERROR(__xludf.DUMMYFUNCTION("iferror(PERCENTRANK.INC(FILTER($X$2:$X$421, $U$2:$U$421&lt;3.75), $X398), 1)"),0.15)</f>
        <v>0.15</v>
      </c>
      <c r="AC398" s="20">
        <f>IFERROR(__xludf.DUMMYFUNCTION("iferror(PERCENTRANK.INC(FILTER($X$2:$X$421, $U$2:$U$421&lt;4.25), $X398), 1)"),0.147)</f>
        <v>0.147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447</v>
      </c>
      <c r="C399" s="18">
        <v>7.0</v>
      </c>
      <c r="D399" s="17" t="s">
        <v>99</v>
      </c>
      <c r="E399" s="17" t="s">
        <v>146</v>
      </c>
      <c r="F399" s="18">
        <v>48.0</v>
      </c>
      <c r="G399" s="18">
        <v>46.0</v>
      </c>
      <c r="H399" s="18">
        <v>17.0</v>
      </c>
      <c r="I399" s="19">
        <v>0.37</v>
      </c>
      <c r="J399" s="18">
        <v>242.0</v>
      </c>
      <c r="K399" s="18">
        <v>5.3</v>
      </c>
      <c r="L399" s="18">
        <v>2.0</v>
      </c>
      <c r="M399" s="18">
        <v>4.0</v>
      </c>
      <c r="N399" s="18">
        <v>2.0</v>
      </c>
      <c r="O399" s="18">
        <v>4.0</v>
      </c>
      <c r="P399" s="20">
        <f t="shared" si="1"/>
        <v>0.2669581159</v>
      </c>
      <c r="Q399" s="20">
        <f t="shared" si="2"/>
        <v>12.70233216</v>
      </c>
      <c r="R399" s="24"/>
      <c r="S399" s="20">
        <v>0.26695811594202906</v>
      </c>
      <c r="T399" s="22">
        <v>2.56</v>
      </c>
      <c r="U399" s="30"/>
      <c r="V399" s="30"/>
      <c r="W399" s="18">
        <v>0.9</v>
      </c>
      <c r="X399" s="22">
        <f t="shared" si="14"/>
        <v>0.4200393457</v>
      </c>
      <c r="Y399" s="20">
        <f t="shared" si="4"/>
        <v>27.33059472</v>
      </c>
      <c r="Z399" s="20">
        <f t="shared" si="6"/>
        <v>14.62826256</v>
      </c>
      <c r="AA399" s="20"/>
      <c r="AB399" s="20">
        <f>IFERROR(__xludf.DUMMYFUNCTION("iferror(PERCENTRANK.INC(FILTER($X$2:$X$421, $U$2:$U$421&lt;3.75), $X399), 1)"),0.603)</f>
        <v>0.603</v>
      </c>
      <c r="AC399" s="20">
        <f>IFERROR(__xludf.DUMMYFUNCTION("iferror(PERCENTRANK.INC(FILTER($X$2:$X$421, $U$2:$U$421&lt;4.25), $X399), 1)"),0.591)</f>
        <v>0.591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611</v>
      </c>
      <c r="C400" s="18">
        <v>16.0</v>
      </c>
      <c r="D400" s="17" t="s">
        <v>99</v>
      </c>
      <c r="E400" s="17" t="s">
        <v>135</v>
      </c>
      <c r="F400" s="18">
        <v>234.0</v>
      </c>
      <c r="G400" s="18">
        <v>204.0</v>
      </c>
      <c r="H400" s="18">
        <v>98.0</v>
      </c>
      <c r="I400" s="19">
        <v>0.48</v>
      </c>
      <c r="J400" s="18">
        <v>890.0</v>
      </c>
      <c r="K400" s="18">
        <v>4.4</v>
      </c>
      <c r="L400" s="18">
        <v>2.0</v>
      </c>
      <c r="M400" s="18">
        <v>6.0</v>
      </c>
      <c r="N400" s="18">
        <v>22.0</v>
      </c>
      <c r="O400" s="18">
        <v>12.0</v>
      </c>
      <c r="P400" s="20">
        <f t="shared" si="1"/>
        <v>0.2302840825</v>
      </c>
      <c r="Q400" s="20">
        <f t="shared" si="2"/>
        <v>12.28206802</v>
      </c>
      <c r="R400" s="24"/>
      <c r="S400" s="20">
        <v>0.23028408245349444</v>
      </c>
      <c r="T400" s="22">
        <v>-0.8</v>
      </c>
      <c r="U400" s="30"/>
      <c r="V400" s="30"/>
      <c r="W400" s="18">
        <v>0.9</v>
      </c>
      <c r="X400" s="22">
        <f t="shared" si="14"/>
        <v>-0.08891164887</v>
      </c>
      <c r="Y400" s="20">
        <f t="shared" si="4"/>
        <v>26.74483706</v>
      </c>
      <c r="Z400" s="20">
        <f t="shared" si="6"/>
        <v>14.46276904</v>
      </c>
      <c r="AA400" s="20"/>
      <c r="AB400" s="20">
        <f>IFERROR(__xludf.DUMMYFUNCTION("iferror(PERCENTRANK.INC(FILTER($X$2:$X$421, $U$2:$U$421&lt;3.75), $X400), 1)"),0.18)</f>
        <v>0.18</v>
      </c>
      <c r="AC400" s="20">
        <f>IFERROR(__xludf.DUMMYFUNCTION("iferror(PERCENTRANK.INC(FILTER($X$2:$X$421, $U$2:$U$421&lt;4.25), $X400), 1)"),0.176)</f>
        <v>0.176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369</v>
      </c>
      <c r="C401" s="18">
        <v>10.0</v>
      </c>
      <c r="D401" s="17" t="s">
        <v>99</v>
      </c>
      <c r="E401" s="17" t="s">
        <v>130</v>
      </c>
      <c r="F401" s="18">
        <v>241.0</v>
      </c>
      <c r="G401" s="18">
        <v>193.0</v>
      </c>
      <c r="H401" s="18">
        <v>100.0</v>
      </c>
      <c r="I401" s="19">
        <v>0.518</v>
      </c>
      <c r="J401" s="18">
        <v>1076.0</v>
      </c>
      <c r="K401" s="18">
        <v>5.6</v>
      </c>
      <c r="L401" s="18">
        <v>6.0</v>
      </c>
      <c r="M401" s="18">
        <v>10.0</v>
      </c>
      <c r="N401" s="18">
        <v>16.0</v>
      </c>
      <c r="O401" s="18">
        <v>15.0</v>
      </c>
      <c r="P401" s="20">
        <f t="shared" si="1"/>
        <v>0.2398597927</v>
      </c>
      <c r="Q401" s="20">
        <f t="shared" si="2"/>
        <v>12.39180036</v>
      </c>
      <c r="R401" s="24"/>
      <c r="S401" s="20">
        <v>0.23985979270311528</v>
      </c>
      <c r="T401" s="22">
        <v>-3.3</v>
      </c>
      <c r="U401" s="30"/>
      <c r="V401" s="30"/>
      <c r="W401" s="18">
        <v>1.0</v>
      </c>
      <c r="X401" s="22">
        <f t="shared" si="14"/>
        <v>-0.462618928</v>
      </c>
      <c r="Y401" s="20">
        <f t="shared" si="4"/>
        <v>26.31473298</v>
      </c>
      <c r="Z401" s="20">
        <f t="shared" si="6"/>
        <v>13.92293261</v>
      </c>
      <c r="AA401" s="20"/>
      <c r="AB401" s="20">
        <f>IFERROR(__xludf.DUMMYFUNCTION("iferror(PERCENTRANK.INC(FILTER($X$2:$X$421, $U$2:$U$421&lt;3.75), $X401), 1)"),0.053)</f>
        <v>0.053</v>
      </c>
      <c r="AC401" s="20">
        <f>IFERROR(__xludf.DUMMYFUNCTION("iferror(PERCENTRANK.INC(FILTER($X$2:$X$421, $U$2:$U$421&lt;4.25), $X401), 1)"),0.051)</f>
        <v>0.051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557</v>
      </c>
      <c r="C402" s="18">
        <v>7.0</v>
      </c>
      <c r="D402" s="17" t="s">
        <v>99</v>
      </c>
      <c r="E402" s="17" t="s">
        <v>108</v>
      </c>
      <c r="F402" s="18">
        <v>68.0</v>
      </c>
      <c r="G402" s="18">
        <v>64.0</v>
      </c>
      <c r="H402" s="18">
        <v>37.0</v>
      </c>
      <c r="I402" s="19">
        <v>0.578</v>
      </c>
      <c r="J402" s="18">
        <v>327.0</v>
      </c>
      <c r="K402" s="18">
        <v>5.1</v>
      </c>
      <c r="L402" s="18">
        <v>1.0</v>
      </c>
      <c r="M402" s="18">
        <v>4.0</v>
      </c>
      <c r="N402" s="18">
        <v>2.0</v>
      </c>
      <c r="O402" s="18">
        <v>6.0</v>
      </c>
      <c r="P402" s="20">
        <f t="shared" si="1"/>
        <v>0.1952342353</v>
      </c>
      <c r="Q402" s="20">
        <f t="shared" si="2"/>
        <v>11.88041615</v>
      </c>
      <c r="R402" s="24"/>
      <c r="S402" s="20">
        <v>0.19523423529411754</v>
      </c>
      <c r="T402" s="22">
        <v>-0.55</v>
      </c>
      <c r="U402" s="30"/>
      <c r="V402" s="30"/>
      <c r="W402" s="18">
        <v>0.95</v>
      </c>
      <c r="X402" s="22">
        <f t="shared" si="14"/>
        <v>-0.05321486471</v>
      </c>
      <c r="Y402" s="20">
        <f t="shared" si="4"/>
        <v>26.78592091</v>
      </c>
      <c r="Z402" s="20">
        <f t="shared" si="6"/>
        <v>14.90550475</v>
      </c>
      <c r="AA402" s="20"/>
      <c r="AB402" s="20">
        <f>IFERROR(__xludf.DUMMYFUNCTION("iferror(PERCENTRANK.INC(FILTER($X$2:$X$421, $U$2:$U$421&lt;3.75), $X402), 1)"),0.205)</f>
        <v>0.205</v>
      </c>
      <c r="AC402" s="20">
        <f>IFERROR(__xludf.DUMMYFUNCTION("iferror(PERCENTRANK.INC(FILTER($X$2:$X$421, $U$2:$U$421&lt;4.25), $X402), 1)"),0.201)</f>
        <v>0.201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590</v>
      </c>
      <c r="C403" s="18">
        <v>16.0</v>
      </c>
      <c r="D403" s="17" t="s">
        <v>99</v>
      </c>
      <c r="E403" s="17" t="s">
        <v>111</v>
      </c>
      <c r="F403" s="18">
        <v>130.0</v>
      </c>
      <c r="G403" s="18">
        <v>104.0</v>
      </c>
      <c r="H403" s="18">
        <v>55.0</v>
      </c>
      <c r="I403" s="19">
        <v>0.529</v>
      </c>
      <c r="J403" s="18">
        <v>489.0</v>
      </c>
      <c r="K403" s="18">
        <v>4.7</v>
      </c>
      <c r="L403" s="18">
        <v>2.0</v>
      </c>
      <c r="M403" s="18">
        <v>5.0</v>
      </c>
      <c r="N403" s="18">
        <v>9.0</v>
      </c>
      <c r="O403" s="18">
        <v>5.0</v>
      </c>
      <c r="P403" s="20">
        <f t="shared" si="1"/>
        <v>0.1852106923</v>
      </c>
      <c r="Q403" s="20">
        <f t="shared" si="2"/>
        <v>11.76555189</v>
      </c>
      <c r="R403" s="24"/>
      <c r="S403" s="20">
        <v>0.18521069230769233</v>
      </c>
      <c r="T403" s="22">
        <v>-2.45</v>
      </c>
      <c r="W403" s="26">
        <v>0.9</v>
      </c>
      <c r="X403" s="22">
        <f t="shared" si="14"/>
        <v>-0.3424965565</v>
      </c>
      <c r="Y403" s="20">
        <f t="shared" si="4"/>
        <v>26.45298322</v>
      </c>
      <c r="Z403" s="20">
        <f t="shared" si="6"/>
        <v>14.68743133</v>
      </c>
      <c r="AA403" s="20"/>
      <c r="AB403" s="20">
        <f>IFERROR(__xludf.DUMMYFUNCTION("iferror(PERCENTRANK.INC(FILTER($X$2:$X$421, $U$2:$U$421&lt;3.75), $X403), 1)"),0.078)</f>
        <v>0.078</v>
      </c>
      <c r="AC403" s="20">
        <f>IFERROR(__xludf.DUMMYFUNCTION("iferror(PERCENTRANK.INC(FILTER($X$2:$X$421, $U$2:$U$421&lt;4.25), $X403), 1)"),0.076)</f>
        <v>0.076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525</v>
      </c>
      <c r="C404" s="18">
        <v>12.0</v>
      </c>
      <c r="D404" s="17" t="s">
        <v>99</v>
      </c>
      <c r="E404" s="17" t="s">
        <v>188</v>
      </c>
      <c r="F404" s="18">
        <v>52.0</v>
      </c>
      <c r="G404" s="18">
        <v>46.0</v>
      </c>
      <c r="H404" s="18">
        <v>22.0</v>
      </c>
      <c r="I404" s="19">
        <v>0.478</v>
      </c>
      <c r="J404" s="18">
        <v>248.0</v>
      </c>
      <c r="K404" s="18">
        <v>5.4</v>
      </c>
      <c r="L404" s="18">
        <v>1.0</v>
      </c>
      <c r="M404" s="18">
        <v>4.0</v>
      </c>
      <c r="N404" s="18">
        <v>2.0</v>
      </c>
      <c r="O404" s="18">
        <v>4.0</v>
      </c>
      <c r="P404" s="20">
        <f t="shared" si="1"/>
        <v>0.1697192441</v>
      </c>
      <c r="Q404" s="20">
        <f t="shared" si="2"/>
        <v>11.58802846</v>
      </c>
      <c r="R404" s="24"/>
      <c r="S404" s="20">
        <v>0.16971924414715725</v>
      </c>
      <c r="T404" s="22">
        <v>-5.76</v>
      </c>
      <c r="W404" s="26">
        <v>0.9</v>
      </c>
      <c r="X404" s="22">
        <f t="shared" si="14"/>
        <v>-0.8385421134</v>
      </c>
      <c r="Y404" s="20">
        <f t="shared" si="4"/>
        <v>25.88207858</v>
      </c>
      <c r="Z404" s="20">
        <f t="shared" si="6"/>
        <v>14.29405012</v>
      </c>
      <c r="AA404" s="20"/>
      <c r="AB404" s="20">
        <f>IFERROR(__xludf.DUMMYFUNCTION("iferror(PERCENTRANK.INC(FILTER($X$2:$X$421, $U$2:$U$421&lt;3.75), $X404), 1)"),0.03)</f>
        <v>0.03</v>
      </c>
      <c r="AC404" s="20">
        <f>IFERROR(__xludf.DUMMYFUNCTION("iferror(PERCENTRANK.INC(FILTER($X$2:$X$421, $U$2:$U$421&lt;4.25), $X404), 1)"),0.029)</f>
        <v>0.029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616</v>
      </c>
      <c r="C405" s="18">
        <v>12.0</v>
      </c>
      <c r="D405" s="17" t="s">
        <v>99</v>
      </c>
      <c r="E405" s="17" t="s">
        <v>176</v>
      </c>
      <c r="F405" s="18">
        <v>89.0</v>
      </c>
      <c r="G405" s="18">
        <v>86.0</v>
      </c>
      <c r="H405" s="18">
        <v>41.0</v>
      </c>
      <c r="I405" s="19">
        <v>0.477</v>
      </c>
      <c r="J405" s="18">
        <v>443.0</v>
      </c>
      <c r="K405" s="18">
        <v>5.2</v>
      </c>
      <c r="L405" s="18">
        <v>1.0</v>
      </c>
      <c r="M405" s="18">
        <v>5.0</v>
      </c>
      <c r="N405" s="18">
        <v>2.0</v>
      </c>
      <c r="O405" s="18">
        <v>3.0</v>
      </c>
      <c r="P405" s="20">
        <f t="shared" si="1"/>
        <v>0.1553601131</v>
      </c>
      <c r="Q405" s="20">
        <f t="shared" si="2"/>
        <v>11.42348076</v>
      </c>
      <c r="R405" s="24"/>
      <c r="S405" s="20">
        <v>0.15536011314345435</v>
      </c>
      <c r="T405" s="22">
        <v>-4.28</v>
      </c>
      <c r="U405" s="30"/>
      <c r="V405" s="30"/>
      <c r="W405" s="18">
        <v>0.9</v>
      </c>
      <c r="X405" s="22">
        <f t="shared" si="14"/>
        <v>-0.6210263847</v>
      </c>
      <c r="Y405" s="20">
        <f t="shared" si="4"/>
        <v>26.13241998</v>
      </c>
      <c r="Z405" s="20">
        <f t="shared" si="6"/>
        <v>14.70893922</v>
      </c>
      <c r="AA405" s="20"/>
      <c r="AB405" s="20">
        <f>IFERROR(__xludf.DUMMYFUNCTION("iferror(PERCENTRANK.INC(FILTER($X$2:$X$421, $U$2:$U$421&lt;3.75), $X405), 1)"),0.045)</f>
        <v>0.045</v>
      </c>
      <c r="AC405" s="20">
        <f>IFERROR(__xludf.DUMMYFUNCTION("iferror(PERCENTRANK.INC(FILTER($X$2:$X$421, $U$2:$U$421&lt;4.25), $X405), 1)"),0.044)</f>
        <v>0.044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593</v>
      </c>
      <c r="C406" s="18">
        <v>12.0</v>
      </c>
      <c r="D406" s="17" t="s">
        <v>99</v>
      </c>
      <c r="E406" s="17" t="s">
        <v>117</v>
      </c>
      <c r="F406" s="18">
        <v>79.0</v>
      </c>
      <c r="G406" s="18">
        <v>75.0</v>
      </c>
      <c r="H406" s="18">
        <v>41.0</v>
      </c>
      <c r="I406" s="19">
        <v>0.547</v>
      </c>
      <c r="J406" s="18">
        <v>295.0</v>
      </c>
      <c r="K406" s="18">
        <v>3.9</v>
      </c>
      <c r="L406" s="18">
        <v>2.0</v>
      </c>
      <c r="M406" s="18">
        <v>4.0</v>
      </c>
      <c r="N406" s="18">
        <v>3.0</v>
      </c>
      <c r="O406" s="18">
        <v>5.0</v>
      </c>
      <c r="P406" s="20">
        <f t="shared" si="1"/>
        <v>0.1345209831</v>
      </c>
      <c r="Q406" s="20">
        <f t="shared" si="2"/>
        <v>11.18467586</v>
      </c>
      <c r="R406" s="24"/>
      <c r="S406" s="20">
        <v>0.13452098312236285</v>
      </c>
      <c r="T406" s="22">
        <v>-1.2</v>
      </c>
      <c r="W406" s="26">
        <v>0.9</v>
      </c>
      <c r="X406" s="22">
        <f t="shared" si="14"/>
        <v>-0.1608307599</v>
      </c>
      <c r="Y406" s="20">
        <f t="shared" si="4"/>
        <v>26.66206451</v>
      </c>
      <c r="Z406" s="20">
        <f t="shared" si="6"/>
        <v>15.47738866</v>
      </c>
      <c r="AA406" s="20"/>
      <c r="AB406" s="20">
        <f>IFERROR(__xludf.DUMMYFUNCTION("iferror(PERCENTRANK.INC(FILTER($X$2:$X$421, $U$2:$U$421&lt;3.75), $X406), 1)"),0.138)</f>
        <v>0.138</v>
      </c>
      <c r="AC406" s="20">
        <f>IFERROR(__xludf.DUMMYFUNCTION("iferror(PERCENTRANK.INC(FILTER($X$2:$X$421, $U$2:$U$421&lt;4.25), $X406), 1)"),0.135)</f>
        <v>0.135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778</v>
      </c>
      <c r="B407" s="17" t="s">
        <v>560</v>
      </c>
      <c r="C407" s="18">
        <v>13.0</v>
      </c>
      <c r="D407" s="17" t="s">
        <v>99</v>
      </c>
      <c r="E407" s="17" t="s">
        <v>102</v>
      </c>
      <c r="F407" s="18">
        <v>27.0</v>
      </c>
      <c r="G407" s="18">
        <v>20.0</v>
      </c>
      <c r="H407" s="18">
        <v>7.0</v>
      </c>
      <c r="I407" s="19">
        <v>0.35</v>
      </c>
      <c r="J407" s="18">
        <v>50.0</v>
      </c>
      <c r="K407" s="18">
        <v>2.5</v>
      </c>
      <c r="L407" s="18">
        <v>0.0</v>
      </c>
      <c r="M407" s="18">
        <v>0.0</v>
      </c>
      <c r="N407" s="18">
        <v>4.0</v>
      </c>
      <c r="O407" s="18">
        <v>3.0</v>
      </c>
      <c r="P407" s="20">
        <f t="shared" si="1"/>
        <v>0.1243018519</v>
      </c>
      <c r="Q407" s="20">
        <f t="shared" si="2"/>
        <v>11.06757026</v>
      </c>
      <c r="R407" s="24"/>
      <c r="S407" s="20">
        <v>0.12430185185185184</v>
      </c>
      <c r="T407" s="22">
        <v>-2.8</v>
      </c>
      <c r="U407" s="30"/>
      <c r="V407" s="30"/>
      <c r="W407" s="18">
        <v>1.0</v>
      </c>
      <c r="X407" s="22">
        <f t="shared" si="14"/>
        <v>-0.4022869861</v>
      </c>
      <c r="Y407" s="20">
        <f t="shared" si="4"/>
        <v>26.38416971</v>
      </c>
      <c r="Z407" s="20">
        <f t="shared" si="6"/>
        <v>15.31659945</v>
      </c>
      <c r="AA407" s="20"/>
      <c r="AB407" s="20">
        <f>IFERROR(__xludf.DUMMYFUNCTION("iferror(PERCENTRANK.INC(FILTER($X$2:$X$421, $U$2:$U$421&lt;3.75), $X407), 1)"),0.068)</f>
        <v>0.068</v>
      </c>
      <c r="AC407" s="20">
        <f>IFERROR(__xludf.DUMMYFUNCTION("iferror(PERCENTRANK.INC(FILTER($X$2:$X$421, $U$2:$U$421&lt;4.25), $X407), 1)"),0.066)</f>
        <v>0.066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779</v>
      </c>
      <c r="B408" s="17" t="s">
        <v>780</v>
      </c>
      <c r="C408" s="18">
        <v>8.0</v>
      </c>
      <c r="D408" s="17" t="s">
        <v>99</v>
      </c>
      <c r="E408" s="17" t="s">
        <v>141</v>
      </c>
      <c r="F408" s="18">
        <v>53.0</v>
      </c>
      <c r="G408" s="18">
        <v>48.0</v>
      </c>
      <c r="H408" s="18">
        <v>21.0</v>
      </c>
      <c r="I408" s="19">
        <v>0.438</v>
      </c>
      <c r="J408" s="18">
        <v>258.0</v>
      </c>
      <c r="K408" s="18">
        <v>5.4</v>
      </c>
      <c r="L408" s="18">
        <v>0.0</v>
      </c>
      <c r="M408" s="18">
        <v>4.0</v>
      </c>
      <c r="N408" s="18">
        <v>3.0</v>
      </c>
      <c r="O408" s="18">
        <v>2.0</v>
      </c>
      <c r="P408" s="20">
        <f t="shared" si="1"/>
        <v>0.07552889308</v>
      </c>
      <c r="Q408" s="20">
        <f t="shared" si="2"/>
        <v>10.50865913</v>
      </c>
      <c r="R408" s="24"/>
      <c r="S408" s="20">
        <v>0.07552889308176111</v>
      </c>
      <c r="T408" s="22">
        <v>-1.57</v>
      </c>
      <c r="W408" s="26">
        <v>0.9</v>
      </c>
      <c r="X408" s="22">
        <f t="shared" si="14"/>
        <v>-0.2253035994</v>
      </c>
      <c r="Y408" s="20">
        <f t="shared" si="4"/>
        <v>26.58786197</v>
      </c>
      <c r="Z408" s="20">
        <f t="shared" si="6"/>
        <v>16.07920284</v>
      </c>
      <c r="AA408" s="20"/>
      <c r="AB408" s="20">
        <f>IFERROR(__xludf.DUMMYFUNCTION("iferror(PERCENTRANK.INC(FILTER($X$2:$X$421, $U$2:$U$421&lt;3.75), $X408), 1)"),0.095)</f>
        <v>0.095</v>
      </c>
      <c r="AC408" s="20">
        <f>IFERROR(__xludf.DUMMYFUNCTION("iferror(PERCENTRANK.INC(FILTER($X$2:$X$421, $U$2:$U$421&lt;4.25), $X408), 1)"),0.093)</f>
        <v>0.093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680</v>
      </c>
      <c r="C409" s="18">
        <v>15.0</v>
      </c>
      <c r="D409" s="17" t="s">
        <v>99</v>
      </c>
      <c r="E409" s="17" t="s">
        <v>164</v>
      </c>
      <c r="F409" s="18">
        <v>133.0</v>
      </c>
      <c r="G409" s="18">
        <v>124.0</v>
      </c>
      <c r="H409" s="18">
        <v>63.0</v>
      </c>
      <c r="I409" s="19">
        <v>0.508</v>
      </c>
      <c r="J409" s="18">
        <v>671.0</v>
      </c>
      <c r="K409" s="18">
        <v>5.4</v>
      </c>
      <c r="L409" s="18">
        <v>2.0</v>
      </c>
      <c r="M409" s="18">
        <v>7.0</v>
      </c>
      <c r="N409" s="18">
        <v>4.0</v>
      </c>
      <c r="O409" s="18">
        <v>9.0</v>
      </c>
      <c r="P409" s="20">
        <f t="shared" si="1"/>
        <v>0.0482162959</v>
      </c>
      <c r="Q409" s="20">
        <f t="shared" si="2"/>
        <v>10.19567187</v>
      </c>
      <c r="R409" s="24"/>
      <c r="S409" s="20">
        <v>0.04821629590104303</v>
      </c>
      <c r="T409" s="22">
        <v>-1.16</v>
      </c>
      <c r="U409" s="30"/>
      <c r="V409" s="30"/>
      <c r="W409" s="18">
        <v>1.0</v>
      </c>
      <c r="X409" s="22">
        <f t="shared" si="14"/>
        <v>-0.1671291778</v>
      </c>
      <c r="Y409" s="20">
        <f t="shared" si="4"/>
        <v>26.65481559</v>
      </c>
      <c r="Z409" s="20">
        <f t="shared" si="6"/>
        <v>16.45914372</v>
      </c>
      <c r="AA409" s="20"/>
      <c r="AB409" s="20">
        <f>IFERROR(__xludf.DUMMYFUNCTION("iferror(PERCENTRANK.INC(FILTER($X$2:$X$421, $U$2:$U$421&lt;3.75), $X409), 1)"),0.128)</f>
        <v>0.128</v>
      </c>
      <c r="AC409" s="20">
        <f>IFERROR(__xludf.DUMMYFUNCTION("iferror(PERCENTRANK.INC(FILTER($X$2:$X$421, $U$2:$U$421&lt;4.25), $X409), 1)"),0.125)</f>
        <v>0.125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667</v>
      </c>
      <c r="C410" s="18">
        <v>13.0</v>
      </c>
      <c r="D410" s="17" t="s">
        <v>99</v>
      </c>
      <c r="E410" s="17" t="s">
        <v>209</v>
      </c>
      <c r="F410" s="18">
        <v>74.0</v>
      </c>
      <c r="G410" s="18">
        <v>65.0</v>
      </c>
      <c r="H410" s="18">
        <v>26.0</v>
      </c>
      <c r="I410" s="19">
        <v>0.4</v>
      </c>
      <c r="J410" s="18">
        <v>278.0</v>
      </c>
      <c r="K410" s="18">
        <v>4.3</v>
      </c>
      <c r="L410" s="18">
        <v>1.0</v>
      </c>
      <c r="M410" s="18">
        <v>4.0</v>
      </c>
      <c r="N410" s="18">
        <v>4.0</v>
      </c>
      <c r="O410" s="18">
        <v>6.0</v>
      </c>
      <c r="P410" s="20">
        <f t="shared" si="1"/>
        <v>0.0192997921</v>
      </c>
      <c r="Q410" s="20">
        <f t="shared" si="2"/>
        <v>9.864304722</v>
      </c>
      <c r="R410" s="24"/>
      <c r="S410" s="20">
        <v>0.019299792099791945</v>
      </c>
      <c r="T410" s="22">
        <v>-1.28</v>
      </c>
      <c r="U410" s="30"/>
      <c r="V410" s="30"/>
      <c r="W410" s="18">
        <v>0.9</v>
      </c>
      <c r="X410" s="22">
        <f t="shared" si="14"/>
        <v>-0.1892497796</v>
      </c>
      <c r="Y410" s="20">
        <f t="shared" si="4"/>
        <v>26.62935673</v>
      </c>
      <c r="Z410" s="20">
        <f t="shared" si="6"/>
        <v>16.76505201</v>
      </c>
      <c r="AA410" s="20"/>
      <c r="AB410" s="20">
        <f>IFERROR(__xludf.DUMMYFUNCTION("iferror(PERCENTRANK.INC(FILTER($X$2:$X$421, $U$2:$U$421&lt;3.75), $X410), 1)"),0.118)</f>
        <v>0.118</v>
      </c>
      <c r="AC410" s="20">
        <f>IFERROR(__xludf.DUMMYFUNCTION("iferror(PERCENTRANK.INC(FILTER($X$2:$X$421, $U$2:$U$421&lt;4.25), $X410), 1)"),0.115)</f>
        <v>0.115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519</v>
      </c>
      <c r="C411" s="18">
        <v>11.0</v>
      </c>
      <c r="D411" s="17" t="s">
        <v>99</v>
      </c>
      <c r="E411" s="17" t="s">
        <v>108</v>
      </c>
      <c r="F411" s="18">
        <v>111.0</v>
      </c>
      <c r="G411" s="18">
        <v>100.0</v>
      </c>
      <c r="H411" s="18">
        <v>46.0</v>
      </c>
      <c r="I411" s="19">
        <v>0.46</v>
      </c>
      <c r="J411" s="18">
        <v>433.0</v>
      </c>
      <c r="K411" s="18">
        <v>4.3</v>
      </c>
      <c r="L411" s="18">
        <v>1.0</v>
      </c>
      <c r="M411" s="18">
        <v>5.0</v>
      </c>
      <c r="N411" s="18">
        <v>5.0</v>
      </c>
      <c r="O411" s="18">
        <v>2.0</v>
      </c>
      <c r="P411" s="20">
        <f t="shared" si="1"/>
        <v>0.01057495495</v>
      </c>
      <c r="Q411" s="20">
        <f t="shared" si="2"/>
        <v>9.764322913</v>
      </c>
      <c r="R411" s="24"/>
      <c r="S411" s="20">
        <v>0.010574954954954871</v>
      </c>
      <c r="T411" s="22">
        <v>-0.95</v>
      </c>
      <c r="W411" s="26">
        <v>0.95</v>
      </c>
      <c r="X411" s="22">
        <f t="shared" si="14"/>
        <v>-0.1410723811</v>
      </c>
      <c r="Y411" s="20">
        <f t="shared" si="4"/>
        <v>26.68480466</v>
      </c>
      <c r="Z411" s="20">
        <f t="shared" si="6"/>
        <v>16.92048175</v>
      </c>
      <c r="AA411" s="20"/>
      <c r="AB411" s="20">
        <f>IFERROR(__xludf.DUMMYFUNCTION("iferror(PERCENTRANK.INC(FILTER($X$2:$X$421, $U$2:$U$421&lt;3.75), $X411), 1)"),0.148)</f>
        <v>0.148</v>
      </c>
      <c r="AC411" s="20">
        <f>IFERROR(__xludf.DUMMYFUNCTION("iferror(PERCENTRANK.INC(FILTER($X$2:$X$421, $U$2:$U$421&lt;4.25), $X411), 1)"),0.145)</f>
        <v>0.145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410</v>
      </c>
      <c r="C412" s="18">
        <v>10.0</v>
      </c>
      <c r="D412" s="17" t="s">
        <v>99</v>
      </c>
      <c r="E412" s="17" t="s">
        <v>149</v>
      </c>
      <c r="F412" s="18">
        <v>51.0</v>
      </c>
      <c r="G412" s="18">
        <v>44.0</v>
      </c>
      <c r="H412" s="18">
        <v>19.0</v>
      </c>
      <c r="I412" s="19">
        <v>0.432</v>
      </c>
      <c r="J412" s="18">
        <v>136.0</v>
      </c>
      <c r="K412" s="18">
        <v>3.1</v>
      </c>
      <c r="L412" s="18">
        <v>1.0</v>
      </c>
      <c r="M412" s="18">
        <v>3.0</v>
      </c>
      <c r="N412" s="18">
        <v>3.0</v>
      </c>
      <c r="O412" s="18">
        <v>5.0</v>
      </c>
      <c r="P412" s="20">
        <f t="shared" si="1"/>
        <v>-0.08390862032</v>
      </c>
      <c r="Q412" s="20">
        <f t="shared" si="2"/>
        <v>8.681593388</v>
      </c>
      <c r="R412" s="24"/>
      <c r="S412" s="20">
        <v>-0.08390862032085568</v>
      </c>
      <c r="T412" s="22">
        <v>-2.01</v>
      </c>
      <c r="W412" s="26">
        <v>0.95</v>
      </c>
      <c r="X412" s="22">
        <f t="shared" si="14"/>
        <v>-0.3128276637</v>
      </c>
      <c r="Y412" s="20">
        <f t="shared" si="4"/>
        <v>26.4871295</v>
      </c>
      <c r="Z412" s="20">
        <f t="shared" si="6"/>
        <v>17.80553611</v>
      </c>
      <c r="AA412" s="20"/>
      <c r="AB412" s="20">
        <f>IFERROR(__xludf.DUMMYFUNCTION("iferror(PERCENTRANK.INC(FILTER($X$2:$X$421, $U$2:$U$421&lt;3.75), $X412), 1)"),0.083)</f>
        <v>0.083</v>
      </c>
      <c r="AC412" s="20">
        <f>IFERROR(__xludf.DUMMYFUNCTION("iferror(PERCENTRANK.INC(FILTER($X$2:$X$421, $U$2:$U$421&lt;4.25), $X412), 1)"),0.081)</f>
        <v>0.081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758</v>
      </c>
      <c r="C413" s="18">
        <v>2.0</v>
      </c>
      <c r="D413" s="17" t="s">
        <v>99</v>
      </c>
      <c r="E413" s="17" t="s">
        <v>188</v>
      </c>
      <c r="F413" s="18">
        <v>132.0</v>
      </c>
      <c r="G413" s="18">
        <v>121.0</v>
      </c>
      <c r="H413" s="18">
        <v>60.0</v>
      </c>
      <c r="I413" s="19">
        <v>0.496</v>
      </c>
      <c r="J413" s="18">
        <v>693.0</v>
      </c>
      <c r="K413" s="18">
        <v>5.7</v>
      </c>
      <c r="L413" s="18">
        <v>4.0</v>
      </c>
      <c r="M413" s="18">
        <v>9.0</v>
      </c>
      <c r="N413" s="18">
        <v>6.0</v>
      </c>
      <c r="O413" s="18">
        <v>9.0</v>
      </c>
      <c r="P413" s="20">
        <f t="shared" si="1"/>
        <v>-0.06908667769</v>
      </c>
      <c r="Q413" s="20">
        <f t="shared" si="2"/>
        <v>8.851444655</v>
      </c>
      <c r="R413" s="24"/>
      <c r="S413" s="20">
        <v>-0.06908667768595046</v>
      </c>
      <c r="T413" s="22">
        <v>-1.2</v>
      </c>
      <c r="U413" s="30"/>
      <c r="V413" s="30"/>
      <c r="W413" s="18">
        <v>0.9</v>
      </c>
      <c r="X413" s="22">
        <f t="shared" si="14"/>
        <v>-0.1898448516</v>
      </c>
      <c r="Y413" s="20">
        <f t="shared" si="4"/>
        <v>26.62867185</v>
      </c>
      <c r="Z413" s="20">
        <f t="shared" si="6"/>
        <v>17.7772272</v>
      </c>
      <c r="AA413" s="20"/>
      <c r="AB413" s="20">
        <f>IFERROR(__xludf.DUMMYFUNCTION("iferror(PERCENTRANK.INC(FILTER($X$2:$X$421, $U$2:$U$421&lt;3.75), $X413), 1)"),0.115)</f>
        <v>0.115</v>
      </c>
      <c r="AC413" s="20">
        <f>IFERROR(__xludf.DUMMYFUNCTION("iferror(PERCENTRANK.INC(FILTER($X$2:$X$421, $U$2:$U$421&lt;4.25), $X413), 1)"),0.113)</f>
        <v>0.113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519</v>
      </c>
      <c r="C414" s="18">
        <v>4.0</v>
      </c>
      <c r="D414" s="17" t="s">
        <v>99</v>
      </c>
      <c r="E414" s="17" t="s">
        <v>108</v>
      </c>
      <c r="F414" s="18">
        <v>49.0</v>
      </c>
      <c r="G414" s="18">
        <v>45.0</v>
      </c>
      <c r="H414" s="18">
        <v>18.0</v>
      </c>
      <c r="I414" s="19">
        <v>0.4</v>
      </c>
      <c r="J414" s="18">
        <v>155.0</v>
      </c>
      <c r="K414" s="18">
        <v>3.4</v>
      </c>
      <c r="L414" s="18">
        <v>0.0</v>
      </c>
      <c r="M414" s="18">
        <v>3.0</v>
      </c>
      <c r="N414" s="18">
        <v>1.0</v>
      </c>
      <c r="O414" s="18">
        <v>3.0</v>
      </c>
      <c r="P414" s="20">
        <f t="shared" si="1"/>
        <v>-0.0709414966</v>
      </c>
      <c r="Q414" s="20">
        <f t="shared" si="2"/>
        <v>8.830189456</v>
      </c>
      <c r="R414" s="24"/>
      <c r="S414" s="20">
        <v>-0.07094149659863945</v>
      </c>
      <c r="T414" s="22">
        <v>-1.4</v>
      </c>
      <c r="U414" s="30"/>
      <c r="V414" s="30"/>
      <c r="W414" s="18">
        <v>0.95</v>
      </c>
      <c r="X414" s="22">
        <f t="shared" si="14"/>
        <v>-0.219577102</v>
      </c>
      <c r="Y414" s="20">
        <f t="shared" si="4"/>
        <v>26.59445266</v>
      </c>
      <c r="Z414" s="20">
        <f t="shared" si="6"/>
        <v>17.7642632</v>
      </c>
      <c r="AA414" s="20"/>
      <c r="AB414" s="20">
        <f>IFERROR(__xludf.DUMMYFUNCTION("iferror(PERCENTRANK.INC(FILTER($X$2:$X$421, $U$2:$U$421&lt;3.75), $X414), 1)"),0.1)</f>
        <v>0.1</v>
      </c>
      <c r="AC414" s="20">
        <f>IFERROR(__xludf.DUMMYFUNCTION("iferror(PERCENTRANK.INC(FILTER($X$2:$X$421, $U$2:$U$421&lt;4.25), $X414), 1)"),0.098)</f>
        <v>0.098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651</v>
      </c>
      <c r="C415" s="18">
        <v>2.0</v>
      </c>
      <c r="D415" s="17" t="s">
        <v>99</v>
      </c>
      <c r="E415" s="17" t="s">
        <v>149</v>
      </c>
      <c r="F415" s="18">
        <v>108.0</v>
      </c>
      <c r="G415" s="18">
        <v>98.0</v>
      </c>
      <c r="H415" s="18">
        <v>42.0</v>
      </c>
      <c r="I415" s="19">
        <v>0.429</v>
      </c>
      <c r="J415" s="18">
        <v>395.0</v>
      </c>
      <c r="K415" s="18">
        <v>4.0</v>
      </c>
      <c r="L415" s="18">
        <v>3.0</v>
      </c>
      <c r="M415" s="18">
        <v>6.0</v>
      </c>
      <c r="N415" s="18">
        <v>6.0</v>
      </c>
      <c r="O415" s="18">
        <v>7.0</v>
      </c>
      <c r="P415" s="20">
        <f t="shared" si="1"/>
        <v>-0.0736954127</v>
      </c>
      <c r="Q415" s="20">
        <f t="shared" si="2"/>
        <v>8.7986311</v>
      </c>
      <c r="R415" s="24"/>
      <c r="S415" s="20">
        <v>-0.07369541269841282</v>
      </c>
      <c r="T415" s="22">
        <v>-1.11</v>
      </c>
      <c r="W415" s="26">
        <v>0.95</v>
      </c>
      <c r="X415" s="22">
        <f t="shared" si="14"/>
        <v>-0.1764488807</v>
      </c>
      <c r="Y415" s="20">
        <f t="shared" si="4"/>
        <v>26.64408943</v>
      </c>
      <c r="Z415" s="20">
        <f t="shared" si="6"/>
        <v>17.84545833</v>
      </c>
      <c r="AA415" s="20"/>
      <c r="AB415" s="20">
        <f>IFERROR(__xludf.DUMMYFUNCTION("iferror(PERCENTRANK.INC(FILTER($X$2:$X$421, $U$2:$U$421&lt;3.75), $X415), 1)"),0.125)</f>
        <v>0.125</v>
      </c>
      <c r="AC415" s="20">
        <f>IFERROR(__xludf.DUMMYFUNCTION("iferror(PERCENTRANK.INC(FILTER($X$2:$X$421, $U$2:$U$421&lt;4.25), $X415), 1)"),0.123)</f>
        <v>0.123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491</v>
      </c>
      <c r="C416" s="18">
        <v>11.0</v>
      </c>
      <c r="D416" s="17" t="s">
        <v>99</v>
      </c>
      <c r="E416" s="17" t="s">
        <v>141</v>
      </c>
      <c r="F416" s="18">
        <v>161.0</v>
      </c>
      <c r="G416" s="18">
        <v>156.0</v>
      </c>
      <c r="H416" s="18">
        <v>76.0</v>
      </c>
      <c r="I416" s="19">
        <v>0.487</v>
      </c>
      <c r="J416" s="18">
        <v>891.0</v>
      </c>
      <c r="K416" s="18">
        <v>5.7</v>
      </c>
      <c r="L416" s="18">
        <v>4.0</v>
      </c>
      <c r="M416" s="18">
        <v>10.0</v>
      </c>
      <c r="N416" s="18">
        <v>2.0</v>
      </c>
      <c r="O416" s="18">
        <v>11.0</v>
      </c>
      <c r="P416" s="20">
        <f t="shared" si="1"/>
        <v>-0.07462361666</v>
      </c>
      <c r="Q416" s="20">
        <f t="shared" si="2"/>
        <v>8.787994396</v>
      </c>
      <c r="R416" s="24"/>
      <c r="S416" s="20">
        <v>-0.07462361665870372</v>
      </c>
      <c r="T416" s="22">
        <v>-3.34</v>
      </c>
      <c r="W416" s="26">
        <v>0.9</v>
      </c>
      <c r="X416" s="22">
        <f t="shared" si="14"/>
        <v>-0.5110741882</v>
      </c>
      <c r="Y416" s="20">
        <f t="shared" si="4"/>
        <v>26.25896525</v>
      </c>
      <c r="Z416" s="20">
        <f t="shared" si="6"/>
        <v>17.47097085</v>
      </c>
      <c r="AA416" s="20"/>
      <c r="AB416" s="20">
        <f>IFERROR(__xludf.DUMMYFUNCTION("iferror(PERCENTRANK.INC(FILTER($X$2:$X$421, $U$2:$U$421&lt;3.75), $X416), 1)"),0.05)</f>
        <v>0.05</v>
      </c>
      <c r="AC416" s="20">
        <f>IFERROR(__xludf.DUMMYFUNCTION("iferror(PERCENTRANK.INC(FILTER($X$2:$X$421, $U$2:$U$421&lt;4.25), $X416), 1)"),0.049)</f>
        <v>0.049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489</v>
      </c>
      <c r="C417" s="18">
        <v>14.0</v>
      </c>
      <c r="D417" s="17" t="s">
        <v>99</v>
      </c>
      <c r="E417" s="17" t="s">
        <v>100</v>
      </c>
      <c r="F417" s="18">
        <v>80.0</v>
      </c>
      <c r="G417" s="18">
        <v>70.0</v>
      </c>
      <c r="H417" s="18">
        <v>33.0</v>
      </c>
      <c r="I417" s="19">
        <v>0.471</v>
      </c>
      <c r="J417" s="18">
        <v>384.0</v>
      </c>
      <c r="K417" s="18">
        <v>5.5</v>
      </c>
      <c r="L417" s="18">
        <v>3.0</v>
      </c>
      <c r="M417" s="18">
        <v>7.0</v>
      </c>
      <c r="N417" s="18">
        <v>3.0</v>
      </c>
      <c r="O417" s="18">
        <v>8.0</v>
      </c>
      <c r="P417" s="20">
        <f t="shared" si="1"/>
        <v>-0.08843157143</v>
      </c>
      <c r="Q417" s="20">
        <f t="shared" si="2"/>
        <v>8.62976287</v>
      </c>
      <c r="R417" s="24"/>
      <c r="S417" s="20">
        <v>-0.08843157142857141</v>
      </c>
      <c r="T417" s="22">
        <v>-0.32</v>
      </c>
      <c r="W417" s="26">
        <v>0.9</v>
      </c>
      <c r="X417" s="22">
        <f t="shared" si="14"/>
        <v>-0.048</v>
      </c>
      <c r="Y417" s="20">
        <f t="shared" si="4"/>
        <v>26.79192276</v>
      </c>
      <c r="Z417" s="20">
        <f t="shared" si="6"/>
        <v>18.16215989</v>
      </c>
      <c r="AA417" s="20"/>
      <c r="AB417" s="20">
        <f>IFERROR(__xludf.DUMMYFUNCTION("iferror(PERCENTRANK.INC(FILTER($X$2:$X$421, $U$2:$U$421&lt;3.75), $X417), 1)"),0.215)</f>
        <v>0.215</v>
      </c>
      <c r="AC417" s="20">
        <f>IFERROR(__xludf.DUMMYFUNCTION("iferror(PERCENTRANK.INC(FILTER($X$2:$X$421, $U$2:$U$421&lt;4.25), $X417), 1)"),0.211)</f>
        <v>0.211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303</v>
      </c>
      <c r="C418" s="18">
        <v>7.0</v>
      </c>
      <c r="D418" s="17" t="s">
        <v>99</v>
      </c>
      <c r="E418" s="17" t="s">
        <v>125</v>
      </c>
      <c r="F418" s="18">
        <v>41.0</v>
      </c>
      <c r="G418" s="18">
        <v>36.0</v>
      </c>
      <c r="H418" s="18">
        <v>12.0</v>
      </c>
      <c r="I418" s="19">
        <v>0.333</v>
      </c>
      <c r="J418" s="18">
        <v>116.0</v>
      </c>
      <c r="K418" s="18">
        <v>3.2</v>
      </c>
      <c r="L418" s="18">
        <v>0.0</v>
      </c>
      <c r="M418" s="18">
        <v>4.0</v>
      </c>
      <c r="N418" s="18">
        <v>0.0</v>
      </c>
      <c r="O418" s="18">
        <v>4.0</v>
      </c>
      <c r="P418" s="20">
        <f t="shared" si="1"/>
        <v>-0.3457578889</v>
      </c>
      <c r="Q418" s="20">
        <f t="shared" si="2"/>
        <v>5.680945568</v>
      </c>
      <c r="R418" s="24"/>
      <c r="S418" s="20">
        <v>-0.3457578888888888</v>
      </c>
      <c r="T418" s="22">
        <v>-16.9</v>
      </c>
      <c r="U418" s="30"/>
      <c r="V418" s="30"/>
      <c r="W418" s="18">
        <v>0.95</v>
      </c>
      <c r="X418" s="22">
        <f t="shared" si="14"/>
        <v>-2.535</v>
      </c>
      <c r="Y418" s="20">
        <f t="shared" si="4"/>
        <v>23.92960533</v>
      </c>
      <c r="Z418" s="20">
        <f t="shared" si="6"/>
        <v>18.24865976</v>
      </c>
      <c r="AA418" s="20"/>
      <c r="AB418" s="20">
        <f>IFERROR(__xludf.DUMMYFUNCTION("iferror(PERCENTRANK.INC(FILTER($X$2:$X$421, $U$2:$U$421&lt;3.75), $X418), 1)"),0.005)</f>
        <v>0.005</v>
      </c>
      <c r="AC418" s="20">
        <f>IFERROR(__xludf.DUMMYFUNCTION("iferror(PERCENTRANK.INC(FILTER($X$2:$X$421, $U$2:$U$421&lt;4.25), $X418), 1)"),0.005)</f>
        <v>0.005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493</v>
      </c>
      <c r="C419" s="18">
        <v>6.0</v>
      </c>
      <c r="D419" s="17" t="s">
        <v>99</v>
      </c>
      <c r="E419" s="17" t="s">
        <v>105</v>
      </c>
      <c r="F419" s="18">
        <v>100.0</v>
      </c>
      <c r="G419" s="18">
        <v>94.0</v>
      </c>
      <c r="H419" s="18">
        <v>48.0</v>
      </c>
      <c r="I419" s="19">
        <v>0.511</v>
      </c>
      <c r="J419" s="18">
        <v>420.0</v>
      </c>
      <c r="K419" s="18">
        <v>4.5</v>
      </c>
      <c r="L419" s="18">
        <v>1.0</v>
      </c>
      <c r="M419" s="18">
        <v>7.0</v>
      </c>
      <c r="N419" s="18">
        <v>5.0</v>
      </c>
      <c r="O419" s="18">
        <v>2.0</v>
      </c>
      <c r="P419" s="20">
        <f t="shared" si="1"/>
        <v>-0.3774442766</v>
      </c>
      <c r="Q419" s="20">
        <f t="shared" si="2"/>
        <v>5.317837087</v>
      </c>
      <c r="R419" s="24"/>
      <c r="S419" s="20">
        <v>-0.37744427659574475</v>
      </c>
      <c r="T419" s="22">
        <v>-0.82</v>
      </c>
      <c r="W419" s="26">
        <v>0.9</v>
      </c>
      <c r="X419" s="22">
        <f t="shared" si="14"/>
        <v>-0.123</v>
      </c>
      <c r="Y419" s="20">
        <f t="shared" si="4"/>
        <v>26.70560438</v>
      </c>
      <c r="Z419" s="20">
        <f t="shared" si="6"/>
        <v>21.38776729</v>
      </c>
      <c r="AA419" s="20"/>
      <c r="AB419" s="20">
        <f>IFERROR(__xludf.DUMMYFUNCTION("iferror(PERCENTRANK.INC(FILTER($X$2:$X$421, $U$2:$U$421&lt;3.75), $X419), 1)"),0.16)</f>
        <v>0.16</v>
      </c>
      <c r="AC419" s="20">
        <f>IFERROR(__xludf.DUMMYFUNCTION("iferror(PERCENTRANK.INC(FILTER($X$2:$X$421, $U$2:$U$421&lt;4.25), $X419), 1)"),0.157)</f>
        <v>0.157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645</v>
      </c>
      <c r="C420" s="18">
        <v>7.0</v>
      </c>
      <c r="D420" s="17" t="s">
        <v>99</v>
      </c>
      <c r="E420" s="17" t="s">
        <v>209</v>
      </c>
      <c r="F420" s="18">
        <v>159.0</v>
      </c>
      <c r="G420" s="18">
        <v>121.0</v>
      </c>
      <c r="H420" s="18">
        <v>70.0</v>
      </c>
      <c r="I420" s="19">
        <v>0.579</v>
      </c>
      <c r="J420" s="18">
        <v>505.0</v>
      </c>
      <c r="K420" s="18">
        <v>4.2</v>
      </c>
      <c r="L420" s="18">
        <v>2.0</v>
      </c>
      <c r="M420" s="18">
        <v>9.0</v>
      </c>
      <c r="N420" s="18">
        <v>20.0</v>
      </c>
      <c r="O420" s="18">
        <v>8.0</v>
      </c>
      <c r="P420" s="20">
        <f t="shared" si="1"/>
        <v>-0.7426257255</v>
      </c>
      <c r="Q420" s="20">
        <f t="shared" si="2"/>
        <v>1.133059621</v>
      </c>
      <c r="R420" s="24"/>
      <c r="S420" s="20">
        <v>-0.7426257255054837</v>
      </c>
      <c r="T420" s="22">
        <v>-1.01</v>
      </c>
      <c r="W420" s="26">
        <v>0.9</v>
      </c>
      <c r="X420" s="22">
        <f t="shared" si="14"/>
        <v>-0.1515</v>
      </c>
      <c r="Y420" s="20">
        <f t="shared" si="4"/>
        <v>26.67280339</v>
      </c>
      <c r="Z420" s="20">
        <f t="shared" si="6"/>
        <v>25.53974377</v>
      </c>
      <c r="AA420" s="20"/>
      <c r="AB420" s="20">
        <f>IFERROR(__xludf.DUMMYFUNCTION("iferror(PERCENTRANK.INC(FILTER($X$2:$X$421, $U$2:$U$421&lt;3.75), $X420), 1)"),0.145)</f>
        <v>0.145</v>
      </c>
      <c r="AC420" s="20">
        <f>IFERROR(__xludf.DUMMYFUNCTION("iferror(PERCENTRANK.INC(FILTER($X$2:$X$421, $U$2:$U$421&lt;4.25), $X420), 1)"),0.142)</f>
        <v>0.142</v>
      </c>
      <c r="AD420" s="20">
        <f>IFERROR(__xludf.DUMMYFUNCTION("iferror(PERCENTRANK.INC(FILTER($X$2:$X$421, $U$2:$U$421&gt;=4.1), $X420), 0.01)"),0.01)</f>
        <v>0.01</v>
      </c>
      <c r="AE420" s="20"/>
    </row>
    <row r="421" ht="14.25" customHeight="1">
      <c r="A421" s="17" t="s">
        <v>793</v>
      </c>
      <c r="B421" s="17" t="s">
        <v>655</v>
      </c>
      <c r="C421" s="18">
        <v>9.0</v>
      </c>
      <c r="D421" s="17" t="s">
        <v>99</v>
      </c>
      <c r="E421" s="17" t="s">
        <v>188</v>
      </c>
      <c r="F421" s="18">
        <v>301.0</v>
      </c>
      <c r="G421" s="18">
        <v>275.0</v>
      </c>
      <c r="H421" s="18">
        <v>149.0</v>
      </c>
      <c r="I421" s="19">
        <v>0.542</v>
      </c>
      <c r="J421" s="18">
        <v>1654.0</v>
      </c>
      <c r="K421" s="18">
        <v>6.0</v>
      </c>
      <c r="L421" s="18">
        <v>4.0</v>
      </c>
      <c r="M421" s="18">
        <v>17.0</v>
      </c>
      <c r="N421" s="18">
        <v>10.0</v>
      </c>
      <c r="O421" s="18">
        <v>19.0</v>
      </c>
      <c r="P421" s="20">
        <f t="shared" si="1"/>
        <v>-0.8415013186</v>
      </c>
      <c r="Q421" s="20">
        <f t="shared" si="2"/>
        <v>0</v>
      </c>
      <c r="R421" s="24"/>
      <c r="S421" s="20">
        <v>-0.8415013186348539</v>
      </c>
      <c r="T421" s="22">
        <v>-1.3</v>
      </c>
      <c r="W421" s="26">
        <v>0.9</v>
      </c>
      <c r="X421" s="22">
        <f t="shared" si="14"/>
        <v>-0.195</v>
      </c>
      <c r="Y421" s="20">
        <f t="shared" si="4"/>
        <v>26.62273873</v>
      </c>
      <c r="Z421" s="20">
        <f t="shared" si="6"/>
        <v>26.62273873</v>
      </c>
      <c r="AA421" s="20"/>
      <c r="AB421" s="20">
        <f>IFERROR(__xludf.DUMMYFUNCTION("iferror(PERCENTRANK.INC(FILTER($X$2:$X$421, $U$2:$U$421&lt;3.75), $X421), 1)"),0.113)</f>
        <v>0.113</v>
      </c>
      <c r="AC421" s="20">
        <f>IFERROR(__xludf.DUMMYFUNCTION("iferror(PERCENTRANK.INC(FILTER($X$2:$X$421, $U$2:$U$421&lt;4.25), $X421), 1)"),0.11)</f>
        <v>0.11</v>
      </c>
      <c r="AD421" s="20">
        <f>IFERROR(__xludf.DUMMYFUNCTION("iferror(PERCENTRANK.INC(FILTER($X$2:$X$421, $U$2:$U$421&gt;=4.1), $X421), 0.01)"),0.01)</f>
        <v>0.01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803</v>
      </c>
      <c r="B4" s="14" t="s">
        <v>323</v>
      </c>
      <c r="C4" s="14">
        <v>28.0</v>
      </c>
      <c r="D4" s="14" t="s">
        <v>801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804</v>
      </c>
      <c r="B5" s="14" t="s">
        <v>457</v>
      </c>
      <c r="C5" s="14">
        <v>4.0</v>
      </c>
      <c r="D5" s="14" t="s">
        <v>801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805</v>
      </c>
      <c r="B6" s="14" t="s">
        <v>343</v>
      </c>
      <c r="C6" s="14">
        <v>33.0</v>
      </c>
      <c r="D6" s="14" t="s">
        <v>801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806</v>
      </c>
      <c r="B7" s="14" t="s">
        <v>183</v>
      </c>
      <c r="C7" s="14">
        <v>25.0</v>
      </c>
      <c r="D7" s="14" t="s">
        <v>801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807</v>
      </c>
      <c r="B8" s="14" t="s">
        <v>410</v>
      </c>
      <c r="C8" s="14">
        <v>24.0</v>
      </c>
      <c r="D8" s="14" t="s">
        <v>801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808</v>
      </c>
      <c r="B9" s="14" t="s">
        <v>483</v>
      </c>
      <c r="C9" s="14">
        <v>20.0</v>
      </c>
      <c r="D9" s="14" t="s">
        <v>801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809</v>
      </c>
      <c r="B10" s="14" t="s">
        <v>567</v>
      </c>
      <c r="C10" s="14">
        <v>21.0</v>
      </c>
      <c r="D10" s="14" t="s">
        <v>801</v>
      </c>
      <c r="E10" s="14" t="s">
        <v>508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810</v>
      </c>
      <c r="B11" s="14" t="s">
        <v>237</v>
      </c>
      <c r="C11" s="14">
        <v>0.0</v>
      </c>
      <c r="D11" s="14" t="s">
        <v>801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811</v>
      </c>
      <c r="B12" s="14" t="s">
        <v>660</v>
      </c>
      <c r="C12" s="14">
        <v>42.0</v>
      </c>
      <c r="D12" s="14" t="s">
        <v>801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812</v>
      </c>
      <c r="B13" s="14" t="s">
        <v>159</v>
      </c>
      <c r="C13" s="14">
        <v>24.0</v>
      </c>
      <c r="D13" s="14" t="s">
        <v>801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813</v>
      </c>
      <c r="B14" s="14" t="s">
        <v>651</v>
      </c>
      <c r="C14" s="14">
        <v>45.0</v>
      </c>
      <c r="D14" s="14" t="s">
        <v>801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814</v>
      </c>
      <c r="B15" s="14" t="s">
        <v>519</v>
      </c>
      <c r="C15" s="14">
        <v>3.0</v>
      </c>
      <c r="D15" s="14" t="s">
        <v>801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815</v>
      </c>
      <c r="B16" s="14" t="s">
        <v>557</v>
      </c>
      <c r="C16" s="14">
        <v>23.0</v>
      </c>
      <c r="D16" s="14" t="s">
        <v>801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816</v>
      </c>
      <c r="B17" s="14" t="s">
        <v>265</v>
      </c>
      <c r="C17" s="14">
        <v>9.0</v>
      </c>
      <c r="D17" s="14" t="s">
        <v>801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817</v>
      </c>
      <c r="B18" s="14" t="s">
        <v>445</v>
      </c>
      <c r="C18" s="14">
        <v>25.0</v>
      </c>
      <c r="D18" s="14" t="s">
        <v>801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818</v>
      </c>
      <c r="B19" s="14" t="s">
        <v>527</v>
      </c>
      <c r="C19" s="14">
        <v>7.0</v>
      </c>
      <c r="D19" s="14" t="s">
        <v>801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820</v>
      </c>
      <c r="B21" s="14" t="s">
        <v>468</v>
      </c>
      <c r="C21" s="14">
        <v>29.0</v>
      </c>
      <c r="D21" s="14" t="s">
        <v>801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821</v>
      </c>
      <c r="B22" s="14" t="s">
        <v>529</v>
      </c>
      <c r="C22" s="14">
        <v>5.0</v>
      </c>
      <c r="D22" s="14" t="s">
        <v>801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4" t="s">
        <v>822</v>
      </c>
      <c r="B23" s="34" t="s">
        <v>596</v>
      </c>
      <c r="C23" s="35">
        <v>6.0</v>
      </c>
      <c r="D23" s="34" t="s">
        <v>801</v>
      </c>
      <c r="E23" s="34" t="s">
        <v>157</v>
      </c>
      <c r="F23" s="35">
        <v>97.0</v>
      </c>
      <c r="G23" s="35">
        <v>410.0</v>
      </c>
      <c r="H23" s="35">
        <v>4.2</v>
      </c>
      <c r="I23" s="35">
        <v>2.0</v>
      </c>
      <c r="J23" s="36">
        <v>2.314</v>
      </c>
      <c r="K23" s="20">
        <f t="shared" si="1"/>
        <v>10.87021981</v>
      </c>
      <c r="L23" s="15"/>
      <c r="M23" s="37">
        <v>2.31</v>
      </c>
      <c r="N23" s="16">
        <v>1.65</v>
      </c>
      <c r="O23" s="37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823</v>
      </c>
      <c r="B24" s="14" t="s">
        <v>824</v>
      </c>
      <c r="C24" s="14">
        <v>2.0</v>
      </c>
      <c r="D24" s="14" t="s">
        <v>801</v>
      </c>
      <c r="E24" s="14" t="s">
        <v>125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825</v>
      </c>
      <c r="B25" s="14" t="s">
        <v>531</v>
      </c>
      <c r="C25" s="14">
        <v>4.0</v>
      </c>
      <c r="D25" s="14" t="s">
        <v>801</v>
      </c>
      <c r="E25" s="14" t="s">
        <v>120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826</v>
      </c>
      <c r="B26" s="14" t="s">
        <v>285</v>
      </c>
      <c r="C26" s="14">
        <v>3.0</v>
      </c>
      <c r="D26" s="14" t="s">
        <v>801</v>
      </c>
      <c r="E26" s="14" t="s">
        <v>108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827</v>
      </c>
      <c r="B27" s="14" t="s">
        <v>159</v>
      </c>
      <c r="C27" s="14">
        <v>0.0</v>
      </c>
      <c r="D27" s="14" t="s">
        <v>801</v>
      </c>
      <c r="E27" s="14" t="s">
        <v>152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828</v>
      </c>
      <c r="B28" s="14" t="s">
        <v>313</v>
      </c>
      <c r="C28" s="14">
        <v>5.0</v>
      </c>
      <c r="D28" s="14" t="s">
        <v>801</v>
      </c>
      <c r="E28" s="14" t="s">
        <v>152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829</v>
      </c>
      <c r="B29" s="14" t="s">
        <v>425</v>
      </c>
      <c r="C29" s="14">
        <v>22.0</v>
      </c>
      <c r="D29" s="14" t="s">
        <v>801</v>
      </c>
      <c r="E29" s="14" t="s">
        <v>125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830</v>
      </c>
      <c r="B30" s="14" t="s">
        <v>116</v>
      </c>
      <c r="C30" s="14">
        <v>26.0</v>
      </c>
      <c r="D30" s="14" t="s">
        <v>801</v>
      </c>
      <c r="E30" s="14" t="s">
        <v>117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831</v>
      </c>
      <c r="B31" s="14" t="s">
        <v>151</v>
      </c>
      <c r="C31" s="14">
        <v>23.0</v>
      </c>
      <c r="D31" s="14" t="s">
        <v>801</v>
      </c>
      <c r="E31" s="14" t="s">
        <v>152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832</v>
      </c>
      <c r="B32" s="14" t="s">
        <v>243</v>
      </c>
      <c r="C32" s="14">
        <v>7.0</v>
      </c>
      <c r="D32" s="14" t="s">
        <v>801</v>
      </c>
      <c r="E32" s="14" t="s">
        <v>152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833</v>
      </c>
      <c r="B33" s="14" t="s">
        <v>607</v>
      </c>
      <c r="C33" s="14">
        <v>11.0</v>
      </c>
      <c r="D33" s="14" t="s">
        <v>801</v>
      </c>
      <c r="E33" s="14" t="s">
        <v>152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834</v>
      </c>
      <c r="B34" s="14" t="s">
        <v>303</v>
      </c>
      <c r="C34" s="14">
        <v>6.0</v>
      </c>
      <c r="D34" s="14" t="s">
        <v>801</v>
      </c>
      <c r="E34" s="14" t="s">
        <v>125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835</v>
      </c>
      <c r="B35" s="14" t="s">
        <v>243</v>
      </c>
      <c r="C35" s="14">
        <v>21.0</v>
      </c>
      <c r="D35" s="14" t="s">
        <v>801</v>
      </c>
      <c r="E35" s="14" t="s">
        <v>152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836</v>
      </c>
      <c r="B36" s="14" t="s">
        <v>124</v>
      </c>
      <c r="C36" s="14">
        <v>2.0</v>
      </c>
      <c r="D36" s="14" t="s">
        <v>801</v>
      </c>
      <c r="E36" s="14" t="s">
        <v>125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837</v>
      </c>
      <c r="B37" s="14" t="s">
        <v>107</v>
      </c>
      <c r="C37" s="14">
        <v>20.0</v>
      </c>
      <c r="D37" s="14" t="s">
        <v>801</v>
      </c>
      <c r="E37" s="14" t="s">
        <v>108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838</v>
      </c>
      <c r="B38" s="14" t="s">
        <v>711</v>
      </c>
      <c r="C38" s="14">
        <v>28.0</v>
      </c>
      <c r="D38" s="14" t="s">
        <v>801</v>
      </c>
      <c r="E38" s="14" t="s">
        <v>152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839</v>
      </c>
      <c r="B39" s="14" t="s">
        <v>748</v>
      </c>
      <c r="C39" s="14">
        <v>22.0</v>
      </c>
      <c r="D39" s="14" t="s">
        <v>801</v>
      </c>
      <c r="E39" s="14" t="s">
        <v>149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840</v>
      </c>
      <c r="B40" s="14" t="s">
        <v>107</v>
      </c>
      <c r="C40" s="14">
        <v>5.0</v>
      </c>
      <c r="D40" s="14" t="s">
        <v>801</v>
      </c>
      <c r="E40" s="14" t="s">
        <v>108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841</v>
      </c>
      <c r="B41" s="14" t="s">
        <v>557</v>
      </c>
      <c r="C41" s="14">
        <v>5.0</v>
      </c>
      <c r="D41" s="14" t="s">
        <v>801</v>
      </c>
      <c r="E41" s="14" t="s">
        <v>108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842</v>
      </c>
      <c r="B42" s="14" t="s">
        <v>433</v>
      </c>
      <c r="C42" s="14">
        <v>6.0</v>
      </c>
      <c r="D42" s="14" t="s">
        <v>801</v>
      </c>
      <c r="E42" s="14" t="s">
        <v>120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843</v>
      </c>
      <c r="B43" s="14" t="s">
        <v>412</v>
      </c>
      <c r="C43" s="14">
        <v>41.0</v>
      </c>
      <c r="D43" s="14" t="s">
        <v>801</v>
      </c>
      <c r="E43" s="14" t="s">
        <v>149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844</v>
      </c>
      <c r="B44" s="14" t="s">
        <v>483</v>
      </c>
      <c r="C44" s="14">
        <v>10.0</v>
      </c>
      <c r="D44" s="14" t="s">
        <v>801</v>
      </c>
      <c r="E44" s="14" t="s">
        <v>152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845</v>
      </c>
      <c r="B45" s="14" t="s">
        <v>98</v>
      </c>
      <c r="C45" s="14">
        <v>18.0</v>
      </c>
      <c r="D45" s="14" t="s">
        <v>801</v>
      </c>
      <c r="E45" s="14" t="s">
        <v>100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846</v>
      </c>
      <c r="B46" s="14" t="s">
        <v>390</v>
      </c>
      <c r="C46" s="14">
        <v>22.0</v>
      </c>
      <c r="D46" s="14" t="s">
        <v>801</v>
      </c>
      <c r="E46" s="14" t="s">
        <v>149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847</v>
      </c>
      <c r="B47" s="14" t="s">
        <v>221</v>
      </c>
      <c r="C47" s="14">
        <v>6.0</v>
      </c>
      <c r="D47" s="14" t="s">
        <v>801</v>
      </c>
      <c r="E47" s="14" t="s">
        <v>102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848</v>
      </c>
      <c r="B48" s="14" t="s">
        <v>533</v>
      </c>
      <c r="C48" s="14">
        <v>6.0</v>
      </c>
      <c r="D48" s="14" t="s">
        <v>801</v>
      </c>
      <c r="E48" s="14" t="s">
        <v>135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849</v>
      </c>
      <c r="B49" s="14" t="s">
        <v>850</v>
      </c>
      <c r="C49" s="14">
        <v>6.0</v>
      </c>
      <c r="D49" s="14" t="s">
        <v>801</v>
      </c>
      <c r="E49" s="14" t="s">
        <v>130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851</v>
      </c>
      <c r="B50" s="14" t="s">
        <v>431</v>
      </c>
      <c r="C50" s="14">
        <v>24.0</v>
      </c>
      <c r="D50" s="14" t="s">
        <v>801</v>
      </c>
      <c r="E50" s="14" t="s">
        <v>179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852</v>
      </c>
      <c r="B51" s="14" t="s">
        <v>263</v>
      </c>
      <c r="C51" s="14">
        <v>24.0</v>
      </c>
      <c r="D51" s="14" t="s">
        <v>801</v>
      </c>
      <c r="E51" s="14" t="s">
        <v>169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853</v>
      </c>
      <c r="B52" s="14" t="s">
        <v>325</v>
      </c>
      <c r="C52" s="14">
        <v>28.0</v>
      </c>
      <c r="D52" s="14" t="s">
        <v>801</v>
      </c>
      <c r="E52" s="14" t="s">
        <v>146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854</v>
      </c>
      <c r="B53" s="14" t="s">
        <v>175</v>
      </c>
      <c r="C53" s="14">
        <v>20.0</v>
      </c>
      <c r="D53" s="14" t="s">
        <v>801</v>
      </c>
      <c r="E53" s="14" t="s">
        <v>176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855</v>
      </c>
      <c r="B54" s="14" t="s">
        <v>856</v>
      </c>
      <c r="C54" s="14">
        <v>22.0</v>
      </c>
      <c r="D54" s="14" t="s">
        <v>801</v>
      </c>
      <c r="E54" s="14" t="s">
        <v>179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857</v>
      </c>
      <c r="B55" s="14" t="s">
        <v>501</v>
      </c>
      <c r="C55" s="14">
        <v>0.0</v>
      </c>
      <c r="D55" s="14" t="s">
        <v>801</v>
      </c>
      <c r="E55" s="14" t="s">
        <v>146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858</v>
      </c>
      <c r="B56" s="14" t="s">
        <v>555</v>
      </c>
      <c r="C56" s="14">
        <v>21.0</v>
      </c>
      <c r="D56" s="14" t="s">
        <v>801</v>
      </c>
      <c r="E56" s="14" t="s">
        <v>138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859</v>
      </c>
      <c r="B57" s="14" t="s">
        <v>206</v>
      </c>
      <c r="C57" s="14">
        <v>10.0</v>
      </c>
      <c r="D57" s="14" t="s">
        <v>801</v>
      </c>
      <c r="E57" s="14" t="s">
        <v>188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860</v>
      </c>
      <c r="B58" s="14" t="s">
        <v>447</v>
      </c>
      <c r="C58" s="14">
        <v>6.0</v>
      </c>
      <c r="D58" s="14" t="s">
        <v>801</v>
      </c>
      <c r="E58" s="14" t="s">
        <v>146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861</v>
      </c>
      <c r="B59" s="14" t="s">
        <v>277</v>
      </c>
      <c r="C59" s="14">
        <v>6.0</v>
      </c>
      <c r="D59" s="14" t="s">
        <v>801</v>
      </c>
      <c r="E59" s="14" t="s">
        <v>117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862</v>
      </c>
      <c r="B60" s="14" t="s">
        <v>196</v>
      </c>
      <c r="C60" s="14">
        <v>24.0</v>
      </c>
      <c r="D60" s="14" t="s">
        <v>801</v>
      </c>
      <c r="E60" s="14" t="s">
        <v>176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863</v>
      </c>
      <c r="B61" s="14" t="s">
        <v>279</v>
      </c>
      <c r="C61" s="14">
        <v>32.0</v>
      </c>
      <c r="D61" s="14" t="s">
        <v>801</v>
      </c>
      <c r="E61" s="14" t="s">
        <v>209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864</v>
      </c>
      <c r="B62" s="14" t="s">
        <v>110</v>
      </c>
      <c r="C62" s="14">
        <v>25.0</v>
      </c>
      <c r="D62" s="14" t="s">
        <v>801</v>
      </c>
      <c r="E62" s="14" t="s">
        <v>111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865</v>
      </c>
      <c r="B63" s="14" t="s">
        <v>667</v>
      </c>
      <c r="C63" s="14">
        <v>5.0</v>
      </c>
      <c r="D63" s="14" t="s">
        <v>801</v>
      </c>
      <c r="E63" s="14" t="s">
        <v>209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866</v>
      </c>
      <c r="B64" s="14" t="s">
        <v>388</v>
      </c>
      <c r="C64" s="14">
        <v>24.0</v>
      </c>
      <c r="D64" s="14" t="s">
        <v>801</v>
      </c>
      <c r="E64" s="14" t="s">
        <v>125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867</v>
      </c>
      <c r="B65" s="14" t="s">
        <v>187</v>
      </c>
      <c r="C65" s="14">
        <v>0.0</v>
      </c>
      <c r="D65" s="14" t="s">
        <v>801</v>
      </c>
      <c r="E65" s="14" t="s">
        <v>188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868</v>
      </c>
      <c r="B66" s="14" t="s">
        <v>225</v>
      </c>
      <c r="C66" s="14">
        <v>0.0</v>
      </c>
      <c r="D66" s="14" t="s">
        <v>801</v>
      </c>
      <c r="E66" s="14" t="s">
        <v>164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869</v>
      </c>
      <c r="B67" s="14" t="s">
        <v>309</v>
      </c>
      <c r="C67" s="14">
        <v>26.0</v>
      </c>
      <c r="D67" s="14" t="s">
        <v>801</v>
      </c>
      <c r="E67" s="14" t="s">
        <v>176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870</v>
      </c>
      <c r="B68" s="14" t="s">
        <v>190</v>
      </c>
      <c r="C68" s="14">
        <v>0.0</v>
      </c>
      <c r="D68" s="14" t="s">
        <v>801</v>
      </c>
      <c r="E68" s="14" t="s">
        <v>146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871</v>
      </c>
      <c r="B69" s="14" t="s">
        <v>451</v>
      </c>
      <c r="C69" s="14">
        <v>9.0</v>
      </c>
      <c r="D69" s="14" t="s">
        <v>801</v>
      </c>
      <c r="E69" s="14" t="s">
        <v>169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872</v>
      </c>
      <c r="B70" s="14" t="s">
        <v>379</v>
      </c>
      <c r="C70" s="14">
        <v>29.0</v>
      </c>
      <c r="D70" s="14" t="s">
        <v>801</v>
      </c>
      <c r="E70" s="14" t="s">
        <v>141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873</v>
      </c>
      <c r="B71" s="14" t="s">
        <v>235</v>
      </c>
      <c r="C71" s="14">
        <v>9.0</v>
      </c>
      <c r="D71" s="14" t="s">
        <v>801</v>
      </c>
      <c r="E71" s="14" t="s">
        <v>125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874</v>
      </c>
      <c r="B72" s="14" t="s">
        <v>629</v>
      </c>
      <c r="C72" s="14">
        <v>2.0</v>
      </c>
      <c r="D72" s="14" t="s">
        <v>801</v>
      </c>
      <c r="E72" s="14" t="s">
        <v>138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875</v>
      </c>
      <c r="B73" s="14" t="s">
        <v>269</v>
      </c>
      <c r="C73" s="14">
        <v>9.0</v>
      </c>
      <c r="D73" s="14" t="s">
        <v>801</v>
      </c>
      <c r="E73" s="14" t="s">
        <v>169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876</v>
      </c>
      <c r="B74" s="14" t="s">
        <v>877</v>
      </c>
      <c r="C74" s="14">
        <v>22.0</v>
      </c>
      <c r="D74" s="14" t="s">
        <v>801</v>
      </c>
      <c r="E74" s="14" t="s">
        <v>179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878</v>
      </c>
      <c r="B75" s="14" t="s">
        <v>277</v>
      </c>
      <c r="C75" s="14">
        <v>0.0</v>
      </c>
      <c r="D75" s="14" t="s">
        <v>801</v>
      </c>
      <c r="E75" s="14" t="s">
        <v>117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879</v>
      </c>
      <c r="B76" s="14" t="s">
        <v>319</v>
      </c>
      <c r="C76" s="14">
        <v>21.0</v>
      </c>
      <c r="D76" s="14" t="s">
        <v>801</v>
      </c>
      <c r="E76" s="14" t="s">
        <v>117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880</v>
      </c>
      <c r="B77" s="14" t="s">
        <v>200</v>
      </c>
      <c r="C77" s="14">
        <v>28.0</v>
      </c>
      <c r="D77" s="14" t="s">
        <v>801</v>
      </c>
      <c r="E77" s="14" t="s">
        <v>105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881</v>
      </c>
      <c r="B78" s="14" t="s">
        <v>569</v>
      </c>
      <c r="C78" s="14">
        <v>6.0</v>
      </c>
      <c r="D78" s="14" t="s">
        <v>801</v>
      </c>
      <c r="E78" s="14" t="s">
        <v>141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882</v>
      </c>
      <c r="B79" s="14" t="s">
        <v>163</v>
      </c>
      <c r="C79" s="14">
        <v>28.0</v>
      </c>
      <c r="D79" s="14" t="s">
        <v>801</v>
      </c>
      <c r="E79" s="14" t="s">
        <v>164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883</v>
      </c>
      <c r="B80" s="14" t="s">
        <v>140</v>
      </c>
      <c r="C80" s="14">
        <v>27.0</v>
      </c>
      <c r="D80" s="14" t="s">
        <v>801</v>
      </c>
      <c r="E80" s="14" t="s">
        <v>141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884</v>
      </c>
      <c r="B81" s="14" t="s">
        <v>417</v>
      </c>
      <c r="C81" s="14">
        <v>28.0</v>
      </c>
      <c r="D81" s="14" t="s">
        <v>801</v>
      </c>
      <c r="E81" s="14" t="s">
        <v>141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885</v>
      </c>
      <c r="B82" s="14" t="s">
        <v>388</v>
      </c>
      <c r="C82" s="14">
        <v>26.0</v>
      </c>
      <c r="D82" s="14" t="s">
        <v>801</v>
      </c>
      <c r="E82" s="14" t="s">
        <v>125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886</v>
      </c>
      <c r="B83" s="14" t="s">
        <v>227</v>
      </c>
      <c r="C83" s="14">
        <v>23.0</v>
      </c>
      <c r="D83" s="14" t="s">
        <v>801</v>
      </c>
      <c r="E83" s="14" t="s">
        <v>188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887</v>
      </c>
      <c r="B84" s="14" t="s">
        <v>129</v>
      </c>
      <c r="C84" s="14">
        <v>8.0</v>
      </c>
      <c r="D84" s="14" t="s">
        <v>801</v>
      </c>
      <c r="E84" s="14" t="s">
        <v>130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888</v>
      </c>
      <c r="B85" s="14" t="s">
        <v>329</v>
      </c>
      <c r="C85" s="14">
        <v>3.0</v>
      </c>
      <c r="D85" s="14" t="s">
        <v>801</v>
      </c>
      <c r="E85" s="14" t="s">
        <v>102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889</v>
      </c>
      <c r="B86" s="14" t="s">
        <v>341</v>
      </c>
      <c r="C86" s="14">
        <v>1.0</v>
      </c>
      <c r="D86" s="14" t="s">
        <v>801</v>
      </c>
      <c r="E86" s="14" t="s">
        <v>135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890</v>
      </c>
      <c r="B87" s="14" t="s">
        <v>190</v>
      </c>
      <c r="C87" s="14">
        <v>14.0</v>
      </c>
      <c r="D87" s="14" t="s">
        <v>801</v>
      </c>
      <c r="E87" s="14" t="s">
        <v>146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891</v>
      </c>
      <c r="B88" s="14" t="s">
        <v>253</v>
      </c>
      <c r="C88" s="14">
        <v>25.0</v>
      </c>
      <c r="D88" s="14" t="s">
        <v>801</v>
      </c>
      <c r="E88" s="14" t="s">
        <v>111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892</v>
      </c>
      <c r="B89" s="14" t="s">
        <v>247</v>
      </c>
      <c r="C89" s="14">
        <v>20.0</v>
      </c>
      <c r="D89" s="14" t="s">
        <v>801</v>
      </c>
      <c r="E89" s="14" t="s">
        <v>188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893</v>
      </c>
      <c r="B90" s="14" t="s">
        <v>353</v>
      </c>
      <c r="C90" s="14">
        <v>4.0</v>
      </c>
      <c r="D90" s="14" t="s">
        <v>801</v>
      </c>
      <c r="E90" s="14" t="s">
        <v>105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894</v>
      </c>
      <c r="B91" s="14" t="s">
        <v>455</v>
      </c>
      <c r="C91" s="14">
        <v>2.0</v>
      </c>
      <c r="D91" s="14" t="s">
        <v>801</v>
      </c>
      <c r="E91" s="14" t="s">
        <v>100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895</v>
      </c>
      <c r="B92" s="14" t="s">
        <v>225</v>
      </c>
      <c r="C92" s="14">
        <v>23.0</v>
      </c>
      <c r="D92" s="14" t="s">
        <v>801</v>
      </c>
      <c r="E92" s="14" t="s">
        <v>164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896</v>
      </c>
      <c r="B93" s="14" t="s">
        <v>373</v>
      </c>
      <c r="C93" s="14">
        <v>5.0</v>
      </c>
      <c r="D93" s="14" t="s">
        <v>801</v>
      </c>
      <c r="E93" s="14" t="s">
        <v>176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897</v>
      </c>
      <c r="B94" s="14" t="s">
        <v>204</v>
      </c>
      <c r="C94" s="14">
        <v>3.0</v>
      </c>
      <c r="D94" s="14" t="s">
        <v>801</v>
      </c>
      <c r="E94" s="14" t="s">
        <v>102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898</v>
      </c>
      <c r="B95" s="14" t="s">
        <v>143</v>
      </c>
      <c r="C95" s="14">
        <v>3.0</v>
      </c>
      <c r="D95" s="14" t="s">
        <v>801</v>
      </c>
      <c r="E95" s="14" t="s">
        <v>135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899</v>
      </c>
      <c r="B96" s="14" t="s">
        <v>423</v>
      </c>
      <c r="C96" s="14">
        <v>4.0</v>
      </c>
      <c r="D96" s="14" t="s">
        <v>801</v>
      </c>
      <c r="E96" s="14" t="s">
        <v>188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900</v>
      </c>
      <c r="B97" s="14" t="s">
        <v>215</v>
      </c>
      <c r="C97" s="14">
        <v>7.0</v>
      </c>
      <c r="D97" s="14" t="s">
        <v>801</v>
      </c>
      <c r="E97" s="14" t="s">
        <v>169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901</v>
      </c>
      <c r="B98" s="14" t="s">
        <v>408</v>
      </c>
      <c r="C98" s="14">
        <v>8.0</v>
      </c>
      <c r="D98" s="14" t="s">
        <v>801</v>
      </c>
      <c r="E98" s="14" t="s">
        <v>130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902</v>
      </c>
      <c r="B99" s="14" t="s">
        <v>353</v>
      </c>
      <c r="C99" s="14">
        <v>20.0</v>
      </c>
      <c r="D99" s="14" t="s">
        <v>801</v>
      </c>
      <c r="E99" s="14" t="s">
        <v>105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903</v>
      </c>
      <c r="B100" s="14" t="s">
        <v>185</v>
      </c>
      <c r="C100" s="14">
        <v>23.0</v>
      </c>
      <c r="D100" s="14" t="s">
        <v>801</v>
      </c>
      <c r="E100" s="14" t="s">
        <v>102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904</v>
      </c>
      <c r="B101" s="14" t="s">
        <v>175</v>
      </c>
      <c r="C101" s="14">
        <v>29.0</v>
      </c>
      <c r="D101" s="14" t="s">
        <v>801</v>
      </c>
      <c r="E101" s="14" t="s">
        <v>176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905</v>
      </c>
      <c r="B102" s="14" t="s">
        <v>658</v>
      </c>
      <c r="C102" s="14">
        <v>21.0</v>
      </c>
      <c r="D102" s="14" t="s">
        <v>801</v>
      </c>
      <c r="E102" s="14" t="s">
        <v>130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906</v>
      </c>
      <c r="B103" s="14" t="s">
        <v>303</v>
      </c>
      <c r="C103" s="14">
        <v>15.0</v>
      </c>
      <c r="D103" s="14" t="s">
        <v>801</v>
      </c>
      <c r="E103" s="14" t="s">
        <v>125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907</v>
      </c>
      <c r="B104" s="14" t="s">
        <v>124</v>
      </c>
      <c r="C104" s="14">
        <v>25.0</v>
      </c>
      <c r="D104" s="14" t="s">
        <v>801</v>
      </c>
      <c r="E104" s="14" t="s">
        <v>125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908</v>
      </c>
      <c r="B105" s="14" t="s">
        <v>202</v>
      </c>
      <c r="C105" s="14">
        <v>2.0</v>
      </c>
      <c r="D105" s="14" t="s">
        <v>801</v>
      </c>
      <c r="E105" s="14" t="s">
        <v>141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909</v>
      </c>
      <c r="B106" s="14" t="s">
        <v>521</v>
      </c>
      <c r="C106" s="14">
        <v>34.0</v>
      </c>
      <c r="D106" s="14" t="s">
        <v>801</v>
      </c>
      <c r="E106" s="14" t="s">
        <v>117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910</v>
      </c>
      <c r="B107" s="14" t="s">
        <v>229</v>
      </c>
      <c r="C107" s="14">
        <v>8.0</v>
      </c>
      <c r="D107" s="14" t="s">
        <v>801</v>
      </c>
      <c r="E107" s="14" t="s">
        <v>169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911</v>
      </c>
      <c r="B108" s="14" t="s">
        <v>536</v>
      </c>
      <c r="C108" s="14">
        <v>26.0</v>
      </c>
      <c r="D108" s="14" t="s">
        <v>801</v>
      </c>
      <c r="E108" s="14" t="s">
        <v>164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912</v>
      </c>
      <c r="B109" s="14" t="s">
        <v>423</v>
      </c>
      <c r="C109" s="14">
        <v>22.0</v>
      </c>
      <c r="D109" s="14" t="s">
        <v>801</v>
      </c>
      <c r="E109" s="14" t="s">
        <v>188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913</v>
      </c>
      <c r="B110" s="14" t="s">
        <v>247</v>
      </c>
      <c r="C110" s="14">
        <v>1.0</v>
      </c>
      <c r="D110" s="14" t="s">
        <v>801</v>
      </c>
      <c r="E110" s="14" t="s">
        <v>188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914</v>
      </c>
      <c r="B111" s="14" t="s">
        <v>98</v>
      </c>
      <c r="C111" s="14">
        <v>0.0</v>
      </c>
      <c r="D111" s="14" t="s">
        <v>801</v>
      </c>
      <c r="E111" s="14" t="s">
        <v>100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915</v>
      </c>
      <c r="B112" s="14" t="s">
        <v>190</v>
      </c>
      <c r="C112" s="14">
        <v>6.0</v>
      </c>
      <c r="D112" s="14" t="s">
        <v>801</v>
      </c>
      <c r="E112" s="14" t="s">
        <v>146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916</v>
      </c>
      <c r="B113" s="14" t="s">
        <v>273</v>
      </c>
      <c r="C113" s="14">
        <v>3.0</v>
      </c>
      <c r="D113" s="14" t="s">
        <v>801</v>
      </c>
      <c r="E113" s="14" t="s">
        <v>146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917</v>
      </c>
      <c r="B114" s="14" t="s">
        <v>267</v>
      </c>
      <c r="C114" s="14">
        <v>20.0</v>
      </c>
      <c r="D114" s="14" t="s">
        <v>801</v>
      </c>
      <c r="E114" s="14" t="s">
        <v>164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918</v>
      </c>
      <c r="B115" s="14" t="s">
        <v>662</v>
      </c>
      <c r="C115" s="14">
        <v>7.0</v>
      </c>
      <c r="D115" s="14" t="s">
        <v>801</v>
      </c>
      <c r="E115" s="14" t="s">
        <v>135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919</v>
      </c>
      <c r="B116" s="14" t="s">
        <v>140</v>
      </c>
      <c r="C116" s="14">
        <v>0.0</v>
      </c>
      <c r="D116" s="14" t="s">
        <v>801</v>
      </c>
      <c r="E116" s="14" t="s">
        <v>141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920</v>
      </c>
      <c r="B117" s="14" t="s">
        <v>590</v>
      </c>
      <c r="C117" s="14">
        <v>6.0</v>
      </c>
      <c r="D117" s="14" t="s">
        <v>801</v>
      </c>
      <c r="E117" s="14" t="s">
        <v>111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921</v>
      </c>
      <c r="B118" s="14" t="s">
        <v>475</v>
      </c>
      <c r="C118" s="14">
        <v>3.0</v>
      </c>
      <c r="D118" s="14" t="s">
        <v>801</v>
      </c>
      <c r="E118" s="14" t="s">
        <v>108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922</v>
      </c>
      <c r="B119" s="14" t="s">
        <v>163</v>
      </c>
      <c r="C119" s="14">
        <v>29.0</v>
      </c>
      <c r="D119" s="14" t="s">
        <v>801</v>
      </c>
      <c r="E119" s="14" t="s">
        <v>164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923</v>
      </c>
      <c r="B120" s="14" t="s">
        <v>273</v>
      </c>
      <c r="C120" s="14">
        <v>26.0</v>
      </c>
      <c r="D120" s="14" t="s">
        <v>801</v>
      </c>
      <c r="E120" s="14" t="s">
        <v>146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924</v>
      </c>
      <c r="B121" s="14" t="s">
        <v>134</v>
      </c>
      <c r="C121" s="14">
        <v>24.0</v>
      </c>
      <c r="D121" s="14" t="s">
        <v>801</v>
      </c>
      <c r="E121" s="14" t="s">
        <v>135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925</v>
      </c>
      <c r="B122" s="14" t="s">
        <v>536</v>
      </c>
      <c r="C122" s="14">
        <v>4.0</v>
      </c>
      <c r="D122" s="14" t="s">
        <v>801</v>
      </c>
      <c r="E122" s="14" t="s">
        <v>164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926</v>
      </c>
      <c r="B123" s="14" t="s">
        <v>421</v>
      </c>
      <c r="C123" s="14">
        <v>21.0</v>
      </c>
      <c r="D123" s="14" t="s">
        <v>801</v>
      </c>
      <c r="E123" s="14" t="s">
        <v>108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927</v>
      </c>
      <c r="B124" s="14" t="s">
        <v>331</v>
      </c>
      <c r="C124" s="14">
        <v>0.0</v>
      </c>
      <c r="D124" s="14" t="s">
        <v>801</v>
      </c>
      <c r="E124" s="14" t="s">
        <v>179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928</v>
      </c>
      <c r="B125" s="14" t="s">
        <v>225</v>
      </c>
      <c r="C125" s="14">
        <v>27.0</v>
      </c>
      <c r="D125" s="14" t="s">
        <v>801</v>
      </c>
      <c r="E125" s="14" t="s">
        <v>164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929</v>
      </c>
      <c r="B126" s="14" t="s">
        <v>229</v>
      </c>
      <c r="C126" s="14">
        <v>4.0</v>
      </c>
      <c r="D126" s="14" t="s">
        <v>801</v>
      </c>
      <c r="E126" s="14" t="s">
        <v>169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930</v>
      </c>
      <c r="B127" s="14" t="s">
        <v>931</v>
      </c>
      <c r="C127" s="14">
        <v>21.0</v>
      </c>
      <c r="D127" s="14" t="s">
        <v>801</v>
      </c>
      <c r="E127" s="14" t="s">
        <v>164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932</v>
      </c>
      <c r="B128" s="14" t="s">
        <v>557</v>
      </c>
      <c r="C128" s="14">
        <v>20.0</v>
      </c>
      <c r="D128" s="14" t="s">
        <v>801</v>
      </c>
      <c r="E128" s="14" t="s">
        <v>108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933</v>
      </c>
      <c r="B129" s="14" t="s">
        <v>529</v>
      </c>
      <c r="C129" s="14">
        <v>26.0</v>
      </c>
      <c r="D129" s="14" t="s">
        <v>801</v>
      </c>
      <c r="E129" s="14" t="s">
        <v>125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934</v>
      </c>
      <c r="B130" s="14" t="s">
        <v>421</v>
      </c>
      <c r="C130" s="14">
        <v>22.0</v>
      </c>
      <c r="D130" s="14" t="s">
        <v>801</v>
      </c>
      <c r="E130" s="14" t="s">
        <v>108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935</v>
      </c>
      <c r="B131" s="14" t="s">
        <v>192</v>
      </c>
      <c r="C131" s="14">
        <v>1.0</v>
      </c>
      <c r="D131" s="14" t="s">
        <v>801</v>
      </c>
      <c r="E131" s="14" t="s">
        <v>164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936</v>
      </c>
      <c r="B132" s="14" t="s">
        <v>527</v>
      </c>
      <c r="C132" s="14">
        <v>21.0</v>
      </c>
      <c r="D132" s="14" t="s">
        <v>801</v>
      </c>
      <c r="E132" s="14" t="s">
        <v>125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937</v>
      </c>
      <c r="B133" s="14" t="s">
        <v>704</v>
      </c>
      <c r="C133" s="14">
        <v>3.0</v>
      </c>
      <c r="D133" s="14" t="s">
        <v>801</v>
      </c>
      <c r="E133" s="14" t="s">
        <v>176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938</v>
      </c>
      <c r="B134" s="14" t="s">
        <v>233</v>
      </c>
      <c r="C134" s="14">
        <v>2.0</v>
      </c>
      <c r="D134" s="14" t="s">
        <v>801</v>
      </c>
      <c r="E134" s="14" t="s">
        <v>179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939</v>
      </c>
      <c r="B135" s="14" t="s">
        <v>451</v>
      </c>
      <c r="C135" s="14">
        <v>1.0</v>
      </c>
      <c r="D135" s="14" t="s">
        <v>801</v>
      </c>
      <c r="E135" s="14" t="s">
        <v>169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940</v>
      </c>
      <c r="B136" s="14" t="s">
        <v>275</v>
      </c>
      <c r="C136" s="14">
        <v>0.0</v>
      </c>
      <c r="D136" s="14" t="s">
        <v>801</v>
      </c>
      <c r="E136" s="14" t="s">
        <v>125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941</v>
      </c>
      <c r="B137" s="14" t="s">
        <v>477</v>
      </c>
      <c r="C137" s="14">
        <v>13.0</v>
      </c>
      <c r="D137" s="14" t="s">
        <v>801</v>
      </c>
      <c r="E137" s="14" t="s">
        <v>141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942</v>
      </c>
      <c r="B138" s="14" t="s">
        <v>235</v>
      </c>
      <c r="C138" s="14">
        <v>20.0</v>
      </c>
      <c r="D138" s="14" t="s">
        <v>801</v>
      </c>
      <c r="E138" s="14" t="s">
        <v>125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943</v>
      </c>
      <c r="B139" s="14" t="s">
        <v>658</v>
      </c>
      <c r="C139" s="14">
        <v>20.0</v>
      </c>
      <c r="D139" s="14" t="s">
        <v>801</v>
      </c>
      <c r="E139" s="14" t="s">
        <v>130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944</v>
      </c>
      <c r="B140" s="14" t="s">
        <v>419</v>
      </c>
      <c r="C140" s="14">
        <v>0.0</v>
      </c>
      <c r="D140" s="14" t="s">
        <v>801</v>
      </c>
      <c r="E140" s="14" t="s">
        <v>164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945</v>
      </c>
      <c r="B141" s="14" t="s">
        <v>239</v>
      </c>
      <c r="C141" s="14">
        <v>24.0</v>
      </c>
      <c r="D141" s="14" t="s">
        <v>801</v>
      </c>
      <c r="E141" s="14" t="s">
        <v>164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951</v>
      </c>
      <c r="R1" s="14" t="s">
        <v>952</v>
      </c>
      <c r="S1" s="14" t="s">
        <v>92</v>
      </c>
      <c r="T1" s="14" t="s">
        <v>93</v>
      </c>
      <c r="U1" s="14" t="s">
        <v>953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954</v>
      </c>
      <c r="B2" s="14" t="s">
        <v>441</v>
      </c>
      <c r="C2" s="14">
        <v>7.0</v>
      </c>
      <c r="D2" s="14" t="s">
        <v>955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62" si="1">IFERROR((P2*0.5+O2*0.2+R2*N2*0.2+Q2*0.1), 0)</f>
        <v>6.171831103</v>
      </c>
      <c r="T2" s="20">
        <f t="shared" ref="T2:T262" si="2">100*(S2-MIN($S$2:$S$505))/(MAX($S$2:$S$505) - MIN($S$2:$S$505))</f>
        <v>100</v>
      </c>
      <c r="U2" s="20">
        <f t="shared" ref="U2:U262" si="3">T2-L2</f>
        <v>33.21053383</v>
      </c>
      <c r="W2" s="20">
        <f>IFERROR(__xludf.DUMMYFUNCTION("iferror(PERCENTRANK.INC(FILTER($S$2:$S$429, $P$2:$P$429&lt;3.75), $S2), 1)"),1.0)</f>
        <v>1</v>
      </c>
      <c r="X2" s="20">
        <f>IFERROR(__xludf.DUMMYFUNCTION("iferror(PERCENTRANK.INC(FILTER($S$2:$S$429, $P$2:$P$429&lt;4.5), $S2), 1)"),1.0)</f>
        <v>1</v>
      </c>
      <c r="Y2" s="20">
        <f>IFERROR(__xludf.DUMMYFUNCTION("iferror(PERCENTRANK.INC(FILTER($S$2:$S$429, $P$2:$P$429&gt;=4.1), $S2), 0.01)"),1.0)</f>
        <v>1</v>
      </c>
    </row>
    <row r="3" ht="14.25" customHeight="1">
      <c r="A3" s="14" t="s">
        <v>956</v>
      </c>
      <c r="B3" s="14" t="s">
        <v>315</v>
      </c>
      <c r="C3" s="16">
        <v>2.0</v>
      </c>
      <c r="D3" s="14" t="s">
        <v>955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8">
        <v>5.4</v>
      </c>
      <c r="Q3" s="38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92.55663118</v>
      </c>
      <c r="U3" s="20">
        <f t="shared" si="3"/>
        <v>19.71779039</v>
      </c>
      <c r="W3" s="20">
        <f>IFERROR(__xludf.DUMMYFUNCTION("iferror(PERCENTRANK.INC(FILTER($S$2:$S$429, $P$2:$P$429&lt;3.75), $S3), 1)"),1.0)</f>
        <v>1</v>
      </c>
      <c r="X3" s="20">
        <f>IFERROR(__xludf.DUMMYFUNCTION("iferror(PERCENTRANK.INC(FILTER($S$2:$S$429, $P$2:$P$429&lt;4.5), $S3), 1)"),1.0)</f>
        <v>1</v>
      </c>
      <c r="Y3" s="20">
        <f>IFERROR(__xludf.DUMMYFUNCTION("iferror(PERCENTRANK.INC(FILTER($S$2:$S$429, $P$2:$P$429&gt;=4.1), $S3), 0.01)"),0.986)</f>
        <v>0.986</v>
      </c>
    </row>
    <row r="4" ht="14.25" customHeight="1">
      <c r="A4" s="14" t="s">
        <v>957</v>
      </c>
      <c r="B4" s="14" t="s">
        <v>175</v>
      </c>
      <c r="C4" s="16">
        <v>14.0</v>
      </c>
      <c r="D4" s="14" t="s">
        <v>955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91.00128653</v>
      </c>
      <c r="U4" s="20">
        <f t="shared" si="3"/>
        <v>24.72720574</v>
      </c>
      <c r="W4" s="20">
        <f>IFERROR(__xludf.DUMMYFUNCTION("iferror(PERCENTRANK.INC(FILTER($S$2:$S$429, $P$2:$P$429&lt;3.75), $S4), 1)"),1.0)</f>
        <v>1</v>
      </c>
      <c r="X4" s="20">
        <f>IFERROR(__xludf.DUMMYFUNCTION("iferror(PERCENTRANK.INC(FILTER($S$2:$S$429, $P$2:$P$429&lt;4.5), $S4), 1)"),1.0)</f>
        <v>1</v>
      </c>
      <c r="Y4" s="20">
        <f>IFERROR(__xludf.DUMMYFUNCTION("iferror(PERCENTRANK.INC(FILTER($S$2:$S$429, $P$2:$P$429&gt;=4.1), $S4), 0.01)"),0.972)</f>
        <v>0.972</v>
      </c>
    </row>
    <row r="5" ht="14.25" customHeight="1">
      <c r="A5" s="14" t="s">
        <v>958</v>
      </c>
      <c r="B5" s="14" t="s">
        <v>303</v>
      </c>
      <c r="C5" s="14">
        <v>10.0</v>
      </c>
      <c r="D5" s="14" t="s">
        <v>955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90.53743985</v>
      </c>
      <c r="U5" s="20">
        <f t="shared" si="3"/>
        <v>17.52809263</v>
      </c>
      <c r="W5" s="20">
        <f>IFERROR(__xludf.DUMMYFUNCTION("iferror(PERCENTRANK.INC(FILTER($S$2:$S$429, $P$2:$P$429&lt;3.75), $S5), 1)"),1.0)</f>
        <v>1</v>
      </c>
      <c r="X5" s="20">
        <f>IFERROR(__xludf.DUMMYFUNCTION("iferror(PERCENTRANK.INC(FILTER($S$2:$S$429, $P$2:$P$429&lt;4.5), $S5), 1)"),1.0)</f>
        <v>1</v>
      </c>
      <c r="Y5" s="20">
        <f>IFERROR(__xludf.DUMMYFUNCTION("iferror(PERCENTRANK.INC(FILTER($S$2:$S$429, $P$2:$P$429&gt;=4.1), $S5), 0.01)"),0.958)</f>
        <v>0.958</v>
      </c>
    </row>
    <row r="6" ht="14.25" customHeight="1">
      <c r="A6" s="14" t="s">
        <v>959</v>
      </c>
      <c r="B6" s="14" t="s">
        <v>275</v>
      </c>
      <c r="C6" s="14">
        <v>9.0</v>
      </c>
      <c r="D6" s="14" t="s">
        <v>955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89.6143226</v>
      </c>
      <c r="U6" s="20">
        <f t="shared" si="3"/>
        <v>23.19972288</v>
      </c>
      <c r="W6" s="20">
        <f>IFERROR(__xludf.DUMMYFUNCTION("iferror(PERCENTRANK.INC(FILTER($S$2:$S$429, $P$2:$P$429&lt;3.75), $S6), 1)"),1.0)</f>
        <v>1</v>
      </c>
      <c r="X6" s="20">
        <f>IFERROR(__xludf.DUMMYFUNCTION("iferror(PERCENTRANK.INC(FILTER($S$2:$S$429, $P$2:$P$429&lt;4.5), $S6), 1)"),0.999)</f>
        <v>0.999</v>
      </c>
      <c r="Y6" s="20">
        <f>IFERROR(__xludf.DUMMYFUNCTION("iferror(PERCENTRANK.INC(FILTER($S$2:$S$429, $P$2:$P$429&gt;=4.1), $S6), 0.01)"),0.944)</f>
        <v>0.944</v>
      </c>
    </row>
    <row r="7" ht="14.25" customHeight="1">
      <c r="A7" s="14" t="s">
        <v>960</v>
      </c>
      <c r="B7" s="14" t="s">
        <v>577</v>
      </c>
      <c r="C7" s="14">
        <v>9.0</v>
      </c>
      <c r="D7" s="14" t="s">
        <v>955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9">
        <v>5.19</v>
      </c>
      <c r="Q7" s="39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88.63095844</v>
      </c>
      <c r="U7" s="20">
        <f t="shared" si="3"/>
        <v>13.21446189</v>
      </c>
      <c r="W7" s="20">
        <f>IFERROR(__xludf.DUMMYFUNCTION("iferror(PERCENTRANK.INC(FILTER($S$2:$S$429, $P$2:$P$429&lt;3.75), $S7), 1)"),1.0)</f>
        <v>1</v>
      </c>
      <c r="X7" s="20">
        <f>IFERROR(__xludf.DUMMYFUNCTION("iferror(PERCENTRANK.INC(FILTER($S$2:$S$429, $P$2:$P$429&lt;4.5), $S7), 1)"),0.998)</f>
        <v>0.998</v>
      </c>
      <c r="Y7" s="20">
        <f>IFERROR(__xludf.DUMMYFUNCTION("iferror(PERCENTRANK.INC(FILTER($S$2:$S$429, $P$2:$P$429&gt;=4.1), $S7), 0.01)"),0.931)</f>
        <v>0.931</v>
      </c>
    </row>
    <row r="8" ht="14.25" customHeight="1">
      <c r="A8" s="14" t="s">
        <v>961</v>
      </c>
      <c r="B8" s="14" t="s">
        <v>202</v>
      </c>
      <c r="C8" s="14" t="s">
        <v>955</v>
      </c>
      <c r="D8" s="14" t="s">
        <v>955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88.45644516</v>
      </c>
      <c r="U8" s="20">
        <f t="shared" si="3"/>
        <v>14.86164306</v>
      </c>
      <c r="W8" s="20">
        <f>IFERROR(__xludf.DUMMYFUNCTION("iferror(PERCENTRANK.INC(FILTER($S$2:$S$429, $P$2:$P$429&lt;3.75), $S8), 1)"),1.0)</f>
        <v>1</v>
      </c>
      <c r="X8" s="20">
        <f>IFERROR(__xludf.DUMMYFUNCTION("iferror(PERCENTRANK.INC(FILTER($S$2:$S$429, $P$2:$P$429&lt;4.5), $S8), 1)"),0.998)</f>
        <v>0.998</v>
      </c>
      <c r="Y8" s="20">
        <f>IFERROR(__xludf.DUMMYFUNCTION("iferror(PERCENTRANK.INC(FILTER($S$2:$S$429, $P$2:$P$429&gt;=4.1), $S8), 0.01)"),0.917)</f>
        <v>0.917</v>
      </c>
    </row>
    <row r="9" ht="14.25" customHeight="1">
      <c r="A9" s="14" t="s">
        <v>962</v>
      </c>
      <c r="B9" s="14" t="s">
        <v>263</v>
      </c>
      <c r="C9" s="16">
        <v>1.0</v>
      </c>
      <c r="D9" s="14" t="s">
        <v>955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87.48905168</v>
      </c>
      <c r="U9" s="20">
        <f t="shared" si="3"/>
        <v>14.25223916</v>
      </c>
      <c r="W9" s="20">
        <f>IFERROR(__xludf.DUMMYFUNCTION("iferror(PERCENTRANK.INC(FILTER($S$2:$S$429, $P$2:$P$429&lt;3.75), $S9), 1)"),1.0)</f>
        <v>1</v>
      </c>
      <c r="X9" s="20">
        <f>IFERROR(__xludf.DUMMYFUNCTION("iferror(PERCENTRANK.INC(FILTER($S$2:$S$429, $P$2:$P$429&lt;4.5), $S9), 1)"),0.997)</f>
        <v>0.997</v>
      </c>
      <c r="Y9" s="20">
        <f>IFERROR(__xludf.DUMMYFUNCTION("iferror(PERCENTRANK.INC(FILTER($S$2:$S$429, $P$2:$P$429&gt;=4.1), $S9), 0.01)"),0.903)</f>
        <v>0.903</v>
      </c>
    </row>
    <row r="10" ht="14.25" customHeight="1">
      <c r="A10" s="14" t="s">
        <v>963</v>
      </c>
      <c r="B10" s="14" t="s">
        <v>173</v>
      </c>
      <c r="C10" s="14" t="s">
        <v>955</v>
      </c>
      <c r="D10" s="14" t="s">
        <v>955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84.99873829</v>
      </c>
      <c r="U10" s="20">
        <f t="shared" si="3"/>
        <v>-15.00126171</v>
      </c>
      <c r="W10" s="20">
        <f>IFERROR(__xludf.DUMMYFUNCTION("iferror(PERCENTRANK.INC(FILTER($S$2:$S$429, $P$2:$P$429&lt;3.75), $S10), 1)"),1.0)</f>
        <v>1</v>
      </c>
      <c r="X10" s="20">
        <f>IFERROR(__xludf.DUMMYFUNCTION("iferror(PERCENTRANK.INC(FILTER($S$2:$S$429, $P$2:$P$429&lt;4.5), $S10), 1)"),0.995)</f>
        <v>0.995</v>
      </c>
      <c r="Y10" s="20">
        <f>IFERROR(__xludf.DUMMYFUNCTION("iferror(PERCENTRANK.INC(FILTER($S$2:$S$429, $P$2:$P$429&gt;=4.1), $S10), 0.01)"),0.889)</f>
        <v>0.889</v>
      </c>
    </row>
    <row r="11" ht="14.25" customHeight="1">
      <c r="A11" s="14" t="s">
        <v>964</v>
      </c>
      <c r="B11" s="14" t="s">
        <v>423</v>
      </c>
      <c r="C11" s="14" t="s">
        <v>955</v>
      </c>
      <c r="D11" s="14" t="s">
        <v>955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83.1951409</v>
      </c>
      <c r="U11" s="20">
        <f t="shared" si="3"/>
        <v>8.031544761</v>
      </c>
      <c r="W11" s="20">
        <f>IFERROR(__xludf.DUMMYFUNCTION("iferror(PERCENTRANK.INC(FILTER($S$2:$S$429, $P$2:$P$429&lt;3.75), $S11), 1)"),1.0)</f>
        <v>1</v>
      </c>
      <c r="X11" s="20">
        <f>IFERROR(__xludf.DUMMYFUNCTION("iferror(PERCENTRANK.INC(FILTER($S$2:$S$429, $P$2:$P$429&lt;4.5), $S11), 1)"),0.993)</f>
        <v>0.993</v>
      </c>
      <c r="Y11" s="20">
        <f>IFERROR(__xludf.DUMMYFUNCTION("iferror(PERCENTRANK.INC(FILTER($S$2:$S$429, $P$2:$P$429&gt;=4.1), $S11), 0.01)"),0.875)</f>
        <v>0.875</v>
      </c>
    </row>
    <row r="12" ht="14.25" customHeight="1">
      <c r="A12" s="14" t="s">
        <v>965</v>
      </c>
      <c r="B12" s="14" t="s">
        <v>375</v>
      </c>
      <c r="C12" s="16">
        <v>1.0</v>
      </c>
      <c r="D12" s="14" t="s">
        <v>955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83.07516281</v>
      </c>
      <c r="U12" s="20">
        <f t="shared" si="3"/>
        <v>34.69717412</v>
      </c>
      <c r="W12" s="20">
        <f>IFERROR(__xludf.DUMMYFUNCTION("iferror(PERCENTRANK.INC(FILTER($S$2:$S$429, $P$2:$P$429&lt;3.75), $S12), 1)"),1.0)</f>
        <v>1</v>
      </c>
      <c r="X12" s="20">
        <f>IFERROR(__xludf.DUMMYFUNCTION("iferror(PERCENTRANK.INC(FILTER($S$2:$S$429, $P$2:$P$429&lt;4.5), $S12), 1)"),0.993)</f>
        <v>0.993</v>
      </c>
      <c r="Y12" s="20">
        <f>IFERROR(__xludf.DUMMYFUNCTION("iferror(PERCENTRANK.INC(FILTER($S$2:$S$429, $P$2:$P$429&gt;=4.1), $S12), 0.01)"),0.861)</f>
        <v>0.861</v>
      </c>
    </row>
    <row r="13" ht="14.25" customHeight="1">
      <c r="A13" s="14" t="s">
        <v>966</v>
      </c>
      <c r="B13" s="14" t="s">
        <v>603</v>
      </c>
      <c r="C13" s="14">
        <v>11.0</v>
      </c>
      <c r="D13" s="14" t="s">
        <v>955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81.9007178</v>
      </c>
      <c r="U13" s="20">
        <f t="shared" si="3"/>
        <v>14.69232626</v>
      </c>
      <c r="W13" s="20">
        <f>IFERROR(__xludf.DUMMYFUNCTION("iferror(PERCENTRANK.INC(FILTER($S$2:$S$429, $P$2:$P$429&lt;3.75), $S13), 1)"),1.0)</f>
        <v>1</v>
      </c>
      <c r="X13" s="20">
        <f>IFERROR(__xludf.DUMMYFUNCTION("iferror(PERCENTRANK.INC(FILTER($S$2:$S$429, $P$2:$P$429&lt;4.5), $S13), 1)"),0.992)</f>
        <v>0.992</v>
      </c>
      <c r="Y13" s="20">
        <f>IFERROR(__xludf.DUMMYFUNCTION("iferror(PERCENTRANK.INC(FILTER($S$2:$S$429, $P$2:$P$429&gt;=4.1), $S13), 0.01)"),0.847)</f>
        <v>0.847</v>
      </c>
    </row>
    <row r="14" ht="14.25" customHeight="1">
      <c r="A14" s="14" t="s">
        <v>967</v>
      </c>
      <c r="B14" s="14" t="s">
        <v>223</v>
      </c>
      <c r="C14" s="16">
        <v>1.0</v>
      </c>
      <c r="D14" s="14" t="s">
        <v>955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80.84356917</v>
      </c>
      <c r="U14" s="20">
        <f t="shared" si="3"/>
        <v>16.96427466</v>
      </c>
      <c r="W14" s="20">
        <f>IFERROR(__xludf.DUMMYFUNCTION("iferror(PERCENTRANK.INC(FILTER($S$2:$S$429, $P$2:$P$429&lt;3.75), $S14), 1)"),1.0)</f>
        <v>1</v>
      </c>
      <c r="X14" s="20">
        <f>IFERROR(__xludf.DUMMYFUNCTION("iferror(PERCENTRANK.INC(FILTER($S$2:$S$429, $P$2:$P$429&lt;4.5), $S14), 1)"),0.991)</f>
        <v>0.991</v>
      </c>
      <c r="Y14" s="20">
        <f>IFERROR(__xludf.DUMMYFUNCTION("iferror(PERCENTRANK.INC(FILTER($S$2:$S$429, $P$2:$P$429&gt;=4.1), $S14), 0.01)"),0.833)</f>
        <v>0.833</v>
      </c>
    </row>
    <row r="15" ht="14.25" customHeight="1">
      <c r="A15" s="17" t="s">
        <v>968</v>
      </c>
      <c r="B15" s="17" t="s">
        <v>259</v>
      </c>
      <c r="C15" s="18">
        <v>21.0</v>
      </c>
      <c r="D15" s="17" t="s">
        <v>955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2">
        <v>10.32</v>
      </c>
      <c r="L15" s="22">
        <v>99.93</v>
      </c>
      <c r="M15" s="15"/>
      <c r="N15" s="22">
        <v>10.32</v>
      </c>
      <c r="O15" s="18">
        <v>3.95</v>
      </c>
      <c r="P15" s="37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80.76370685</v>
      </c>
      <c r="U15" s="20">
        <f t="shared" si="3"/>
        <v>-19.16629315</v>
      </c>
      <c r="W15" s="20">
        <f>IFERROR(__xludf.DUMMYFUNCTION("iferror(PERCENTRANK.INC(FILTER($S$2:$S$429, $P$2:$P$429&lt;3.75), $S15), 1)"),1.0)</f>
        <v>1</v>
      </c>
      <c r="X15" s="20">
        <f>IFERROR(__xludf.DUMMYFUNCTION("iferror(PERCENTRANK.INC(FILTER($S$2:$S$429, $P$2:$P$429&lt;4.5), $S15), 1)"),0.99)</f>
        <v>0.99</v>
      </c>
      <c r="Y15" s="20">
        <f>IFERROR(__xludf.DUMMYFUNCTION("iferror(PERCENTRANK.INC(FILTER($S$2:$S$429, $P$2:$P$429&gt;=4.1), $S15), 0.01)"),0.819)</f>
        <v>0.819</v>
      </c>
    </row>
    <row r="16" ht="14.25" customHeight="1">
      <c r="A16" s="14" t="s">
        <v>969</v>
      </c>
      <c r="B16" s="14" t="s">
        <v>275</v>
      </c>
      <c r="C16" s="14">
        <v>5.0</v>
      </c>
      <c r="D16" s="14" t="s">
        <v>955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80.40182116</v>
      </c>
      <c r="U16" s="20">
        <f t="shared" si="3"/>
        <v>32.06797315</v>
      </c>
      <c r="W16" s="20">
        <f>IFERROR(__xludf.DUMMYFUNCTION("iferror(PERCENTRANK.INC(FILTER($S$2:$S$429, $P$2:$P$429&lt;3.75), $S16), 1)"),1.0)</f>
        <v>1</v>
      </c>
      <c r="X16" s="20">
        <f>IFERROR(__xludf.DUMMYFUNCTION("iferror(PERCENTRANK.INC(FILTER($S$2:$S$429, $P$2:$P$429&lt;4.5), $S16), 1)"),0.986)</f>
        <v>0.986</v>
      </c>
      <c r="Y16" s="20">
        <f>IFERROR(__xludf.DUMMYFUNCTION("iferror(PERCENTRANK.INC(FILTER($S$2:$S$429, $P$2:$P$429&gt;=4.1), $S16), 0.01)"),0.806)</f>
        <v>0.806</v>
      </c>
    </row>
    <row r="17" ht="14.25" customHeight="1">
      <c r="A17" s="14" t="s">
        <v>970</v>
      </c>
      <c r="B17" s="14" t="s">
        <v>337</v>
      </c>
      <c r="C17" s="14" t="s">
        <v>955</v>
      </c>
      <c r="D17" s="14" t="s">
        <v>955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80.00828058</v>
      </c>
      <c r="U17" s="20">
        <f t="shared" si="3"/>
        <v>17.4115391</v>
      </c>
      <c r="W17" s="20">
        <f>IFERROR(__xludf.DUMMYFUNCTION("iferror(PERCENTRANK.INC(FILTER($S$2:$S$429, $P$2:$P$429&lt;3.75), $S17), 1)"),1.0)</f>
        <v>1</v>
      </c>
      <c r="X17" s="20">
        <f>IFERROR(__xludf.DUMMYFUNCTION("iferror(PERCENTRANK.INC(FILTER($S$2:$S$429, $P$2:$P$429&lt;4.5), $S17), 1)"),0.984)</f>
        <v>0.984</v>
      </c>
      <c r="Y17" s="20">
        <f>IFERROR(__xludf.DUMMYFUNCTION("iferror(PERCENTRANK.INC(FILTER($S$2:$S$429, $P$2:$P$429&gt;=4.1), $S17), 0.01)"),0.792)</f>
        <v>0.792</v>
      </c>
    </row>
    <row r="18" ht="14.25" customHeight="1">
      <c r="A18" s="14" t="s">
        <v>971</v>
      </c>
      <c r="B18" s="14" t="s">
        <v>686</v>
      </c>
      <c r="C18" s="14">
        <v>8.0</v>
      </c>
      <c r="D18" s="14" t="s">
        <v>955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79.60061694</v>
      </c>
      <c r="U18" s="20">
        <f t="shared" si="3"/>
        <v>-20.39938306</v>
      </c>
      <c r="W18" s="20">
        <f>IFERROR(__xludf.DUMMYFUNCTION("iferror(PERCENTRANK.INC(FILTER($S$2:$S$429, $P$2:$P$429&lt;3.75), $S18), 1)"),1.0)</f>
        <v>1</v>
      </c>
      <c r="X18" s="20">
        <f>IFERROR(__xludf.DUMMYFUNCTION("iferror(PERCENTRANK.INC(FILTER($S$2:$S$429, $P$2:$P$429&lt;4.5), $S18), 1)"),0.982)</f>
        <v>0.982</v>
      </c>
      <c r="Y18" s="20">
        <f>IFERROR(__xludf.DUMMYFUNCTION("iferror(PERCENTRANK.INC(FILTER($S$2:$S$429, $P$2:$P$429&gt;=4.1), $S18), 0.01)"),0.778)</f>
        <v>0.778</v>
      </c>
    </row>
    <row r="19" ht="14.25" customHeight="1">
      <c r="A19" s="14" t="s">
        <v>972</v>
      </c>
      <c r="B19" s="14" t="s">
        <v>151</v>
      </c>
      <c r="C19" s="14">
        <v>84.0</v>
      </c>
      <c r="D19" s="14" t="s">
        <v>955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77.41170687</v>
      </c>
      <c r="U19" s="20">
        <f t="shared" si="3"/>
        <v>4.33864584</v>
      </c>
      <c r="W19" s="20">
        <f>IFERROR(__xludf.DUMMYFUNCTION("iferror(PERCENTRANK.INC(FILTER($S$2:$S$429, $P$2:$P$429&lt;3.75), $S19), 1)"),1.0)</f>
        <v>1</v>
      </c>
      <c r="X19" s="20">
        <f>IFERROR(__xludf.DUMMYFUNCTION("iferror(PERCENTRANK.INC(FILTER($S$2:$S$429, $P$2:$P$429&lt;4.5), $S19), 1)"),0.978)</f>
        <v>0.978</v>
      </c>
      <c r="Y19" s="20">
        <f>IFERROR(__xludf.DUMMYFUNCTION("iferror(PERCENTRANK.INC(FILTER($S$2:$S$429, $P$2:$P$429&gt;=4.1), $S19), 0.01)"),0.764)</f>
        <v>0.764</v>
      </c>
    </row>
    <row r="20" ht="14.25" customHeight="1">
      <c r="A20" s="14" t="s">
        <v>973</v>
      </c>
      <c r="B20" s="14" t="s">
        <v>377</v>
      </c>
      <c r="C20" s="14" t="s">
        <v>955</v>
      </c>
      <c r="D20" s="14" t="s">
        <v>955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76.58950592</v>
      </c>
      <c r="U20" s="20">
        <f t="shared" si="3"/>
        <v>9.771714279</v>
      </c>
      <c r="W20" s="20">
        <f>IFERROR(__xludf.DUMMYFUNCTION("iferror(PERCENTRANK.INC(FILTER($S$2:$S$429, $P$2:$P$429&lt;3.75), $S20), 1)"),1.0)</f>
        <v>1</v>
      </c>
      <c r="X20" s="20">
        <f>IFERROR(__xludf.DUMMYFUNCTION("iferror(PERCENTRANK.INC(FILTER($S$2:$S$429, $P$2:$P$429&lt;4.5), $S20), 1)"),0.973)</f>
        <v>0.973</v>
      </c>
      <c r="Y20" s="20">
        <f>IFERROR(__xludf.DUMMYFUNCTION("iferror(PERCENTRANK.INC(FILTER($S$2:$S$429, $P$2:$P$429&gt;=4.1), $S20), 0.01)"),0.732)</f>
        <v>0.732</v>
      </c>
    </row>
    <row r="21" ht="14.25" customHeight="1">
      <c r="A21" s="14" t="s">
        <v>974</v>
      </c>
      <c r="B21" s="14" t="s">
        <v>309</v>
      </c>
      <c r="C21" s="14" t="s">
        <v>955</v>
      </c>
      <c r="D21" s="14" t="s">
        <v>955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75.34765189</v>
      </c>
      <c r="U21" s="20">
        <f t="shared" si="3"/>
        <v>14.64458452</v>
      </c>
      <c r="W21" s="20">
        <f>IFERROR(__xludf.DUMMYFUNCTION("iferror(PERCENTRANK.INC(FILTER($S$2:$S$429, $P$2:$P$429&lt;3.75), $S21), 1)"),0.997)</f>
        <v>0.997</v>
      </c>
      <c r="X21" s="20">
        <f>IFERROR(__xludf.DUMMYFUNCTION("iferror(PERCENTRANK.INC(FILTER($S$2:$S$429, $P$2:$P$429&lt;4.5), $S21), 1)"),0.968)</f>
        <v>0.968</v>
      </c>
      <c r="Y21" s="20">
        <f>IFERROR(__xludf.DUMMYFUNCTION("iferror(PERCENTRANK.INC(FILTER($S$2:$S$429, $P$2:$P$429&gt;=4.1), $S21), 0.01)"),0.725)</f>
        <v>0.725</v>
      </c>
    </row>
    <row r="22" ht="14.25" customHeight="1">
      <c r="A22" s="14" t="s">
        <v>975</v>
      </c>
      <c r="B22" s="14" t="s">
        <v>371</v>
      </c>
      <c r="C22" s="16">
        <v>84.0</v>
      </c>
      <c r="D22" s="14" t="s">
        <v>955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74.9704113</v>
      </c>
      <c r="U22" s="20">
        <f t="shared" si="3"/>
        <v>13.31437984</v>
      </c>
      <c r="W22" s="20">
        <f>IFERROR(__xludf.DUMMYFUNCTION("iferror(PERCENTRANK.INC(FILTER($S$2:$S$429, $P$2:$P$429&lt;3.75), $S22), 1)"),0.996)</f>
        <v>0.996</v>
      </c>
      <c r="X22" s="20">
        <f>IFERROR(__xludf.DUMMYFUNCTION("iferror(PERCENTRANK.INC(FILTER($S$2:$S$429, $P$2:$P$429&lt;4.5), $S22), 1)"),0.964)</f>
        <v>0.964</v>
      </c>
      <c r="Y22" s="20">
        <f>IFERROR(__xludf.DUMMYFUNCTION("iferror(PERCENTRANK.INC(FILTER($S$2:$S$429, $P$2:$P$429&gt;=4.1), $S22), 0.01)"),0.722)</f>
        <v>0.722</v>
      </c>
    </row>
    <row r="23" ht="14.25" customHeight="1">
      <c r="A23" s="14" t="s">
        <v>976</v>
      </c>
      <c r="B23" s="14" t="s">
        <v>265</v>
      </c>
      <c r="C23" s="14">
        <v>1.0</v>
      </c>
      <c r="D23" s="14" t="s">
        <v>955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74.89817465</v>
      </c>
      <c r="U23" s="20">
        <f t="shared" si="3"/>
        <v>11.54595267</v>
      </c>
      <c r="W23" s="20">
        <f>IFERROR(__xludf.DUMMYFUNCTION("iferror(PERCENTRANK.INC(FILTER($S$2:$S$429, $P$2:$P$429&lt;3.75), $S23), 1)"),0.996)</f>
        <v>0.996</v>
      </c>
      <c r="X23" s="20">
        <f>IFERROR(__xludf.DUMMYFUNCTION("iferror(PERCENTRANK.INC(FILTER($S$2:$S$429, $P$2:$P$429&lt;4.5), $S23), 1)"),0.964)</f>
        <v>0.964</v>
      </c>
      <c r="Y23" s="20">
        <f>IFERROR(__xludf.DUMMYFUNCTION("iferror(PERCENTRANK.INC(FILTER($S$2:$S$429, $P$2:$P$429&gt;=4.1), $S23), 0.01)"),0.708)</f>
        <v>0.708</v>
      </c>
    </row>
    <row r="24" ht="14.25" customHeight="1">
      <c r="A24" s="14" t="s">
        <v>977</v>
      </c>
      <c r="B24" s="14" t="s">
        <v>319</v>
      </c>
      <c r="C24" s="14" t="s">
        <v>955</v>
      </c>
      <c r="D24" s="14" t="s">
        <v>955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74.173292</v>
      </c>
      <c r="U24" s="20">
        <f t="shared" si="3"/>
        <v>9.507918217</v>
      </c>
      <c r="W24" s="20">
        <f>IFERROR(__xludf.DUMMYFUNCTION("iferror(PERCENTRANK.INC(FILTER($S$2:$S$429, $P$2:$P$429&lt;3.75), $S24), 1)"),0.994)</f>
        <v>0.994</v>
      </c>
      <c r="X24" s="20">
        <f>IFERROR(__xludf.DUMMYFUNCTION("iferror(PERCENTRANK.INC(FILTER($S$2:$S$429, $P$2:$P$429&lt;4.5), $S24), 1)"),0.959)</f>
        <v>0.959</v>
      </c>
      <c r="Y24" s="20">
        <f>IFERROR(__xludf.DUMMYFUNCTION("iferror(PERCENTRANK.INC(FILTER($S$2:$S$429, $P$2:$P$429&gt;=4.1), $S24), 0.01)"),0.694)</f>
        <v>0.694</v>
      </c>
    </row>
    <row r="25" ht="14.25" customHeight="1">
      <c r="A25" s="14" t="s">
        <v>978</v>
      </c>
      <c r="B25" s="14" t="s">
        <v>505</v>
      </c>
      <c r="C25" s="14" t="s">
        <v>955</v>
      </c>
      <c r="D25" s="14" t="s">
        <v>955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73.90379077</v>
      </c>
      <c r="U25" s="20">
        <f t="shared" si="3"/>
        <v>15.8919862</v>
      </c>
      <c r="W25" s="20">
        <f>IFERROR(__xludf.DUMMYFUNCTION("iferror(PERCENTRANK.INC(FILTER($S$2:$S$429, $P$2:$P$429&lt;3.75), $S25), 1)"),0.993)</f>
        <v>0.993</v>
      </c>
      <c r="X25" s="20">
        <f>IFERROR(__xludf.DUMMYFUNCTION("iferror(PERCENTRANK.INC(FILTER($S$2:$S$429, $P$2:$P$429&lt;4.5), $S25), 1)"),0.955)</f>
        <v>0.955</v>
      </c>
      <c r="Y25" s="20">
        <f>IFERROR(__xludf.DUMMYFUNCTION("iferror(PERCENTRANK.INC(FILTER($S$2:$S$429, $P$2:$P$429&gt;=4.1), $S25), 0.01)"),0.691)</f>
        <v>0.691</v>
      </c>
    </row>
    <row r="26" ht="14.25" customHeight="1">
      <c r="A26" s="14" t="s">
        <v>979</v>
      </c>
      <c r="B26" s="14" t="s">
        <v>711</v>
      </c>
      <c r="C26" s="14">
        <v>0.0</v>
      </c>
      <c r="D26" s="14" t="s">
        <v>955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73.20074975</v>
      </c>
      <c r="U26" s="20">
        <f t="shared" si="3"/>
        <v>18.97753314</v>
      </c>
      <c r="W26" s="20">
        <f>IFERROR(__xludf.DUMMYFUNCTION("iferror(PERCENTRANK.INC(FILTER($S$2:$S$429, $P$2:$P$429&lt;3.75), $S26), 1)"),0.991)</f>
        <v>0.991</v>
      </c>
      <c r="X26" s="20">
        <f>IFERROR(__xludf.DUMMYFUNCTION("iferror(PERCENTRANK.INC(FILTER($S$2:$S$429, $P$2:$P$429&lt;4.5), $S26), 1)"),0.953)</f>
        <v>0.953</v>
      </c>
      <c r="Y26" s="20">
        <f>IFERROR(__xludf.DUMMYFUNCTION("iferror(PERCENTRANK.INC(FILTER($S$2:$S$429, $P$2:$P$429&gt;=4.1), $S26), 0.01)"),0.681)</f>
        <v>0.681</v>
      </c>
    </row>
    <row r="27" ht="14.25" customHeight="1">
      <c r="A27" s="14" t="s">
        <v>980</v>
      </c>
      <c r="B27" s="14" t="s">
        <v>357</v>
      </c>
      <c r="C27" s="16">
        <v>20.0</v>
      </c>
      <c r="D27" s="14" t="s">
        <v>955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72.20569193</v>
      </c>
      <c r="U27" s="20">
        <f t="shared" si="3"/>
        <v>3.54002529</v>
      </c>
      <c r="W27" s="20">
        <f>IFERROR(__xludf.DUMMYFUNCTION("iferror(PERCENTRANK.INC(FILTER($S$2:$S$429, $P$2:$P$429&lt;3.75), $S27), 1)"),0.987)</f>
        <v>0.987</v>
      </c>
      <c r="X27" s="20">
        <f>IFERROR(__xludf.DUMMYFUNCTION("iferror(PERCENTRANK.INC(FILTER($S$2:$S$429, $P$2:$P$429&lt;4.5), $S27), 1)"),0.95)</f>
        <v>0.95</v>
      </c>
      <c r="Y27" s="20">
        <f>IFERROR(__xludf.DUMMYFUNCTION("iferror(PERCENTRANK.INC(FILTER($S$2:$S$429, $P$2:$P$429&gt;=4.1), $S27), 0.01)"),0.661)</f>
        <v>0.661</v>
      </c>
    </row>
    <row r="28" ht="14.25" customHeight="1">
      <c r="A28" s="14" t="s">
        <v>981</v>
      </c>
      <c r="B28" s="14" t="s">
        <v>569</v>
      </c>
      <c r="C28" s="14" t="s">
        <v>955</v>
      </c>
      <c r="D28" s="14" t="s">
        <v>955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72.04138679</v>
      </c>
      <c r="U28" s="20">
        <f t="shared" si="3"/>
        <v>22.7964576</v>
      </c>
      <c r="W28" s="20">
        <f>IFERROR(__xludf.DUMMYFUNCTION("iferror(PERCENTRANK.INC(FILTER($S$2:$S$429, $P$2:$P$429&lt;3.75), $S28), 1)"),0.986)</f>
        <v>0.986</v>
      </c>
      <c r="X28" s="20">
        <f>IFERROR(__xludf.DUMMYFUNCTION("iferror(PERCENTRANK.INC(FILTER($S$2:$S$429, $P$2:$P$429&lt;4.5), $S28), 1)"),0.95)</f>
        <v>0.95</v>
      </c>
      <c r="Y28" s="20">
        <f>IFERROR(__xludf.DUMMYFUNCTION("iferror(PERCENTRANK.INC(FILTER($S$2:$S$429, $P$2:$P$429&gt;=4.1), $S28), 0.01)"),0.653)</f>
        <v>0.653</v>
      </c>
    </row>
    <row r="29" ht="14.25" customHeight="1">
      <c r="A29" s="14" t="s">
        <v>982</v>
      </c>
      <c r="B29" s="14" t="s">
        <v>208</v>
      </c>
      <c r="C29" s="14" t="s">
        <v>955</v>
      </c>
      <c r="D29" s="14" t="s">
        <v>955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71.96327049</v>
      </c>
      <c r="U29" s="20">
        <f t="shared" si="3"/>
        <v>30.39714024</v>
      </c>
      <c r="W29" s="20">
        <f>IFERROR(__xludf.DUMMYFUNCTION("iferror(PERCENTRANK.INC(FILTER($S$2:$S$429, $P$2:$P$429&lt;3.75), $S29), 1)"),0.986)</f>
        <v>0.986</v>
      </c>
      <c r="X29" s="20">
        <f>IFERROR(__xludf.DUMMYFUNCTION("iferror(PERCENTRANK.INC(FILTER($S$2:$S$429, $P$2:$P$429&lt;4.5), $S29), 1)"),0.95)</f>
        <v>0.95</v>
      </c>
      <c r="Y29" s="20">
        <f>IFERROR(__xludf.DUMMYFUNCTION("iferror(PERCENTRANK.INC(FILTER($S$2:$S$429, $P$2:$P$429&gt;=4.1), $S29), 0.01)"),0.639)</f>
        <v>0.639</v>
      </c>
    </row>
    <row r="30" ht="14.25" customHeight="1">
      <c r="A30" s="14" t="s">
        <v>983</v>
      </c>
      <c r="B30" s="14" t="s">
        <v>247</v>
      </c>
      <c r="C30" s="14" t="s">
        <v>955</v>
      </c>
      <c r="D30" s="14" t="s">
        <v>955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100*(K30-MIN($J$2:$J$505))/(MAX($J$2:$J$505) - MIN($J$2:$J$505))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71.33082649</v>
      </c>
      <c r="U30" s="20">
        <f t="shared" si="3"/>
        <v>9.529303105</v>
      </c>
      <c r="W30" s="20">
        <f>IFERROR(__xludf.DUMMYFUNCTION("iferror(PERCENTRANK.INC(FILTER($S$2:$S$429, $P$2:$P$429&lt;3.75), $S30), 1)"),0.985)</f>
        <v>0.985</v>
      </c>
      <c r="X30" s="20">
        <f>IFERROR(__xludf.DUMMYFUNCTION("iferror(PERCENTRANK.INC(FILTER($S$2:$S$429, $P$2:$P$429&lt;4.5), $S30), 1)"),0.948)</f>
        <v>0.948</v>
      </c>
      <c r="Y30" s="20">
        <f>IFERROR(__xludf.DUMMYFUNCTION("iferror(PERCENTRANK.INC(FILTER($S$2:$S$429, $P$2:$P$429&gt;=4.1), $S30), 0.01)"),0.625)</f>
        <v>0.625</v>
      </c>
    </row>
    <row r="31" ht="14.25" customHeight="1">
      <c r="A31" s="14" t="s">
        <v>984</v>
      </c>
      <c r="B31" s="14" t="s">
        <v>122</v>
      </c>
      <c r="C31" s="16">
        <v>17.0</v>
      </c>
      <c r="D31" s="14" t="s">
        <v>955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70.48943272</v>
      </c>
      <c r="U31" s="20">
        <f t="shared" si="3"/>
        <v>5.466075072</v>
      </c>
      <c r="W31" s="20">
        <f>IFERROR(__xludf.DUMMYFUNCTION("iferror(PERCENTRANK.INC(FILTER($S$2:$S$429, $P$2:$P$429&lt;3.75), $S31), 1)"),0.983)</f>
        <v>0.983</v>
      </c>
      <c r="X31" s="20">
        <f>IFERROR(__xludf.DUMMYFUNCTION("iferror(PERCENTRANK.INC(FILTER($S$2:$S$429, $P$2:$P$429&lt;4.5), $S31), 1)"),0.947)</f>
        <v>0.947</v>
      </c>
      <c r="Y31" s="20">
        <f>IFERROR(__xludf.DUMMYFUNCTION("iferror(PERCENTRANK.INC(FILTER($S$2:$S$429, $P$2:$P$429&gt;=4.1), $S31), 0.01)"),0.611)</f>
        <v>0.611</v>
      </c>
    </row>
    <row r="32" ht="14.25" customHeight="1">
      <c r="A32" s="14" t="s">
        <v>985</v>
      </c>
      <c r="B32" s="14" t="s">
        <v>445</v>
      </c>
      <c r="C32" s="16">
        <v>1.0</v>
      </c>
      <c r="D32" s="14" t="s">
        <v>955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69.64637236</v>
      </c>
      <c r="U32" s="20">
        <f t="shared" si="3"/>
        <v>19.41714578</v>
      </c>
      <c r="W32" s="20">
        <f>IFERROR(__xludf.DUMMYFUNCTION("iferror(PERCENTRANK.INC(FILTER($S$2:$S$429, $P$2:$P$429&lt;3.75), $S32), 1)"),0.981)</f>
        <v>0.981</v>
      </c>
      <c r="X32" s="20">
        <f>IFERROR(__xludf.DUMMYFUNCTION("iferror(PERCENTRANK.INC(FILTER($S$2:$S$429, $P$2:$P$429&lt;4.5), $S32), 1)"),0.946)</f>
        <v>0.946</v>
      </c>
      <c r="Y32" s="20">
        <f>IFERROR(__xludf.DUMMYFUNCTION("iferror(PERCENTRANK.INC(FILTER($S$2:$S$429, $P$2:$P$429&gt;=4.1), $S32), 0.01)"),0.597)</f>
        <v>0.597</v>
      </c>
    </row>
    <row r="33" ht="14.25" customHeight="1">
      <c r="A33" s="14" t="s">
        <v>986</v>
      </c>
      <c r="B33" s="14" t="s">
        <v>299</v>
      </c>
      <c r="C33" s="14">
        <v>15.0</v>
      </c>
      <c r="D33" s="14" t="s">
        <v>955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69.57089927</v>
      </c>
      <c r="U33" s="20">
        <f t="shared" si="3"/>
        <v>10.38927414</v>
      </c>
      <c r="W33" s="20">
        <f>IFERROR(__xludf.DUMMYFUNCTION("iferror(PERCENTRANK.INC(FILTER($S$2:$S$429, $P$2:$P$429&lt;3.75), $S33), 1)"),0.98)</f>
        <v>0.98</v>
      </c>
      <c r="X33" s="20">
        <f>IFERROR(__xludf.DUMMYFUNCTION("iferror(PERCENTRANK.INC(FILTER($S$2:$S$429, $P$2:$P$429&lt;4.5), $S33), 1)"),0.945)</f>
        <v>0.945</v>
      </c>
      <c r="Y33" s="20">
        <f>IFERROR(__xludf.DUMMYFUNCTION("iferror(PERCENTRANK.INC(FILTER($S$2:$S$429, $P$2:$P$429&gt;=4.1), $S33), 0.01)"),0.583)</f>
        <v>0.583</v>
      </c>
    </row>
    <row r="34" ht="14.25" customHeight="1">
      <c r="A34" s="14" t="s">
        <v>987</v>
      </c>
      <c r="B34" s="14" t="s">
        <v>585</v>
      </c>
      <c r="C34" s="14">
        <v>23.0</v>
      </c>
      <c r="D34" s="14" t="s">
        <v>955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69.39517229</v>
      </c>
      <c r="U34" s="20">
        <f t="shared" si="3"/>
        <v>1.27589196</v>
      </c>
      <c r="W34" s="20">
        <f>IFERROR(__xludf.DUMMYFUNCTION("iferror(PERCENTRANK.INC(FILTER($S$2:$S$429, $P$2:$P$429&lt;3.75), $S34), 1)"),0.98)</f>
        <v>0.98</v>
      </c>
      <c r="X34" s="20">
        <f>IFERROR(__xludf.DUMMYFUNCTION("iferror(PERCENTRANK.INC(FILTER($S$2:$S$429, $P$2:$P$429&lt;4.5), $S34), 1)"),0.942)</f>
        <v>0.942</v>
      </c>
      <c r="Y34" s="20">
        <f>IFERROR(__xludf.DUMMYFUNCTION("iferror(PERCENTRANK.INC(FILTER($S$2:$S$429, $P$2:$P$429&gt;=4.1), $S34), 0.01)"),0.569)</f>
        <v>0.569</v>
      </c>
    </row>
    <row r="35" ht="14.25" customHeight="1">
      <c r="A35" s="14" t="s">
        <v>988</v>
      </c>
      <c r="B35" s="14" t="s">
        <v>107</v>
      </c>
      <c r="C35" s="14">
        <v>2.0</v>
      </c>
      <c r="D35" s="14" t="s">
        <v>955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69.31658443</v>
      </c>
      <c r="U35" s="20">
        <f t="shared" si="3"/>
        <v>-16.22792512</v>
      </c>
      <c r="W35" s="20">
        <f>IFERROR(__xludf.DUMMYFUNCTION("iferror(PERCENTRANK.INC(FILTER($S$2:$S$429, $P$2:$P$429&lt;3.75), $S35), 1)"),0.98)</f>
        <v>0.98</v>
      </c>
      <c r="X35" s="20">
        <f>IFERROR(__xludf.DUMMYFUNCTION("iferror(PERCENTRANK.INC(FILTER($S$2:$S$429, $P$2:$P$429&lt;4.5), $S35), 1)"),0.941)</f>
        <v>0.941</v>
      </c>
      <c r="Y35" s="20">
        <f>IFERROR(__xludf.DUMMYFUNCTION("iferror(PERCENTRANK.INC(FILTER($S$2:$S$429, $P$2:$P$429&gt;=4.1), $S35), 0.01)"),0.566)</f>
        <v>0.566</v>
      </c>
    </row>
    <row r="36" ht="14.25" customHeight="1">
      <c r="A36" s="14" t="s">
        <v>989</v>
      </c>
      <c r="B36" s="14" t="s">
        <v>499</v>
      </c>
      <c r="C36" s="16">
        <v>2.0</v>
      </c>
      <c r="D36" s="14" t="s">
        <v>955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69.09448093</v>
      </c>
      <c r="U36" s="20">
        <f t="shared" si="3"/>
        <v>8.708740725</v>
      </c>
      <c r="W36" s="20">
        <f>IFERROR(__xludf.DUMMYFUNCTION("iferror(PERCENTRANK.INC(FILTER($S$2:$S$429, $P$2:$P$429&lt;3.75), $S36), 1)"),0.98)</f>
        <v>0.98</v>
      </c>
      <c r="X36" s="20">
        <f>IFERROR(__xludf.DUMMYFUNCTION("iferror(PERCENTRANK.INC(FILTER($S$2:$S$429, $P$2:$P$429&lt;4.5), $S36), 1)"),0.936)</f>
        <v>0.936</v>
      </c>
      <c r="Y36" s="20">
        <f>IFERROR(__xludf.DUMMYFUNCTION("iferror(PERCENTRANK.INC(FILTER($S$2:$S$429, $P$2:$P$429&gt;=4.1), $S36), 0.01)"),0.556)</f>
        <v>0.556</v>
      </c>
    </row>
    <row r="37" ht="14.25" customHeight="1">
      <c r="A37" s="14" t="s">
        <v>990</v>
      </c>
      <c r="B37" s="14" t="s">
        <v>194</v>
      </c>
      <c r="C37" s="16">
        <v>84.0</v>
      </c>
      <c r="D37" s="14" t="s">
        <v>955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69.08442481</v>
      </c>
      <c r="U37" s="20">
        <f t="shared" si="3"/>
        <v>13.3732762</v>
      </c>
      <c r="W37" s="20">
        <f>IFERROR(__xludf.DUMMYFUNCTION("iferror(PERCENTRANK.INC(FILTER($S$2:$S$429, $P$2:$P$429&lt;3.75), $S37), 1)"),0.98)</f>
        <v>0.98</v>
      </c>
      <c r="X37" s="20">
        <f>IFERROR(__xludf.DUMMYFUNCTION("iferror(PERCENTRANK.INC(FILTER($S$2:$S$429, $P$2:$P$429&lt;4.5), $S37), 1)"),0.932)</f>
        <v>0.932</v>
      </c>
      <c r="Y37" s="20">
        <f>IFERROR(__xludf.DUMMYFUNCTION("iferror(PERCENTRANK.INC(FILTER($S$2:$S$429, $P$2:$P$429&gt;=4.1), $S37), 0.01)"),0.556)</f>
        <v>0.556</v>
      </c>
    </row>
    <row r="38" ht="14.25" customHeight="1">
      <c r="A38" s="14" t="s">
        <v>991</v>
      </c>
      <c r="B38" s="14" t="s">
        <v>132</v>
      </c>
      <c r="C38" s="16">
        <v>3.0</v>
      </c>
      <c r="D38" s="14" t="s">
        <v>955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68.9396596</v>
      </c>
      <c r="U38" s="20">
        <f t="shared" si="3"/>
        <v>7.788659033</v>
      </c>
      <c r="W38" s="20">
        <f>IFERROR(__xludf.DUMMYFUNCTION("iferror(PERCENTRANK.INC(FILTER($S$2:$S$429, $P$2:$P$429&lt;3.75), $S38), 1)"),0.979)</f>
        <v>0.979</v>
      </c>
      <c r="X38" s="20">
        <f>IFERROR(__xludf.DUMMYFUNCTION("iferror(PERCENTRANK.INC(FILTER($S$2:$S$429, $P$2:$P$429&lt;4.5), $S38), 1)"),0.927)</f>
        <v>0.927</v>
      </c>
      <c r="Y38" s="20">
        <f>IFERROR(__xludf.DUMMYFUNCTION("iferror(PERCENTRANK.INC(FILTER($S$2:$S$429, $P$2:$P$429&gt;=4.1), $S38), 0.01)"),0.544)</f>
        <v>0.544</v>
      </c>
    </row>
    <row r="39" ht="14.25" customHeight="1">
      <c r="A39" s="14" t="s">
        <v>992</v>
      </c>
      <c r="B39" s="14" t="s">
        <v>269</v>
      </c>
      <c r="C39" s="16">
        <v>4.0</v>
      </c>
      <c r="D39" s="14" t="s">
        <v>955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68.91016435</v>
      </c>
      <c r="U39" s="20">
        <f t="shared" si="3"/>
        <v>7.632663674</v>
      </c>
      <c r="W39" s="20">
        <f>IFERROR(__xludf.DUMMYFUNCTION("iferror(PERCENTRANK.INC(FILTER($S$2:$S$429, $P$2:$P$429&lt;3.75), $S39), 1)"),0.979)</f>
        <v>0.979</v>
      </c>
      <c r="X39" s="20">
        <f>IFERROR(__xludf.DUMMYFUNCTION("iferror(PERCENTRANK.INC(FILTER($S$2:$S$429, $P$2:$P$429&lt;4.5), $S39), 1)"),0.923)</f>
        <v>0.923</v>
      </c>
      <c r="Y39" s="20">
        <f>IFERROR(__xludf.DUMMYFUNCTION("iferror(PERCENTRANK.INC(FILTER($S$2:$S$429, $P$2:$P$429&gt;=4.1), $S39), 0.01)"),0.542)</f>
        <v>0.542</v>
      </c>
    </row>
    <row r="40" ht="14.25" customHeight="1">
      <c r="A40" s="14" t="s">
        <v>993</v>
      </c>
      <c r="B40" s="14" t="s">
        <v>253</v>
      </c>
      <c r="C40" s="16">
        <v>12.0</v>
      </c>
      <c r="D40" s="14" t="s">
        <v>955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68.88538044</v>
      </c>
      <c r="U40" s="20">
        <f t="shared" si="3"/>
        <v>19.49556715</v>
      </c>
      <c r="W40" s="20">
        <f>IFERROR(__xludf.DUMMYFUNCTION("iferror(PERCENTRANK.INC(FILTER($S$2:$S$429, $P$2:$P$429&lt;3.75), $S40), 1)"),0.979)</f>
        <v>0.979</v>
      </c>
      <c r="X40" s="20">
        <f>IFERROR(__xludf.DUMMYFUNCTION("iferror(PERCENTRANK.INC(FILTER($S$2:$S$429, $P$2:$P$429&lt;4.5), $S40), 1)"),0.923)</f>
        <v>0.923</v>
      </c>
      <c r="Y40" s="20">
        <f>IFERROR(__xludf.DUMMYFUNCTION("iferror(PERCENTRANK.INC(FILTER($S$2:$S$429, $P$2:$P$429&gt;=4.1), $S40), 0.01)"),0.528)</f>
        <v>0.528</v>
      </c>
    </row>
    <row r="41" ht="14.25" customHeight="1">
      <c r="A41" s="14" t="s">
        <v>994</v>
      </c>
      <c r="B41" s="14" t="s">
        <v>421</v>
      </c>
      <c r="C41" s="14">
        <v>9.0</v>
      </c>
      <c r="D41" s="14" t="s">
        <v>955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68.81629977</v>
      </c>
      <c r="U41" s="20">
        <f t="shared" si="3"/>
        <v>-2.483700228</v>
      </c>
      <c r="W41" s="20">
        <f>IFERROR(__xludf.DUMMYFUNCTION("iferror(PERCENTRANK.INC(FILTER($S$2:$S$429, $P$2:$P$429&lt;3.75), $S41), 1)"),0.979)</f>
        <v>0.979</v>
      </c>
      <c r="X41" s="20">
        <f>IFERROR(__xludf.DUMMYFUNCTION("iferror(PERCENTRANK.INC(FILTER($S$2:$S$429, $P$2:$P$429&lt;4.5), $S41), 1)"),0.922)</f>
        <v>0.922</v>
      </c>
      <c r="Y41" s="20">
        <f>IFERROR(__xludf.DUMMYFUNCTION("iferror(PERCENTRANK.INC(FILTER($S$2:$S$429, $P$2:$P$429&gt;=4.1), $S41), 0.01)"),0.514)</f>
        <v>0.514</v>
      </c>
    </row>
    <row r="42" ht="14.25" customHeight="1">
      <c r="A42" s="14" t="s">
        <v>995</v>
      </c>
      <c r="B42" s="14" t="s">
        <v>748</v>
      </c>
      <c r="C42" s="14">
        <v>3.0</v>
      </c>
      <c r="D42" s="14" t="s">
        <v>955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68.55485726</v>
      </c>
      <c r="U42" s="20">
        <f t="shared" si="3"/>
        <v>10.66610046</v>
      </c>
      <c r="W42" s="20">
        <f>IFERROR(__xludf.DUMMYFUNCTION("iferror(PERCENTRANK.INC(FILTER($S$2:$S$429, $P$2:$P$429&lt;3.75), $S42), 1)"),0.979)</f>
        <v>0.979</v>
      </c>
      <c r="X42" s="20">
        <f>IFERROR(__xludf.DUMMYFUNCTION("iferror(PERCENTRANK.INC(FILTER($S$2:$S$429, $P$2:$P$429&lt;4.5), $S42), 1)"),0.921)</f>
        <v>0.921</v>
      </c>
      <c r="Y42" s="20">
        <f>IFERROR(__xludf.DUMMYFUNCTION("iferror(PERCENTRANK.INC(FILTER($S$2:$S$429, $P$2:$P$429&gt;=4.1), $S42), 0.01)"),0.5)</f>
        <v>0.5</v>
      </c>
    </row>
    <row r="43" ht="14.25" customHeight="1">
      <c r="A43" s="14" t="s">
        <v>996</v>
      </c>
      <c r="B43" s="14" t="s">
        <v>412</v>
      </c>
      <c r="C43" s="14">
        <v>0.0</v>
      </c>
      <c r="D43" s="14" t="s">
        <v>955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67.98396974</v>
      </c>
      <c r="U43" s="20">
        <f t="shared" si="3"/>
        <v>4.117200815</v>
      </c>
      <c r="W43" s="20">
        <f>IFERROR(__xludf.DUMMYFUNCTION("iferror(PERCENTRANK.INC(FILTER($S$2:$S$429, $P$2:$P$429&lt;3.75), $S43), 1)"),0.978)</f>
        <v>0.978</v>
      </c>
      <c r="X43" s="20">
        <f>IFERROR(__xludf.DUMMYFUNCTION("iferror(PERCENTRANK.INC(FILTER($S$2:$S$429, $P$2:$P$429&lt;4.5), $S43), 1)"),0.918)</f>
        <v>0.918</v>
      </c>
      <c r="Y43" s="20">
        <f>IFERROR(__xludf.DUMMYFUNCTION("iferror(PERCENTRANK.INC(FILTER($S$2:$S$429, $P$2:$P$429&gt;=4.1), $S43), 0.01)"),0.495)</f>
        <v>0.495</v>
      </c>
    </row>
    <row r="44" ht="14.25" customHeight="1">
      <c r="A44" s="14" t="s">
        <v>997</v>
      </c>
      <c r="B44" s="14" t="s">
        <v>285</v>
      </c>
      <c r="C44" s="14">
        <v>13.0</v>
      </c>
      <c r="D44" s="14" t="s">
        <v>955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66.89450637</v>
      </c>
      <c r="U44" s="20">
        <f t="shared" si="3"/>
        <v>-0.6031934937</v>
      </c>
      <c r="W44" s="20">
        <f>IFERROR(__xludf.DUMMYFUNCTION("iferror(PERCENTRANK.INC(FILTER($S$2:$S$429, $P$2:$P$429&lt;3.75), $S44), 1)"),0.977)</f>
        <v>0.977</v>
      </c>
      <c r="X44" s="20">
        <f>IFERROR(__xludf.DUMMYFUNCTION("iferror(PERCENTRANK.INC(FILTER($S$2:$S$429, $P$2:$P$429&lt;4.5), $S44), 1)"),0.914)</f>
        <v>0.914</v>
      </c>
      <c r="Y44" s="20">
        <f>IFERROR(__xludf.DUMMYFUNCTION("iferror(PERCENTRANK.INC(FILTER($S$2:$S$429, $P$2:$P$429&gt;=4.1), $S44), 0.01)"),0.486)</f>
        <v>0.486</v>
      </c>
    </row>
    <row r="45" ht="14.25" customHeight="1">
      <c r="A45" s="14" t="s">
        <v>998</v>
      </c>
      <c r="B45" s="14" t="s">
        <v>533</v>
      </c>
      <c r="C45" s="14" t="s">
        <v>955</v>
      </c>
      <c r="D45" s="14" t="s">
        <v>955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66.84610074</v>
      </c>
      <c r="U45" s="20">
        <f t="shared" si="3"/>
        <v>-5.30917784</v>
      </c>
      <c r="W45" s="20">
        <f>IFERROR(__xludf.DUMMYFUNCTION("iferror(PERCENTRANK.INC(FILTER($S$2:$S$429, $P$2:$P$429&lt;3.75), $S45), 1)"),0.977)</f>
        <v>0.977</v>
      </c>
      <c r="X45" s="20">
        <f>IFERROR(__xludf.DUMMYFUNCTION("iferror(PERCENTRANK.INC(FILTER($S$2:$S$429, $P$2:$P$429&lt;4.5), $S45), 1)"),0.909)</f>
        <v>0.909</v>
      </c>
      <c r="Y45" s="20">
        <f>IFERROR(__xludf.DUMMYFUNCTION("iferror(PERCENTRANK.INC(FILTER($S$2:$S$429, $P$2:$P$429&gt;=4.1), $S45), 0.01)"),0.478)</f>
        <v>0.478</v>
      </c>
    </row>
    <row r="46" ht="14.25" customHeight="1">
      <c r="A46" s="14" t="s">
        <v>999</v>
      </c>
      <c r="B46" s="14" t="s">
        <v>159</v>
      </c>
      <c r="C46" s="14">
        <v>10.0</v>
      </c>
      <c r="D46" s="14" t="s">
        <v>955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66.8140489</v>
      </c>
      <c r="U46" s="20">
        <f t="shared" si="3"/>
        <v>-7.220500216</v>
      </c>
      <c r="W46" s="20">
        <f>IFERROR(__xludf.DUMMYFUNCTION("iferror(PERCENTRANK.INC(FILTER($S$2:$S$429, $P$2:$P$429&lt;3.75), $S46), 1)"),0.976)</f>
        <v>0.976</v>
      </c>
      <c r="X46" s="20">
        <f>IFERROR(__xludf.DUMMYFUNCTION("iferror(PERCENTRANK.INC(FILTER($S$2:$S$429, $P$2:$P$429&lt;4.5), $S46), 1)"),0.905)</f>
        <v>0.905</v>
      </c>
      <c r="Y46" s="20">
        <f>IFERROR(__xludf.DUMMYFUNCTION("iferror(PERCENTRANK.INC(FILTER($S$2:$S$429, $P$2:$P$429&gt;=4.1), $S46), 0.01)"),0.472)</f>
        <v>0.472</v>
      </c>
    </row>
    <row r="47" ht="14.25" customHeight="1">
      <c r="A47" s="14" t="s">
        <v>1000</v>
      </c>
      <c r="B47" s="14" t="s">
        <v>412</v>
      </c>
      <c r="C47" s="14">
        <v>3.0</v>
      </c>
      <c r="D47" s="14" t="s">
        <v>955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66.75374829</v>
      </c>
      <c r="U47" s="20">
        <f t="shared" si="3"/>
        <v>16.94103413</v>
      </c>
      <c r="W47" s="20">
        <f>IFERROR(__xludf.DUMMYFUNCTION("iferror(PERCENTRANK.INC(FILTER($S$2:$S$429, $P$2:$P$429&lt;3.75), $S47), 1)"),0.976)</f>
        <v>0.976</v>
      </c>
      <c r="X47" s="20">
        <f>IFERROR(__xludf.DUMMYFUNCTION("iferror(PERCENTRANK.INC(FILTER($S$2:$S$429, $P$2:$P$429&lt;4.5), $S47), 1)"),0.904)</f>
        <v>0.904</v>
      </c>
      <c r="Y47" s="20">
        <f>IFERROR(__xludf.DUMMYFUNCTION("iferror(PERCENTRANK.INC(FILTER($S$2:$S$429, $P$2:$P$429&gt;=4.1), $S47), 0.01)"),0.458)</f>
        <v>0.458</v>
      </c>
    </row>
    <row r="48" ht="14.25" customHeight="1">
      <c r="A48" s="14" t="s">
        <v>1001</v>
      </c>
      <c r="B48" s="14" t="s">
        <v>265</v>
      </c>
      <c r="C48" s="14">
        <v>11.0</v>
      </c>
      <c r="D48" s="14" t="s">
        <v>955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65.99659405</v>
      </c>
      <c r="U48" s="20">
        <f t="shared" si="3"/>
        <v>-0.8997920095</v>
      </c>
      <c r="W48" s="20">
        <f>IFERROR(__xludf.DUMMYFUNCTION("iferror(PERCENTRANK.INC(FILTER($S$2:$S$429, $P$2:$P$429&lt;3.75), $S48), 1)"),0.975)</f>
        <v>0.975</v>
      </c>
      <c r="X48" s="20">
        <f>IFERROR(__xludf.DUMMYFUNCTION("iferror(PERCENTRANK.INC(FILTER($S$2:$S$429, $P$2:$P$429&lt;4.5), $S48), 1)"),0.9)</f>
        <v>0.9</v>
      </c>
      <c r="Y48" s="20">
        <f>IFERROR(__xludf.DUMMYFUNCTION("iferror(PERCENTRANK.INC(FILTER($S$2:$S$429, $P$2:$P$429&gt;=4.1), $S48), 0.01)"),0.417)</f>
        <v>0.417</v>
      </c>
    </row>
    <row r="49" ht="14.25" customHeight="1">
      <c r="A49" s="14" t="s">
        <v>1002</v>
      </c>
      <c r="B49" s="14" t="s">
        <v>156</v>
      </c>
      <c r="C49" s="14" t="s">
        <v>955</v>
      </c>
      <c r="D49" s="14" t="s">
        <v>955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65.55549752</v>
      </c>
      <c r="U49" s="20">
        <f t="shared" si="3"/>
        <v>14.59696749</v>
      </c>
      <c r="W49" s="20">
        <f>IFERROR(__xludf.DUMMYFUNCTION("iferror(PERCENTRANK.INC(FILTER($S$2:$S$429, $P$2:$P$429&lt;3.75), $S49), 1)"),0.975)</f>
        <v>0.975</v>
      </c>
      <c r="X49" s="20">
        <f>IFERROR(__xludf.DUMMYFUNCTION("iferror(PERCENTRANK.INC(FILTER($S$2:$S$429, $P$2:$P$429&lt;4.5), $S49), 1)"),0.895)</f>
        <v>0.895</v>
      </c>
      <c r="Y49" s="20">
        <f>IFERROR(__xludf.DUMMYFUNCTION("iferror(PERCENTRANK.INC(FILTER($S$2:$S$429, $P$2:$P$429&gt;=4.1), $S49), 0.01)"),0.403)</f>
        <v>0.403</v>
      </c>
    </row>
    <row r="50" ht="14.25" customHeight="1">
      <c r="A50" s="14" t="s">
        <v>1003</v>
      </c>
      <c r="B50" s="14" t="s">
        <v>525</v>
      </c>
      <c r="C50" s="14" t="s">
        <v>955</v>
      </c>
      <c r="D50" s="14" t="s">
        <v>955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65.45633958</v>
      </c>
      <c r="U50" s="20">
        <f t="shared" si="3"/>
        <v>19.75456043</v>
      </c>
      <c r="W50" s="20">
        <f>IFERROR(__xludf.DUMMYFUNCTION("iferror(PERCENTRANK.INC(FILTER($S$2:$S$429, $P$2:$P$429&lt;3.75), $S50), 1)"),0.975)</f>
        <v>0.975</v>
      </c>
      <c r="X50" s="20">
        <f>IFERROR(__xludf.DUMMYFUNCTION("iferror(PERCENTRANK.INC(FILTER($S$2:$S$429, $P$2:$P$429&lt;4.5), $S50), 1)"),0.895)</f>
        <v>0.895</v>
      </c>
      <c r="Y50" s="20">
        <f>IFERROR(__xludf.DUMMYFUNCTION("iferror(PERCENTRANK.INC(FILTER($S$2:$S$429, $P$2:$P$429&gt;=4.1), $S50), 0.01)"),0.389)</f>
        <v>0.389</v>
      </c>
    </row>
    <row r="51" ht="14.25" customHeight="1">
      <c r="A51" s="14" t="s">
        <v>1004</v>
      </c>
      <c r="B51" s="14" t="s">
        <v>345</v>
      </c>
      <c r="C51" s="14">
        <v>1.0</v>
      </c>
      <c r="D51" s="14" t="s">
        <v>955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64.70465305</v>
      </c>
      <c r="U51" s="20">
        <f t="shared" si="3"/>
        <v>11.681887</v>
      </c>
      <c r="W51" s="20">
        <f>IFERROR(__xludf.DUMMYFUNCTION("iferror(PERCENTRANK.INC(FILTER($S$2:$S$429, $P$2:$P$429&lt;3.75), $S51), 1)"),0.974)</f>
        <v>0.974</v>
      </c>
      <c r="X51" s="20">
        <f>IFERROR(__xludf.DUMMYFUNCTION("iferror(PERCENTRANK.INC(FILTER($S$2:$S$429, $P$2:$P$429&lt;4.5), $S51), 1)"),0.891)</f>
        <v>0.891</v>
      </c>
      <c r="Y51" s="20">
        <f>IFERROR(__xludf.DUMMYFUNCTION("iferror(PERCENTRANK.INC(FILTER($S$2:$S$429, $P$2:$P$429&gt;=4.1), $S51), 0.01)"),0.375)</f>
        <v>0.375</v>
      </c>
    </row>
    <row r="52" ht="14.25" customHeight="1">
      <c r="A52" s="14" t="s">
        <v>1005</v>
      </c>
      <c r="B52" s="14" t="s">
        <v>253</v>
      </c>
      <c r="C52" s="14" t="s">
        <v>955</v>
      </c>
      <c r="D52" s="14" t="s">
        <v>955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64.36587918</v>
      </c>
      <c r="U52" s="20">
        <f t="shared" si="3"/>
        <v>0.8939728838</v>
      </c>
      <c r="W52" s="20">
        <f>IFERROR(__xludf.DUMMYFUNCTION("iferror(PERCENTRANK.INC(FILTER($S$2:$S$429, $P$2:$P$429&lt;3.75), $S52), 1)"),0.973)</f>
        <v>0.973</v>
      </c>
      <c r="X52" s="20">
        <f>IFERROR(__xludf.DUMMYFUNCTION("iferror(PERCENTRANK.INC(FILTER($S$2:$S$429, $P$2:$P$429&lt;4.5), $S52), 1)"),0.886)</f>
        <v>0.886</v>
      </c>
      <c r="Y52" s="20">
        <f>IFERROR(__xludf.DUMMYFUNCTION("iferror(PERCENTRANK.INC(FILTER($S$2:$S$429, $P$2:$P$429&gt;=4.1), $S52), 0.01)"),0.368)</f>
        <v>0.368</v>
      </c>
    </row>
    <row r="53" ht="14.25" customHeight="1">
      <c r="A53" s="14" t="s">
        <v>1006</v>
      </c>
      <c r="B53" s="14" t="s">
        <v>321</v>
      </c>
      <c r="C53" s="16">
        <v>23.0</v>
      </c>
      <c r="D53" s="14" t="s">
        <v>955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63.98724466</v>
      </c>
      <c r="U53" s="20">
        <f t="shared" si="3"/>
        <v>4.568470881</v>
      </c>
      <c r="W53" s="20">
        <f>IFERROR(__xludf.DUMMYFUNCTION("iferror(PERCENTRANK.INC(FILTER($S$2:$S$429, $P$2:$P$429&lt;3.75), $S53), 1)"),0.972)</f>
        <v>0.972</v>
      </c>
      <c r="X53" s="20">
        <f>IFERROR(__xludf.DUMMYFUNCTION("iferror(PERCENTRANK.INC(FILTER($S$2:$S$429, $P$2:$P$429&lt;4.5), $S53), 1)"),0.885)</f>
        <v>0.885</v>
      </c>
      <c r="Y53" s="20">
        <f>IFERROR(__xludf.DUMMYFUNCTION("iferror(PERCENTRANK.INC(FILTER($S$2:$S$429, $P$2:$P$429&gt;=4.1), $S53), 0.01)"),0.361)</f>
        <v>0.361</v>
      </c>
    </row>
    <row r="54" ht="14.25" customHeight="1">
      <c r="A54" s="14" t="s">
        <v>1007</v>
      </c>
      <c r="B54" s="14" t="s">
        <v>529</v>
      </c>
      <c r="C54" s="14">
        <v>13.0</v>
      </c>
      <c r="D54" s="14" t="s">
        <v>955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63.8284142</v>
      </c>
      <c r="U54" s="20">
        <f t="shared" si="3"/>
        <v>18.19433591</v>
      </c>
      <c r="W54" s="20">
        <f>IFERROR(__xludf.DUMMYFUNCTION("iferror(PERCENTRANK.INC(FILTER($S$2:$S$429, $P$2:$P$429&lt;3.75), $S54), 1)"),0.972)</f>
        <v>0.972</v>
      </c>
      <c r="X54" s="20">
        <f>IFERROR(__xludf.DUMMYFUNCTION("iferror(PERCENTRANK.INC(FILTER($S$2:$S$429, $P$2:$P$429&lt;4.5), $S54), 1)"),0.884)</f>
        <v>0.884</v>
      </c>
      <c r="Y54" s="20">
        <f>IFERROR(__xludf.DUMMYFUNCTION("iferror(PERCENTRANK.INC(FILTER($S$2:$S$429, $P$2:$P$429&gt;=4.1), $S54), 0.01)"),0.347)</f>
        <v>0.347</v>
      </c>
    </row>
    <row r="55" ht="14.25" customHeight="1">
      <c r="A55" s="14" t="s">
        <v>1008</v>
      </c>
      <c r="B55" s="14" t="s">
        <v>616</v>
      </c>
      <c r="C55" s="14" t="s">
        <v>955</v>
      </c>
      <c r="D55" s="14" t="s">
        <v>955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63.07307698</v>
      </c>
      <c r="U55" s="20">
        <f t="shared" si="3"/>
        <v>10.84904221</v>
      </c>
      <c r="W55" s="20">
        <f>IFERROR(__xludf.DUMMYFUNCTION("iferror(PERCENTRANK.INC(FILTER($S$2:$S$429, $P$2:$P$429&lt;3.75), $S55), 1)"),0.971)</f>
        <v>0.971</v>
      </c>
      <c r="X55" s="20">
        <f>IFERROR(__xludf.DUMMYFUNCTION("iferror(PERCENTRANK.INC(FILTER($S$2:$S$429, $P$2:$P$429&lt;4.5), $S55), 1)"),0.882)</f>
        <v>0.882</v>
      </c>
      <c r="Y55" s="20">
        <f>IFERROR(__xludf.DUMMYFUNCTION("iferror(PERCENTRANK.INC(FILTER($S$2:$S$429, $P$2:$P$429&gt;=4.1), $S55), 0.01)"),0.337)</f>
        <v>0.337</v>
      </c>
    </row>
    <row r="56" ht="14.25" customHeight="1">
      <c r="A56" s="14" t="s">
        <v>1009</v>
      </c>
      <c r="B56" s="14" t="s">
        <v>388</v>
      </c>
      <c r="C56" s="14">
        <v>5.0</v>
      </c>
      <c r="D56" s="14" t="s">
        <v>955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62.77164101</v>
      </c>
      <c r="U56" s="20">
        <f t="shared" si="3"/>
        <v>-7.167352493</v>
      </c>
      <c r="W56" s="20">
        <f>IFERROR(__xludf.DUMMYFUNCTION("iferror(PERCENTRANK.INC(FILTER($S$2:$S$429, $P$2:$P$429&lt;3.75), $S56), 1)"),0.97)</f>
        <v>0.97</v>
      </c>
      <c r="X56" s="20">
        <f>IFERROR(__xludf.DUMMYFUNCTION("iferror(PERCENTRANK.INC(FILTER($S$2:$S$429, $P$2:$P$429&lt;4.5), $S56), 1)"),0.879)</f>
        <v>0.879</v>
      </c>
      <c r="Y56" s="20">
        <f>IFERROR(__xludf.DUMMYFUNCTION("iferror(PERCENTRANK.INC(FILTER($S$2:$S$429, $P$2:$P$429&gt;=4.1), $S56), 0.01)"),0.333)</f>
        <v>0.333</v>
      </c>
    </row>
    <row r="57" ht="14.25" customHeight="1">
      <c r="A57" s="14" t="s">
        <v>1010</v>
      </c>
      <c r="B57" s="14" t="s">
        <v>107</v>
      </c>
      <c r="C57" s="14">
        <v>7.0</v>
      </c>
      <c r="D57" s="14" t="s">
        <v>955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62.54477553</v>
      </c>
      <c r="U57" s="20">
        <f t="shared" si="3"/>
        <v>1.759019461</v>
      </c>
      <c r="W57" s="20">
        <f>IFERROR(__xludf.DUMMYFUNCTION("iferror(PERCENTRANK.INC(FILTER($S$2:$S$429, $P$2:$P$429&lt;3.75), $S57), 1)"),0.97)</f>
        <v>0.97</v>
      </c>
      <c r="X57" s="20">
        <f>IFERROR(__xludf.DUMMYFUNCTION("iferror(PERCENTRANK.INC(FILTER($S$2:$S$429, $P$2:$P$429&lt;4.5), $S57), 1)"),0.877)</f>
        <v>0.877</v>
      </c>
      <c r="Y57" s="20">
        <f>IFERROR(__xludf.DUMMYFUNCTION("iferror(PERCENTRANK.INC(FILTER($S$2:$S$429, $P$2:$P$429&gt;=4.1), $S57), 0.01)"),0.332)</f>
        <v>0.332</v>
      </c>
    </row>
    <row r="58" ht="14.25" customHeight="1">
      <c r="A58" s="14" t="s">
        <v>1011</v>
      </c>
      <c r="B58" s="14" t="s">
        <v>399</v>
      </c>
      <c r="C58" s="14">
        <v>1.0</v>
      </c>
      <c r="D58" s="14" t="s">
        <v>955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61.41478076</v>
      </c>
      <c r="U58" s="20">
        <f t="shared" si="3"/>
        <v>-18.85018883</v>
      </c>
      <c r="W58" s="20">
        <f>IFERROR(__xludf.DUMMYFUNCTION("iferror(PERCENTRANK.INC(FILTER($S$2:$S$429, $P$2:$P$429&lt;3.75), $S58), 1)"),0.967)</f>
        <v>0.967</v>
      </c>
      <c r="X58" s="20">
        <f>IFERROR(__xludf.DUMMYFUNCTION("iferror(PERCENTRANK.INC(FILTER($S$2:$S$429, $P$2:$P$429&lt;4.5), $S58), 1)"),0.873)</f>
        <v>0.873</v>
      </c>
      <c r="Y58" s="20">
        <f>IFERROR(__xludf.DUMMYFUNCTION("iferror(PERCENTRANK.INC(FILTER($S$2:$S$429, $P$2:$P$429&gt;=4.1), $S58), 0.01)"),0.326)</f>
        <v>0.326</v>
      </c>
    </row>
    <row r="59" ht="14.25" customHeight="1">
      <c r="A59" s="14" t="s">
        <v>1012</v>
      </c>
      <c r="B59" s="14" t="s">
        <v>375</v>
      </c>
      <c r="C59" s="14" t="s">
        <v>955</v>
      </c>
      <c r="D59" s="14" t="s">
        <v>955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60.97030145</v>
      </c>
      <c r="U59" s="20">
        <f t="shared" si="3"/>
        <v>12.06575975</v>
      </c>
      <c r="W59" s="20">
        <f>IFERROR(__xludf.DUMMYFUNCTION("iferror(PERCENTRANK.INC(FILTER($S$2:$S$429, $P$2:$P$429&lt;3.75), $S59), 1)"),0.966)</f>
        <v>0.966</v>
      </c>
      <c r="X59" s="20">
        <f>IFERROR(__xludf.DUMMYFUNCTION("iferror(PERCENTRANK.INC(FILTER($S$2:$S$429, $P$2:$P$429&lt;4.5), $S59), 1)"),0.868)</f>
        <v>0.868</v>
      </c>
      <c r="Y59" s="20">
        <f>IFERROR(__xludf.DUMMYFUNCTION("iferror(PERCENTRANK.INC(FILTER($S$2:$S$429, $P$2:$P$429&gt;=4.1), $S59), 0.01)"),0.323)</f>
        <v>0.323</v>
      </c>
    </row>
    <row r="60" ht="14.25" customHeight="1">
      <c r="A60" s="14" t="s">
        <v>1013</v>
      </c>
      <c r="B60" s="14" t="s">
        <v>293</v>
      </c>
      <c r="C60" s="14">
        <v>1.0</v>
      </c>
      <c r="D60" s="14" t="s">
        <v>955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59.95288143</v>
      </c>
      <c r="U60" s="20">
        <f t="shared" si="3"/>
        <v>11.96875701</v>
      </c>
      <c r="W60" s="20">
        <f>IFERROR(__xludf.DUMMYFUNCTION("iferror(PERCENTRANK.INC(FILTER($S$2:$S$429, $P$2:$P$429&lt;3.75), $S60), 1)"),0.962)</f>
        <v>0.962</v>
      </c>
      <c r="X60" s="20">
        <f>IFERROR(__xludf.DUMMYFUNCTION("iferror(PERCENTRANK.INC(FILTER($S$2:$S$429, $P$2:$P$429&lt;4.5), $S60), 1)"),0.865)</f>
        <v>0.865</v>
      </c>
      <c r="Y60" s="20">
        <f>IFERROR(__xludf.DUMMYFUNCTION("iferror(PERCENTRANK.INC(FILTER($S$2:$S$429, $P$2:$P$429&gt;=4.1), $S60), 0.01)"),0.306)</f>
        <v>0.306</v>
      </c>
    </row>
    <row r="61" ht="14.25" customHeight="1">
      <c r="A61" s="14" t="s">
        <v>1014</v>
      </c>
      <c r="B61" s="14" t="s">
        <v>343</v>
      </c>
      <c r="C61" s="14" t="s">
        <v>955</v>
      </c>
      <c r="D61" s="14" t="s">
        <v>955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59.54983318</v>
      </c>
      <c r="U61" s="20">
        <f t="shared" si="3"/>
        <v>0.1386395508</v>
      </c>
      <c r="W61" s="20">
        <f>IFERROR(__xludf.DUMMYFUNCTION("iferror(PERCENTRANK.INC(FILTER($S$2:$S$429, $P$2:$P$429&lt;3.75), $S61), 1)"),0.96)</f>
        <v>0.96</v>
      </c>
      <c r="X61" s="20">
        <f>IFERROR(__xludf.DUMMYFUNCTION("iferror(PERCENTRANK.INC(FILTER($S$2:$S$429, $P$2:$P$429&lt;4.5), $S61), 1)"),0.864)</f>
        <v>0.864</v>
      </c>
      <c r="Y61" s="20">
        <f>IFERROR(__xludf.DUMMYFUNCTION("iferror(PERCENTRANK.INC(FILTER($S$2:$S$429, $P$2:$P$429&gt;=4.1), $S61), 0.01)"),0.295)</f>
        <v>0.295</v>
      </c>
    </row>
    <row r="62" ht="14.25" customHeight="1">
      <c r="A62" s="14" t="s">
        <v>1015</v>
      </c>
      <c r="B62" s="14" t="s">
        <v>98</v>
      </c>
      <c r="C62" s="14" t="s">
        <v>955</v>
      </c>
      <c r="D62" s="14" t="s">
        <v>955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59.52176906</v>
      </c>
      <c r="U62" s="20">
        <f t="shared" si="3"/>
        <v>2.203749508</v>
      </c>
      <c r="W62" s="20">
        <f>IFERROR(__xludf.DUMMYFUNCTION("iferror(PERCENTRANK.INC(FILTER($S$2:$S$429, $P$2:$P$429&lt;3.75), $S62), 1)"),0.96)</f>
        <v>0.96</v>
      </c>
      <c r="X62" s="20">
        <f>IFERROR(__xludf.DUMMYFUNCTION("iferror(PERCENTRANK.INC(FILTER($S$2:$S$429, $P$2:$P$429&lt;4.5), $S62), 1)"),0.859)</f>
        <v>0.859</v>
      </c>
      <c r="Y62" s="20">
        <f>IFERROR(__xludf.DUMMYFUNCTION("iferror(PERCENTRANK.INC(FILTER($S$2:$S$429, $P$2:$P$429&gt;=4.1), $S62), 0.01)"),0.295)</f>
        <v>0.295</v>
      </c>
    </row>
    <row r="63" ht="14.25" customHeight="1">
      <c r="A63" s="14" t="s">
        <v>1016</v>
      </c>
      <c r="B63" s="14" t="s">
        <v>183</v>
      </c>
      <c r="C63" s="14">
        <v>16.0</v>
      </c>
      <c r="D63" s="14" t="s">
        <v>955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59.41014244</v>
      </c>
      <c r="U63" s="20">
        <f t="shared" si="3"/>
        <v>-21.25027832</v>
      </c>
      <c r="W63" s="20">
        <f>IFERROR(__xludf.DUMMYFUNCTION("iferror(PERCENTRANK.INC(FILTER($S$2:$S$429, $P$2:$P$429&lt;3.75), $S63), 1)"),0.959)</f>
        <v>0.959</v>
      </c>
      <c r="X63" s="20">
        <f>IFERROR(__xludf.DUMMYFUNCTION("iferror(PERCENTRANK.INC(FILTER($S$2:$S$429, $P$2:$P$429&lt;4.5), $S63), 1)"),0.855)</f>
        <v>0.855</v>
      </c>
      <c r="Y63" s="20">
        <f>IFERROR(__xludf.DUMMYFUNCTION("iferror(PERCENTRANK.INC(FILTER($S$2:$S$429, $P$2:$P$429&gt;=4.1), $S63), 0.01)"),0.292)</f>
        <v>0.292</v>
      </c>
    </row>
    <row r="64" ht="14.25" customHeight="1">
      <c r="A64" s="14" t="s">
        <v>1017</v>
      </c>
      <c r="B64" s="14" t="s">
        <v>527</v>
      </c>
      <c r="C64" s="14">
        <v>2.0</v>
      </c>
      <c r="D64" s="14" t="s">
        <v>955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59.19889009</v>
      </c>
      <c r="U64" s="20">
        <f t="shared" si="3"/>
        <v>5.066315637</v>
      </c>
      <c r="W64" s="20">
        <f>IFERROR(__xludf.DUMMYFUNCTION("iferror(PERCENTRANK.INC(FILTER($S$2:$S$429, $P$2:$P$429&lt;3.75), $S64), 1)"),0.959)</f>
        <v>0.959</v>
      </c>
      <c r="X64" s="20">
        <f>IFERROR(__xludf.DUMMYFUNCTION("iferror(PERCENTRANK.INC(FILTER($S$2:$S$429, $P$2:$P$429&lt;4.5), $S64), 1)"),0.85)</f>
        <v>0.85</v>
      </c>
      <c r="Y64" s="20">
        <f>IFERROR(__xludf.DUMMYFUNCTION("iferror(PERCENTRANK.INC(FILTER($S$2:$S$429, $P$2:$P$429&gt;=4.1), $S64), 0.01)"),0.278)</f>
        <v>0.278</v>
      </c>
    </row>
    <row r="65" ht="14.25" customHeight="1">
      <c r="A65" s="14" t="s">
        <v>1018</v>
      </c>
      <c r="B65" s="14" t="s">
        <v>527</v>
      </c>
      <c r="C65" s="14">
        <v>17.0</v>
      </c>
      <c r="D65" s="14" t="s">
        <v>955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58.49479504</v>
      </c>
      <c r="U65" s="20">
        <f t="shared" si="3"/>
        <v>9.440162516</v>
      </c>
      <c r="W65" s="20">
        <f>IFERROR(__xludf.DUMMYFUNCTION("iferror(PERCENTRANK.INC(FILTER($S$2:$S$429, $P$2:$P$429&lt;3.75), $S65), 1)"),0.957)</f>
        <v>0.957</v>
      </c>
      <c r="X65" s="20">
        <f>IFERROR(__xludf.DUMMYFUNCTION("iferror(PERCENTRANK.INC(FILTER($S$2:$S$429, $P$2:$P$429&lt;4.5), $S65), 1)"),0.841)</f>
        <v>0.841</v>
      </c>
      <c r="Y65" s="20">
        <f>IFERROR(__xludf.DUMMYFUNCTION("iferror(PERCENTRANK.INC(FILTER($S$2:$S$429, $P$2:$P$429&gt;=4.1), $S65), 0.01)"),0.264)</f>
        <v>0.264</v>
      </c>
    </row>
    <row r="66" ht="14.25" customHeight="1">
      <c r="A66" s="14" t="s">
        <v>1019</v>
      </c>
      <c r="B66" s="14" t="s">
        <v>399</v>
      </c>
      <c r="C66" s="14">
        <v>15.0</v>
      </c>
      <c r="D66" s="14" t="s">
        <v>955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58.43324185</v>
      </c>
      <c r="U66" s="20">
        <f t="shared" si="3"/>
        <v>7.750848858</v>
      </c>
      <c r="W66" s="20">
        <f>IFERROR(__xludf.DUMMYFUNCTION("iferror(PERCENTRANK.INC(FILTER($S$2:$S$429, $P$2:$P$429&lt;3.75), $S66), 1)"),0.957)</f>
        <v>0.957</v>
      </c>
      <c r="X66" s="20">
        <f>IFERROR(__xludf.DUMMYFUNCTION("iferror(PERCENTRANK.INC(FILTER($S$2:$S$429, $P$2:$P$429&lt;4.5), $S66), 1)"),0.839)</f>
        <v>0.839</v>
      </c>
      <c r="Y66" s="20">
        <f>IFERROR(__xludf.DUMMYFUNCTION("iferror(PERCENTRANK.INC(FILTER($S$2:$S$429, $P$2:$P$429&gt;=4.1), $S66), 0.01)"),0.25)</f>
        <v>0.25</v>
      </c>
    </row>
    <row r="67" ht="14.25" customHeight="1">
      <c r="A67" s="14" t="s">
        <v>1020</v>
      </c>
      <c r="B67" s="14" t="s">
        <v>137</v>
      </c>
      <c r="C67" s="14" t="s">
        <v>955</v>
      </c>
      <c r="D67" s="14" t="s">
        <v>955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58.34389257</v>
      </c>
      <c r="U67" s="20">
        <f t="shared" si="3"/>
        <v>-11.92185208</v>
      </c>
      <c r="W67" s="20">
        <f>IFERROR(__xludf.DUMMYFUNCTION("iferror(PERCENTRANK.INC(FILTER($S$2:$S$429, $P$2:$P$429&lt;3.75), $S67), 1)"),0.957)</f>
        <v>0.957</v>
      </c>
      <c r="X67" s="20">
        <f>IFERROR(__xludf.DUMMYFUNCTION("iferror(PERCENTRANK.INC(FILTER($S$2:$S$429, $P$2:$P$429&lt;4.5), $S67), 1)"),0.836)</f>
        <v>0.836</v>
      </c>
      <c r="Y67" s="20">
        <f>IFERROR(__xludf.DUMMYFUNCTION("iferror(PERCENTRANK.INC(FILTER($S$2:$S$429, $P$2:$P$429&gt;=4.1), $S67), 0.01)"),0.247)</f>
        <v>0.247</v>
      </c>
    </row>
    <row r="68" ht="14.25" customHeight="1">
      <c r="A68" s="14" t="s">
        <v>1021</v>
      </c>
      <c r="B68" s="14" t="s">
        <v>277</v>
      </c>
      <c r="C68" s="14" t="s">
        <v>955</v>
      </c>
      <c r="D68" s="14" t="s">
        <v>955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58.08517991</v>
      </c>
      <c r="U68" s="20">
        <f t="shared" si="3"/>
        <v>1.923862797</v>
      </c>
      <c r="W68" s="20">
        <f>IFERROR(__xludf.DUMMYFUNCTION("iferror(PERCENTRANK.INC(FILTER($S$2:$S$429, $P$2:$P$429&lt;3.75), $S68), 1)"),0.956)</f>
        <v>0.956</v>
      </c>
      <c r="X68" s="20">
        <f>IFERROR(__xludf.DUMMYFUNCTION("iferror(PERCENTRANK.INC(FILTER($S$2:$S$429, $P$2:$P$429&lt;4.5), $S68), 1)"),0.832)</f>
        <v>0.832</v>
      </c>
      <c r="Y68" s="20">
        <f>IFERROR(__xludf.DUMMYFUNCTION("iferror(PERCENTRANK.INC(FILTER($S$2:$S$429, $P$2:$P$429&gt;=4.1), $S68), 0.01)"),0.239)</f>
        <v>0.239</v>
      </c>
    </row>
    <row r="69" ht="14.25" customHeight="1">
      <c r="A69" s="14" t="s">
        <v>1022</v>
      </c>
      <c r="B69" s="14" t="s">
        <v>122</v>
      </c>
      <c r="C69" s="16">
        <v>7.0</v>
      </c>
      <c r="D69" s="14" t="s">
        <v>955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57.99399362</v>
      </c>
      <c r="U69" s="20">
        <f t="shared" si="3"/>
        <v>15.30546594</v>
      </c>
      <c r="W69" s="20">
        <f>IFERROR(__xludf.DUMMYFUNCTION("iferror(PERCENTRANK.INC(FILTER($S$2:$S$429, $P$2:$P$429&lt;3.75), $S69), 1)"),0.956)</f>
        <v>0.956</v>
      </c>
      <c r="X69" s="20">
        <f>IFERROR(__xludf.DUMMYFUNCTION("iferror(PERCENTRANK.INC(FILTER($S$2:$S$429, $P$2:$P$429&lt;4.5), $S69), 1)"),0.827)</f>
        <v>0.827</v>
      </c>
      <c r="Y69" s="20">
        <f>IFERROR(__xludf.DUMMYFUNCTION("iferror(PERCENTRANK.INC(FILTER($S$2:$S$429, $P$2:$P$429&gt;=4.1), $S69), 0.01)"),0.236)</f>
        <v>0.236</v>
      </c>
    </row>
    <row r="70" ht="14.25" customHeight="1">
      <c r="A70" s="14" t="s">
        <v>1023</v>
      </c>
      <c r="B70" s="14" t="s">
        <v>175</v>
      </c>
      <c r="C70" s="14" t="s">
        <v>955</v>
      </c>
      <c r="D70" s="14" t="s">
        <v>955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57.3321873</v>
      </c>
      <c r="U70" s="20">
        <f t="shared" si="3"/>
        <v>-3.922298043</v>
      </c>
      <c r="W70" s="20">
        <f>IFERROR(__xludf.DUMMYFUNCTION("iferror(PERCENTRANK.INC(FILTER($S$2:$S$429, $P$2:$P$429&lt;3.75), $S70), 1)"),0.954)</f>
        <v>0.954</v>
      </c>
      <c r="X70" s="20">
        <f>IFERROR(__xludf.DUMMYFUNCTION("iferror(PERCENTRANK.INC(FILTER($S$2:$S$429, $P$2:$P$429&lt;4.5), $S70), 1)"),0.823)</f>
        <v>0.823</v>
      </c>
      <c r="Y70" s="20">
        <f>IFERROR(__xludf.DUMMYFUNCTION("iferror(PERCENTRANK.INC(FILTER($S$2:$S$429, $P$2:$P$429&gt;=4.1), $S70), 0.01)"),0.222)</f>
        <v>0.222</v>
      </c>
    </row>
    <row r="71" ht="14.25" customHeight="1">
      <c r="A71" s="14" t="s">
        <v>1024</v>
      </c>
      <c r="B71" s="14" t="s">
        <v>572</v>
      </c>
      <c r="C71" s="14">
        <v>5.0</v>
      </c>
      <c r="D71" s="14" t="s">
        <v>955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57.17902499</v>
      </c>
      <c r="U71" s="20">
        <f t="shared" si="3"/>
        <v>9.933572388</v>
      </c>
      <c r="W71" s="20">
        <f>IFERROR(__xludf.DUMMYFUNCTION("iferror(PERCENTRANK.INC(FILTER($S$2:$S$429, $P$2:$P$429&lt;3.75), $S71), 1)"),0.954)</f>
        <v>0.954</v>
      </c>
      <c r="X71" s="20">
        <f>IFERROR(__xludf.DUMMYFUNCTION("iferror(PERCENTRANK.INC(FILTER($S$2:$S$429, $P$2:$P$429&lt;4.5), $S71), 1)"),0.818)</f>
        <v>0.818</v>
      </c>
      <c r="Y71" s="20">
        <f>IFERROR(__xludf.DUMMYFUNCTION("iferror(PERCENTRANK.INC(FILTER($S$2:$S$429, $P$2:$P$429&gt;=4.1), $S71), 0.01)"),0.22)</f>
        <v>0.22</v>
      </c>
    </row>
    <row r="72" ht="14.25" customHeight="1">
      <c r="A72" s="14" t="s">
        <v>1025</v>
      </c>
      <c r="B72" s="14" t="s">
        <v>379</v>
      </c>
      <c r="C72" s="14" t="s">
        <v>955</v>
      </c>
      <c r="D72" s="14" t="s">
        <v>955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56.80115625</v>
      </c>
      <c r="U72" s="20">
        <f t="shared" si="3"/>
        <v>0.1926505615</v>
      </c>
      <c r="W72" s="20">
        <f>IFERROR(__xludf.DUMMYFUNCTION("iferror(PERCENTRANK.INC(FILTER($S$2:$S$429, $P$2:$P$429&lt;3.75), $S72), 1)"),0.953)</f>
        <v>0.953</v>
      </c>
      <c r="X72" s="20">
        <f>IFERROR(__xludf.DUMMYFUNCTION("iferror(PERCENTRANK.INC(FILTER($S$2:$S$429, $P$2:$P$429&lt;4.5), $S72), 1)"),0.814)</f>
        <v>0.814</v>
      </c>
      <c r="Y72" s="20">
        <f>IFERROR(__xludf.DUMMYFUNCTION("iferror(PERCENTRANK.INC(FILTER($S$2:$S$429, $P$2:$P$429&gt;=4.1), $S72), 0.01)"),0.216)</f>
        <v>0.216</v>
      </c>
    </row>
    <row r="73" ht="14.25" customHeight="1">
      <c r="A73" s="14" t="s">
        <v>1026</v>
      </c>
      <c r="B73" s="14" t="s">
        <v>303</v>
      </c>
      <c r="C73" s="14">
        <v>1.0</v>
      </c>
      <c r="D73" s="14" t="s">
        <v>955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56.13058708</v>
      </c>
      <c r="U73" s="20">
        <f t="shared" si="3"/>
        <v>-1.230053316</v>
      </c>
      <c r="W73" s="20">
        <f>IFERROR(__xludf.DUMMYFUNCTION("iferror(PERCENTRANK.INC(FILTER($S$2:$S$429, $P$2:$P$429&lt;3.75), $S73), 1)"),0.95)</f>
        <v>0.95</v>
      </c>
      <c r="X73" s="20">
        <f>IFERROR(__xludf.DUMMYFUNCTION("iferror(PERCENTRANK.INC(FILTER($S$2:$S$429, $P$2:$P$429&lt;4.5), $S73), 1)"),0.809)</f>
        <v>0.809</v>
      </c>
      <c r="Y73" s="20">
        <f>IFERROR(__xludf.DUMMYFUNCTION("iferror(PERCENTRANK.INC(FILTER($S$2:$S$429, $P$2:$P$429&gt;=4.1), $S73), 0.01)"),0.208)</f>
        <v>0.208</v>
      </c>
    </row>
    <row r="74" ht="14.25" customHeight="1">
      <c r="A74" s="14" t="s">
        <v>1027</v>
      </c>
      <c r="B74" s="14" t="s">
        <v>347</v>
      </c>
      <c r="C74" s="14">
        <v>5.0</v>
      </c>
      <c r="D74" s="14" t="s">
        <v>955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55.61111267</v>
      </c>
      <c r="U74" s="20">
        <f t="shared" si="3"/>
        <v>16.51516373</v>
      </c>
      <c r="W74" s="20">
        <f>IFERROR(__xludf.DUMMYFUNCTION("iferror(PERCENTRANK.INC(FILTER($S$2:$S$429, $P$2:$P$429&lt;3.75), $S74), 1)"),0.948)</f>
        <v>0.948</v>
      </c>
      <c r="X74" s="20">
        <f>IFERROR(__xludf.DUMMYFUNCTION("iferror(PERCENTRANK.INC(FILTER($S$2:$S$429, $P$2:$P$429&lt;4.5), $S74), 1)"),0.805)</f>
        <v>0.805</v>
      </c>
      <c r="Y74" s="20">
        <f>IFERROR(__xludf.DUMMYFUNCTION("iferror(PERCENTRANK.INC(FILTER($S$2:$S$429, $P$2:$P$429&gt;=4.1), $S74), 0.01)"),0.201)</f>
        <v>0.201</v>
      </c>
    </row>
    <row r="75" ht="14.25" customHeight="1">
      <c r="A75" s="14" t="s">
        <v>1028</v>
      </c>
      <c r="B75" s="14" t="s">
        <v>384</v>
      </c>
      <c r="C75" s="14" t="s">
        <v>955</v>
      </c>
      <c r="D75" s="14" t="s">
        <v>955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55.2308917</v>
      </c>
      <c r="U75" s="20">
        <f t="shared" si="3"/>
        <v>8.71200547</v>
      </c>
      <c r="W75" s="20">
        <f>IFERROR(__xludf.DUMMYFUNCTION("iferror(PERCENTRANK.INC(FILTER($S$2:$S$429, $P$2:$P$429&lt;3.75), $S75), 1)"),0.946)</f>
        <v>0.946</v>
      </c>
      <c r="X75" s="20">
        <f>IFERROR(__xludf.DUMMYFUNCTION("iferror(PERCENTRANK.INC(FILTER($S$2:$S$429, $P$2:$P$429&lt;4.5), $S75), 1)"),0.8)</f>
        <v>0.8</v>
      </c>
      <c r="Y75" s="20">
        <f>IFERROR(__xludf.DUMMYFUNCTION("iferror(PERCENTRANK.INC(FILTER($S$2:$S$429, $P$2:$P$429&gt;=4.1), $S75), 0.01)"),0.195)</f>
        <v>0.195</v>
      </c>
    </row>
    <row r="76" ht="14.25" customHeight="1">
      <c r="A76" s="14" t="s">
        <v>1029</v>
      </c>
      <c r="B76" s="14" t="s">
        <v>293</v>
      </c>
      <c r="C76" s="14">
        <v>7.0</v>
      </c>
      <c r="D76" s="14" t="s">
        <v>955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55.22547301</v>
      </c>
      <c r="U76" s="20">
        <f t="shared" si="3"/>
        <v>-0.2527854079</v>
      </c>
      <c r="W76" s="20">
        <f>IFERROR(__xludf.DUMMYFUNCTION("iferror(PERCENTRANK.INC(FILTER($S$2:$S$429, $P$2:$P$429&lt;3.75), $S76), 1)"),0.946)</f>
        <v>0.946</v>
      </c>
      <c r="X76" s="20">
        <f>IFERROR(__xludf.DUMMYFUNCTION("iferror(PERCENTRANK.INC(FILTER($S$2:$S$429, $P$2:$P$429&lt;4.5), $S76), 1)"),0.795)</f>
        <v>0.795</v>
      </c>
      <c r="Y76" s="20">
        <f>IFERROR(__xludf.DUMMYFUNCTION("iferror(PERCENTRANK.INC(FILTER($S$2:$S$429, $P$2:$P$429&gt;=4.1), $S76), 0.01)"),0.195)</f>
        <v>0.195</v>
      </c>
    </row>
    <row r="77" ht="14.25" customHeight="1">
      <c r="A77" s="14" t="s">
        <v>1030</v>
      </c>
      <c r="B77" s="14" t="s">
        <v>243</v>
      </c>
      <c r="C77" s="14">
        <v>10.0</v>
      </c>
      <c r="D77" s="14" t="s">
        <v>955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55.17773763</v>
      </c>
      <c r="U77" s="20">
        <f t="shared" si="3"/>
        <v>1.67605546</v>
      </c>
      <c r="W77" s="20">
        <f>IFERROR(__xludf.DUMMYFUNCTION("iferror(PERCENTRANK.INC(FILTER($S$2:$S$429, $P$2:$P$429&lt;3.75), $S77), 1)"),0.946)</f>
        <v>0.946</v>
      </c>
      <c r="X77" s="20">
        <f>IFERROR(__xludf.DUMMYFUNCTION("iferror(PERCENTRANK.INC(FILTER($S$2:$S$429, $P$2:$P$429&lt;4.5), $S77), 1)"),0.791)</f>
        <v>0.791</v>
      </c>
      <c r="Y77" s="20">
        <f>IFERROR(__xludf.DUMMYFUNCTION("iferror(PERCENTRANK.INC(FILTER($S$2:$S$429, $P$2:$P$429&gt;=4.1), $S77), 0.01)"),0.194)</f>
        <v>0.194</v>
      </c>
    </row>
    <row r="78" ht="14.25" customHeight="1">
      <c r="A78" s="14" t="s">
        <v>1031</v>
      </c>
      <c r="B78" s="14" t="s">
        <v>148</v>
      </c>
      <c r="C78" s="14">
        <v>2.0</v>
      </c>
      <c r="D78" s="14" t="s">
        <v>955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54.71498744</v>
      </c>
      <c r="U78" s="20">
        <f t="shared" si="3"/>
        <v>22.1276357</v>
      </c>
      <c r="W78" s="20">
        <f>IFERROR(__xludf.DUMMYFUNCTION("iferror(PERCENTRANK.INC(FILTER($S$2:$S$429, $P$2:$P$429&lt;3.75), $S78), 1)"),0.941)</f>
        <v>0.941</v>
      </c>
      <c r="X78" s="20">
        <f>IFERROR(__xludf.DUMMYFUNCTION("iferror(PERCENTRANK.INC(FILTER($S$2:$S$429, $P$2:$P$429&lt;4.5), $S78), 1)"),0.786)</f>
        <v>0.786</v>
      </c>
      <c r="Y78" s="20">
        <f>IFERROR(__xludf.DUMMYFUNCTION("iferror(PERCENTRANK.INC(FILTER($S$2:$S$429, $P$2:$P$429&gt;=4.1), $S78), 0.01)"),0.191)</f>
        <v>0.191</v>
      </c>
    </row>
    <row r="79" ht="14.25" customHeight="1">
      <c r="A79" s="14" t="s">
        <v>1032</v>
      </c>
      <c r="B79" s="14" t="s">
        <v>104</v>
      </c>
      <c r="C79" s="14" t="s">
        <v>955</v>
      </c>
      <c r="D79" s="14" t="s">
        <v>955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54.55369065</v>
      </c>
      <c r="U79" s="20">
        <f t="shared" si="3"/>
        <v>6.082331578</v>
      </c>
      <c r="W79" s="20">
        <f>IFERROR(__xludf.DUMMYFUNCTION("iferror(PERCENTRANK.INC(FILTER($S$2:$S$429, $P$2:$P$429&lt;3.75), $S79), 1)"),0.94)</f>
        <v>0.94</v>
      </c>
      <c r="X79" s="20">
        <f>IFERROR(__xludf.DUMMYFUNCTION("iferror(PERCENTRANK.INC(FILTER($S$2:$S$429, $P$2:$P$429&lt;4.5), $S79), 1)"),0.782)</f>
        <v>0.782</v>
      </c>
      <c r="Y79" s="20">
        <f>IFERROR(__xludf.DUMMYFUNCTION("iferror(PERCENTRANK.INC(FILTER($S$2:$S$429, $P$2:$P$429&gt;=4.1), $S79), 0.01)"),0.19)</f>
        <v>0.19</v>
      </c>
    </row>
    <row r="80" ht="14.25" customHeight="1">
      <c r="A80" s="14" t="s">
        <v>1033</v>
      </c>
      <c r="B80" s="14" t="s">
        <v>317</v>
      </c>
      <c r="C80" s="14" t="s">
        <v>955</v>
      </c>
      <c r="D80" s="14" t="s">
        <v>955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54.5267058</v>
      </c>
      <c r="U80" s="20">
        <f t="shared" si="3"/>
        <v>-1.151864309</v>
      </c>
      <c r="W80" s="20">
        <f>IFERROR(__xludf.DUMMYFUNCTION("iferror(PERCENTRANK.INC(FILTER($S$2:$S$429, $P$2:$P$429&lt;3.75), $S80), 1)"),0.938)</f>
        <v>0.938</v>
      </c>
      <c r="X80" s="20">
        <f>IFERROR(__xludf.DUMMYFUNCTION("iferror(PERCENTRANK.INC(FILTER($S$2:$S$429, $P$2:$P$429&lt;4.5), $S80), 1)"),0.777)</f>
        <v>0.777</v>
      </c>
      <c r="Y80" s="20">
        <f>IFERROR(__xludf.DUMMYFUNCTION("iferror(PERCENTRANK.INC(FILTER($S$2:$S$429, $P$2:$P$429&gt;=4.1), $S80), 0.01)"),0.19)</f>
        <v>0.19</v>
      </c>
    </row>
    <row r="81" ht="14.25" customHeight="1">
      <c r="A81" s="14" t="s">
        <v>1034</v>
      </c>
      <c r="B81" s="14" t="s">
        <v>439</v>
      </c>
      <c r="C81" s="14" t="s">
        <v>955</v>
      </c>
      <c r="D81" s="14" t="s">
        <v>955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54.41844713</v>
      </c>
      <c r="U81" s="20">
        <f t="shared" si="3"/>
        <v>3.767308337</v>
      </c>
      <c r="W81" s="20">
        <f>IFERROR(__xludf.DUMMYFUNCTION("iferror(PERCENTRANK.INC(FILTER($S$2:$S$429, $P$2:$P$429&lt;3.75), $S81), 1)"),0.933)</f>
        <v>0.933</v>
      </c>
      <c r="X81" s="20">
        <f>IFERROR(__xludf.DUMMYFUNCTION("iferror(PERCENTRANK.INC(FILTER($S$2:$S$429, $P$2:$P$429&lt;4.5), $S81), 1)"),0.773)</f>
        <v>0.773</v>
      </c>
      <c r="Y81" s="20">
        <f>IFERROR(__xludf.DUMMYFUNCTION("iferror(PERCENTRANK.INC(FILTER($S$2:$S$429, $P$2:$P$429&gt;=4.1), $S81), 0.01)"),0.19)</f>
        <v>0.19</v>
      </c>
    </row>
    <row r="82" ht="14.25" customHeight="1">
      <c r="A82" s="14" t="s">
        <v>1035</v>
      </c>
      <c r="B82" s="14" t="s">
        <v>379</v>
      </c>
      <c r="C82" s="14" t="s">
        <v>955</v>
      </c>
      <c r="D82" s="14" t="s">
        <v>955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54.40563874</v>
      </c>
      <c r="U82" s="20">
        <f t="shared" si="3"/>
        <v>9.093044938</v>
      </c>
      <c r="W82" s="20">
        <f>IFERROR(__xludf.DUMMYFUNCTION("iferror(PERCENTRANK.INC(FILTER($S$2:$S$429, $P$2:$P$429&lt;3.75), $S82), 1)"),0.926)</f>
        <v>0.926</v>
      </c>
      <c r="X82" s="20">
        <f>IFERROR(__xludf.DUMMYFUNCTION("iferror(PERCENTRANK.INC(FILTER($S$2:$S$429, $P$2:$P$429&lt;4.5), $S82), 1)"),0.768)</f>
        <v>0.768</v>
      </c>
      <c r="Y82" s="20">
        <f>IFERROR(__xludf.DUMMYFUNCTION("iferror(PERCENTRANK.INC(FILTER($S$2:$S$429, $P$2:$P$429&gt;=4.1), $S82), 0.01)"),0.189)</f>
        <v>0.189</v>
      </c>
    </row>
    <row r="83" ht="14.25" customHeight="1">
      <c r="A83" s="14" t="s">
        <v>1036</v>
      </c>
      <c r="B83" s="14" t="s">
        <v>347</v>
      </c>
      <c r="C83" s="14">
        <v>1.0</v>
      </c>
      <c r="D83" s="14" t="s">
        <v>955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54.39238518</v>
      </c>
      <c r="U83" s="20">
        <f t="shared" si="3"/>
        <v>-7.548008504</v>
      </c>
      <c r="W83" s="20">
        <f>IFERROR(__xludf.DUMMYFUNCTION("iferror(PERCENTRANK.INC(FILTER($S$2:$S$429, $P$2:$P$429&lt;3.75), $S83), 1)"),0.919)</f>
        <v>0.919</v>
      </c>
      <c r="X83" s="20">
        <f>IFERROR(__xludf.DUMMYFUNCTION("iferror(PERCENTRANK.INC(FILTER($S$2:$S$429, $P$2:$P$429&lt;4.5), $S83), 1)"),0.764)</f>
        <v>0.764</v>
      </c>
      <c r="Y83" s="20">
        <f>IFERROR(__xludf.DUMMYFUNCTION("iferror(PERCENTRANK.INC(FILTER($S$2:$S$429, $P$2:$P$429&gt;=4.1), $S83), 0.01)"),0.189)</f>
        <v>0.189</v>
      </c>
    </row>
    <row r="84" ht="14.25" customHeight="1">
      <c r="A84" s="14" t="s">
        <v>1037</v>
      </c>
      <c r="B84" s="14" t="s">
        <v>394</v>
      </c>
      <c r="C84" s="14" t="s">
        <v>955</v>
      </c>
      <c r="D84" s="14" t="s">
        <v>955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40">
        <v>3.69</v>
      </c>
      <c r="Q84" s="41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54.36550868</v>
      </c>
      <c r="U84" s="20">
        <f t="shared" si="3"/>
        <v>4.608055234</v>
      </c>
      <c r="W84" s="20">
        <f>IFERROR(__xludf.DUMMYFUNCTION("iferror(PERCENTRANK.INC(FILTER($S$2:$S$429, $P$2:$P$429&lt;3.75), $S84), 1)"),0.913)</f>
        <v>0.913</v>
      </c>
      <c r="X84" s="20">
        <f>IFERROR(__xludf.DUMMYFUNCTION("iferror(PERCENTRANK.INC(FILTER($S$2:$S$429, $P$2:$P$429&lt;4.5), $S84), 1)"),0.759)</f>
        <v>0.759</v>
      </c>
      <c r="Y84" s="20">
        <f>IFERROR(__xludf.DUMMYFUNCTION("iferror(PERCENTRANK.INC(FILTER($S$2:$S$429, $P$2:$P$429&gt;=4.1), $S84), 0.01)"),0.189)</f>
        <v>0.189</v>
      </c>
    </row>
    <row r="85" ht="14.25" customHeight="1">
      <c r="A85" s="14" t="s">
        <v>1038</v>
      </c>
      <c r="B85" s="14" t="s">
        <v>429</v>
      </c>
      <c r="C85" s="14" t="s">
        <v>955</v>
      </c>
      <c r="D85" s="14" t="s">
        <v>955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54.32428768</v>
      </c>
      <c r="U85" s="20">
        <f t="shared" si="3"/>
        <v>-1.391144364</v>
      </c>
      <c r="W85" s="20">
        <f>IFERROR(__xludf.DUMMYFUNCTION("iferror(PERCENTRANK.INC(FILTER($S$2:$S$429, $P$2:$P$429&lt;3.75), $S85), 1)"),0.911)</f>
        <v>0.911</v>
      </c>
      <c r="X85" s="20">
        <f>IFERROR(__xludf.DUMMYFUNCTION("iferror(PERCENTRANK.INC(FILTER($S$2:$S$429, $P$2:$P$429&lt;4.5), $S85), 1)"),0.755)</f>
        <v>0.755</v>
      </c>
      <c r="Y85" s="20">
        <f>IFERROR(__xludf.DUMMYFUNCTION("iferror(PERCENTRANK.INC(FILTER($S$2:$S$429, $P$2:$P$429&gt;=4.1), $S85), 0.01)"),0.189)</f>
        <v>0.189</v>
      </c>
    </row>
    <row r="86" ht="14.25" customHeight="1">
      <c r="A86" s="14" t="s">
        <v>1039</v>
      </c>
      <c r="B86" s="14" t="s">
        <v>375</v>
      </c>
      <c r="C86" s="14" t="s">
        <v>955</v>
      </c>
      <c r="D86" s="14" t="s">
        <v>955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54.22628448</v>
      </c>
      <c r="U86" s="20">
        <f t="shared" si="3"/>
        <v>-3.663345595</v>
      </c>
      <c r="W86" s="20">
        <f>IFERROR(__xludf.DUMMYFUNCTION("iferror(PERCENTRANK.INC(FILTER($S$2:$S$429, $P$2:$P$429&lt;3.75), $S86), 1)"),0.906)</f>
        <v>0.906</v>
      </c>
      <c r="X86" s="20">
        <f>IFERROR(__xludf.DUMMYFUNCTION("iferror(PERCENTRANK.INC(FILTER($S$2:$S$429, $P$2:$P$429&lt;4.5), $S86), 1)"),0.75)</f>
        <v>0.75</v>
      </c>
      <c r="Y86" s="20">
        <f>IFERROR(__xludf.DUMMYFUNCTION("iferror(PERCENTRANK.INC(FILTER($S$2:$S$429, $P$2:$P$429&gt;=4.1), $S86), 0.01)"),0.188)</f>
        <v>0.188</v>
      </c>
    </row>
    <row r="87" ht="14.25" customHeight="1">
      <c r="A87" s="14" t="s">
        <v>1040</v>
      </c>
      <c r="B87" s="14" t="s">
        <v>371</v>
      </c>
      <c r="C87" s="14" t="s">
        <v>955</v>
      </c>
      <c r="D87" s="14" t="s">
        <v>955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53.80628023</v>
      </c>
      <c r="U87" s="20">
        <f t="shared" si="3"/>
        <v>-3.107574251</v>
      </c>
      <c r="W87" s="20">
        <f>IFERROR(__xludf.DUMMYFUNCTION("iferror(PERCENTRANK.INC(FILTER($S$2:$S$429, $P$2:$P$429&lt;3.75), $S87), 1)"),0.899)</f>
        <v>0.899</v>
      </c>
      <c r="X87" s="20">
        <f>IFERROR(__xludf.DUMMYFUNCTION("iferror(PERCENTRANK.INC(FILTER($S$2:$S$429, $P$2:$P$429&lt;4.5), $S87), 1)"),0.745)</f>
        <v>0.745</v>
      </c>
      <c r="Y87" s="20">
        <f>IFERROR(__xludf.DUMMYFUNCTION("iferror(PERCENTRANK.INC(FILTER($S$2:$S$429, $P$2:$P$429&gt;=4.1), $S87), 0.01)"),0.186)</f>
        <v>0.186</v>
      </c>
    </row>
    <row r="88" ht="14.25" customHeight="1">
      <c r="A88" s="14" t="s">
        <v>1041</v>
      </c>
      <c r="B88" s="14" t="s">
        <v>515</v>
      </c>
      <c r="C88" s="14">
        <v>3.0</v>
      </c>
      <c r="D88" s="14" t="s">
        <v>955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53.01046062</v>
      </c>
      <c r="U88" s="20">
        <f t="shared" si="3"/>
        <v>7.30672298</v>
      </c>
      <c r="W88" s="20">
        <f>IFERROR(__xludf.DUMMYFUNCTION("iferror(PERCENTRANK.INC(FILTER($S$2:$S$429, $P$2:$P$429&lt;3.75), $S88), 1)"),0.895)</f>
        <v>0.895</v>
      </c>
      <c r="X88" s="20">
        <f>IFERROR(__xludf.DUMMYFUNCTION("iferror(PERCENTRANK.INC(FILTER($S$2:$S$429, $P$2:$P$429&lt;4.5), $S88), 1)"),0.741)</f>
        <v>0.741</v>
      </c>
      <c r="Y88" s="20">
        <f>IFERROR(__xludf.DUMMYFUNCTION("iferror(PERCENTRANK.INC(FILTER($S$2:$S$429, $P$2:$P$429&gt;=4.1), $S88), 0.01)"),0.181)</f>
        <v>0.181</v>
      </c>
    </row>
    <row r="89" ht="14.25" customHeight="1">
      <c r="A89" s="14" t="s">
        <v>1042</v>
      </c>
      <c r="B89" s="14" t="s">
        <v>515</v>
      </c>
      <c r="C89" s="14">
        <v>2.0</v>
      </c>
      <c r="D89" s="14" t="s">
        <v>955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52.89702111</v>
      </c>
      <c r="U89" s="20">
        <f t="shared" si="3"/>
        <v>6.171457125</v>
      </c>
      <c r="W89" s="20">
        <f>IFERROR(__xludf.DUMMYFUNCTION("iferror(PERCENTRANK.INC(FILTER($S$2:$S$429, $P$2:$P$429&lt;3.75), $S89), 1)"),0.894)</f>
        <v>0.894</v>
      </c>
      <c r="X89" s="20">
        <f>IFERROR(__xludf.DUMMYFUNCTION("iferror(PERCENTRANK.INC(FILTER($S$2:$S$429, $P$2:$P$429&lt;4.5), $S89), 1)"),0.736)</f>
        <v>0.736</v>
      </c>
      <c r="Y89" s="20">
        <f>IFERROR(__xludf.DUMMYFUNCTION("iferror(PERCENTRANK.INC(FILTER($S$2:$S$429, $P$2:$P$429&gt;=4.1), $S89), 0.01)"),0.167)</f>
        <v>0.167</v>
      </c>
    </row>
    <row r="90" ht="14.25" customHeight="1">
      <c r="A90" s="14" t="s">
        <v>1043</v>
      </c>
      <c r="B90" s="14" t="s">
        <v>357</v>
      </c>
      <c r="C90" s="14" t="s">
        <v>955</v>
      </c>
      <c r="D90" s="14" t="s">
        <v>955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52.77385434</v>
      </c>
      <c r="U90" s="20">
        <f t="shared" si="3"/>
        <v>6.238178019</v>
      </c>
      <c r="W90" s="20">
        <f>IFERROR(__xludf.DUMMYFUNCTION("iferror(PERCENTRANK.INC(FILTER($S$2:$S$429, $P$2:$P$429&lt;3.75), $S90), 1)"),0.893)</f>
        <v>0.893</v>
      </c>
      <c r="X90" s="20">
        <f>IFERROR(__xludf.DUMMYFUNCTION("iferror(PERCENTRANK.INC(FILTER($S$2:$S$429, $P$2:$P$429&lt;4.5), $S90), 1)"),0.732)</f>
        <v>0.732</v>
      </c>
      <c r="Y90" s="20">
        <f>IFERROR(__xludf.DUMMYFUNCTION("iferror(PERCENTRANK.INC(FILTER($S$2:$S$429, $P$2:$P$429&gt;=4.1), $S90), 0.01)"),0.163)</f>
        <v>0.163</v>
      </c>
    </row>
    <row r="91" ht="14.25" customHeight="1">
      <c r="A91" s="14" t="s">
        <v>1044</v>
      </c>
      <c r="B91" s="14" t="s">
        <v>104</v>
      </c>
      <c r="C91" s="14" t="s">
        <v>955</v>
      </c>
      <c r="D91" s="14" t="s">
        <v>955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52.6458533</v>
      </c>
      <c r="U91" s="20">
        <f t="shared" si="3"/>
        <v>7.752148974</v>
      </c>
      <c r="W91" s="20">
        <f>IFERROR(__xludf.DUMMYFUNCTION("iferror(PERCENTRANK.INC(FILTER($S$2:$S$429, $P$2:$P$429&lt;3.75), $S91), 1)"),0.893)</f>
        <v>0.893</v>
      </c>
      <c r="X91" s="20">
        <f>IFERROR(__xludf.DUMMYFUNCTION("iferror(PERCENTRANK.INC(FILTER($S$2:$S$429, $P$2:$P$429&lt;4.5), $S91), 1)"),0.727)</f>
        <v>0.727</v>
      </c>
      <c r="Y91" s="20">
        <f>IFERROR(__xludf.DUMMYFUNCTION("iferror(PERCENTRANK.INC(FILTER($S$2:$S$429, $P$2:$P$429&gt;=4.1), $S91), 0.01)"),0.159)</f>
        <v>0.159</v>
      </c>
    </row>
    <row r="92" ht="14.25" customHeight="1">
      <c r="A92" s="14" t="s">
        <v>1045</v>
      </c>
      <c r="B92" s="14" t="s">
        <v>175</v>
      </c>
      <c r="C92" s="16">
        <v>7.0</v>
      </c>
      <c r="D92" s="14" t="s">
        <v>955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52.63359483</v>
      </c>
      <c r="U92" s="20">
        <f t="shared" si="3"/>
        <v>0.1412091972</v>
      </c>
      <c r="W92" s="20">
        <f>IFERROR(__xludf.DUMMYFUNCTION("iferror(PERCENTRANK.INC(FILTER($S$2:$S$429, $P$2:$P$429&lt;3.75), $S92), 1)"),0.891)</f>
        <v>0.891</v>
      </c>
      <c r="X92" s="20">
        <f>IFERROR(__xludf.DUMMYFUNCTION("iferror(PERCENTRANK.INC(FILTER($S$2:$S$429, $P$2:$P$429&lt;4.5), $S92), 1)"),0.723)</f>
        <v>0.723</v>
      </c>
      <c r="Y92" s="20">
        <f>IFERROR(__xludf.DUMMYFUNCTION("iferror(PERCENTRANK.INC(FILTER($S$2:$S$429, $P$2:$P$429&gt;=4.1), $S92), 0.01)"),0.159)</f>
        <v>0.159</v>
      </c>
    </row>
    <row r="93" ht="14.25" customHeight="1">
      <c r="A93" s="14" t="s">
        <v>1046</v>
      </c>
      <c r="B93" s="14" t="s">
        <v>607</v>
      </c>
      <c r="C93" s="14">
        <v>0.0</v>
      </c>
      <c r="D93" s="14" t="s">
        <v>955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52.5788657</v>
      </c>
      <c r="U93" s="20">
        <f t="shared" si="3"/>
        <v>-6.152396138</v>
      </c>
      <c r="W93" s="20">
        <f>IFERROR(__xludf.DUMMYFUNCTION("iferror(PERCENTRANK.INC(FILTER($S$2:$S$429, $P$2:$P$429&lt;3.75), $S93), 1)"),0.886)</f>
        <v>0.886</v>
      </c>
      <c r="X93" s="20">
        <f>IFERROR(__xludf.DUMMYFUNCTION("iferror(PERCENTRANK.INC(FILTER($S$2:$S$429, $P$2:$P$429&lt;4.5), $S93), 1)"),0.718)</f>
        <v>0.718</v>
      </c>
      <c r="Y93" s="20">
        <f>IFERROR(__xludf.DUMMYFUNCTION("iferror(PERCENTRANK.INC(FILTER($S$2:$S$429, $P$2:$P$429&gt;=4.1), $S93), 0.01)"),0.157)</f>
        <v>0.157</v>
      </c>
    </row>
    <row r="94" ht="14.25" customHeight="1">
      <c r="A94" s="14" t="s">
        <v>1047</v>
      </c>
      <c r="B94" s="14" t="s">
        <v>104</v>
      </c>
      <c r="C94" s="14" t="s">
        <v>955</v>
      </c>
      <c r="D94" s="14" t="s">
        <v>955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52.37526479</v>
      </c>
      <c r="U94" s="20">
        <f t="shared" si="3"/>
        <v>-4.962624044</v>
      </c>
      <c r="W94" s="20">
        <f>IFERROR(__xludf.DUMMYFUNCTION("iferror(PERCENTRANK.INC(FILTER($S$2:$S$429, $P$2:$P$429&lt;3.75), $S94), 1)"),0.879)</f>
        <v>0.879</v>
      </c>
      <c r="X94" s="20">
        <f>IFERROR(__xludf.DUMMYFUNCTION("iferror(PERCENTRANK.INC(FILTER($S$2:$S$429, $P$2:$P$429&lt;4.5), $S94), 1)"),0.714)</f>
        <v>0.714</v>
      </c>
      <c r="Y94" s="20">
        <f>IFERROR(__xludf.DUMMYFUNCTION("iferror(PERCENTRANK.INC(FILTER($S$2:$S$429, $P$2:$P$429&gt;=4.1), $S94), 0.01)"),0.151)</f>
        <v>0.151</v>
      </c>
    </row>
    <row r="95" ht="14.25" customHeight="1">
      <c r="A95" s="14" t="s">
        <v>1048</v>
      </c>
      <c r="B95" s="14" t="s">
        <v>463</v>
      </c>
      <c r="C95" s="14" t="s">
        <v>955</v>
      </c>
      <c r="D95" s="14" t="s">
        <v>955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52.1210628</v>
      </c>
      <c r="U95" s="20">
        <f t="shared" si="3"/>
        <v>10.64460537</v>
      </c>
      <c r="W95" s="20">
        <f>IFERROR(__xludf.DUMMYFUNCTION("iferror(PERCENTRANK.INC(FILTER($S$2:$S$429, $P$2:$P$429&lt;3.75), $S95), 1)"),0.876)</f>
        <v>0.876</v>
      </c>
      <c r="X95" s="20">
        <f>IFERROR(__xludf.DUMMYFUNCTION("iferror(PERCENTRANK.INC(FILTER($S$2:$S$429, $P$2:$P$429&lt;4.5), $S95), 1)"),0.709)</f>
        <v>0.709</v>
      </c>
      <c r="Y95" s="20">
        <f>IFERROR(__xludf.DUMMYFUNCTION("iferror(PERCENTRANK.INC(FILTER($S$2:$S$429, $P$2:$P$429&gt;=4.1), $S95), 0.01)"),0.143)</f>
        <v>0.143</v>
      </c>
    </row>
    <row r="96" ht="14.25" customHeight="1">
      <c r="A96" s="14" t="s">
        <v>1049</v>
      </c>
      <c r="B96" s="14" t="s">
        <v>156</v>
      </c>
      <c r="C96" s="14" t="s">
        <v>955</v>
      </c>
      <c r="D96" s="14" t="s">
        <v>955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52.03928209</v>
      </c>
      <c r="U96" s="20">
        <f t="shared" si="3"/>
        <v>2.384431429</v>
      </c>
      <c r="W96" s="20">
        <f>IFERROR(__xludf.DUMMYFUNCTION("iferror(PERCENTRANK.INC(FILTER($S$2:$S$429, $P$2:$P$429&lt;3.75), $S96), 1)"),0.875)</f>
        <v>0.875</v>
      </c>
      <c r="X96" s="20">
        <f>IFERROR(__xludf.DUMMYFUNCTION("iferror(PERCENTRANK.INC(FILTER($S$2:$S$429, $P$2:$P$429&lt;4.5), $S96), 1)"),0.705)</f>
        <v>0.705</v>
      </c>
      <c r="Y96" s="20">
        <f>IFERROR(__xludf.DUMMYFUNCTION("iferror(PERCENTRANK.INC(FILTER($S$2:$S$429, $P$2:$P$429&gt;=4.1), $S96), 0.01)"),0.141)</f>
        <v>0.141</v>
      </c>
    </row>
    <row r="97" ht="14.25" customHeight="1">
      <c r="A97" s="14" t="s">
        <v>1050</v>
      </c>
      <c r="B97" s="14" t="s">
        <v>390</v>
      </c>
      <c r="C97" s="14">
        <v>19.0</v>
      </c>
      <c r="D97" s="14" t="s">
        <v>955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51.97614626</v>
      </c>
      <c r="U97" s="20">
        <f t="shared" si="3"/>
        <v>-2.755583087</v>
      </c>
      <c r="W97" s="20">
        <f>IFERROR(__xludf.DUMMYFUNCTION("iferror(PERCENTRANK.INC(FILTER($S$2:$S$429, $P$2:$P$429&lt;3.75), $S97), 1)"),0.875)</f>
        <v>0.875</v>
      </c>
      <c r="X97" s="20">
        <f>IFERROR(__xludf.DUMMYFUNCTION("iferror(PERCENTRANK.INC(FILTER($S$2:$S$429, $P$2:$P$429&lt;4.5), $S97), 1)"),0.7)</f>
        <v>0.7</v>
      </c>
      <c r="Y97" s="20">
        <f>IFERROR(__xludf.DUMMYFUNCTION("iferror(PERCENTRANK.INC(FILTER($S$2:$S$429, $P$2:$P$429&gt;=4.1), $S97), 0.01)"),0.139)</f>
        <v>0.139</v>
      </c>
    </row>
    <row r="98" ht="14.25" customHeight="1">
      <c r="A98" s="14" t="s">
        <v>1051</v>
      </c>
      <c r="B98" s="14" t="s">
        <v>427</v>
      </c>
      <c r="C98" s="14">
        <v>18.0</v>
      </c>
      <c r="D98" s="14" t="s">
        <v>955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51.81370254</v>
      </c>
      <c r="U98" s="20">
        <f t="shared" si="3"/>
        <v>5.777979567</v>
      </c>
      <c r="W98" s="20">
        <f>IFERROR(__xludf.DUMMYFUNCTION("iferror(PERCENTRANK.INC(FILTER($S$2:$S$429, $P$2:$P$429&lt;3.75), $S98), 1)"),0.873)</f>
        <v>0.873</v>
      </c>
      <c r="X98" s="20">
        <f>IFERROR(__xludf.DUMMYFUNCTION("iferror(PERCENTRANK.INC(FILTER($S$2:$S$429, $P$2:$P$429&lt;4.5), $S98), 1)"),0.696)</f>
        <v>0.696</v>
      </c>
      <c r="Y98" s="20">
        <f>IFERROR(__xludf.DUMMYFUNCTION("iferror(PERCENTRANK.INC(FILTER($S$2:$S$429, $P$2:$P$429&gt;=4.1), $S98), 0.01)"),0.125)</f>
        <v>0.125</v>
      </c>
    </row>
    <row r="99" ht="14.25" customHeight="1">
      <c r="A99" s="14" t="s">
        <v>1052</v>
      </c>
      <c r="B99" s="14" t="s">
        <v>202</v>
      </c>
      <c r="C99" s="14" t="s">
        <v>955</v>
      </c>
      <c r="D99" s="14" t="s">
        <v>955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51.78790506</v>
      </c>
      <c r="U99" s="20">
        <f t="shared" si="3"/>
        <v>-12.07842397</v>
      </c>
      <c r="W99" s="20">
        <f>IFERROR(__xludf.DUMMYFUNCTION("iferror(PERCENTRANK.INC(FILTER($S$2:$S$429, $P$2:$P$429&lt;3.75), $S99), 1)"),0.872)</f>
        <v>0.872</v>
      </c>
      <c r="X99" s="20">
        <f>IFERROR(__xludf.DUMMYFUNCTION("iferror(PERCENTRANK.INC(FILTER($S$2:$S$429, $P$2:$P$429&lt;4.5), $S99), 1)"),0.695)</f>
        <v>0.695</v>
      </c>
      <c r="Y99" s="20">
        <f>IFERROR(__xludf.DUMMYFUNCTION("iferror(PERCENTRANK.INC(FILTER($S$2:$S$429, $P$2:$P$429&gt;=4.1), $S99), 0.01)"),0.125)</f>
        <v>0.125</v>
      </c>
    </row>
    <row r="100" ht="14.25" customHeight="1">
      <c r="A100" s="14" t="s">
        <v>1053</v>
      </c>
      <c r="B100" s="14" t="s">
        <v>107</v>
      </c>
      <c r="C100" s="14">
        <v>6.0</v>
      </c>
      <c r="D100" s="14" t="s">
        <v>955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51.43360195</v>
      </c>
      <c r="U100" s="20">
        <f t="shared" si="3"/>
        <v>-14.21021962</v>
      </c>
      <c r="W100" s="20">
        <f>IFERROR(__xludf.DUMMYFUNCTION("iferror(PERCENTRANK.INC(FILTER($S$2:$S$429, $P$2:$P$429&lt;3.75), $S100), 1)"),0.866)</f>
        <v>0.866</v>
      </c>
      <c r="X100" s="20">
        <f>IFERROR(__xludf.DUMMYFUNCTION("iferror(PERCENTRANK.INC(FILTER($S$2:$S$429, $P$2:$P$429&lt;4.5), $S100), 1)"),0.691)</f>
        <v>0.691</v>
      </c>
      <c r="Y100" s="20">
        <f>IFERROR(__xludf.DUMMYFUNCTION("iferror(PERCENTRANK.INC(FILTER($S$2:$S$429, $P$2:$P$429&gt;=4.1), $S100), 0.01)"),0.12)</f>
        <v>0.12</v>
      </c>
    </row>
    <row r="101" ht="14.25" customHeight="1">
      <c r="A101" s="14" t="s">
        <v>1054</v>
      </c>
      <c r="B101" s="14" t="s">
        <v>386</v>
      </c>
      <c r="C101" s="14">
        <v>3.0</v>
      </c>
      <c r="D101" s="14" t="s">
        <v>955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50.8030444</v>
      </c>
      <c r="U101" s="20">
        <f t="shared" si="3"/>
        <v>0.004210565891</v>
      </c>
      <c r="W101" s="20">
        <f>IFERROR(__xludf.DUMMYFUNCTION("iferror(PERCENTRANK.INC(FILTER($S$2:$S$429, $P$2:$P$429&lt;3.75), $S101), 1)"),0.86)</f>
        <v>0.86</v>
      </c>
      <c r="X101" s="20">
        <f>IFERROR(__xludf.DUMMYFUNCTION("iferror(PERCENTRANK.INC(FILTER($S$2:$S$429, $P$2:$P$429&lt;4.5), $S101), 1)"),0.686)</f>
        <v>0.686</v>
      </c>
      <c r="Y101" s="20">
        <f>IFERROR(__xludf.DUMMYFUNCTION("iferror(PERCENTRANK.INC(FILTER($S$2:$S$429, $P$2:$P$429&gt;=4.1), $S101), 0.01)"),0.111)</f>
        <v>0.111</v>
      </c>
    </row>
    <row r="102" ht="14.25" customHeight="1">
      <c r="A102" s="14" t="s">
        <v>1055</v>
      </c>
      <c r="B102" s="14" t="s">
        <v>643</v>
      </c>
      <c r="C102" s="14" t="s">
        <v>955</v>
      </c>
      <c r="D102" s="14" t="s">
        <v>955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50.64190877</v>
      </c>
      <c r="U102" s="20">
        <f t="shared" si="3"/>
        <v>3.862315391</v>
      </c>
      <c r="W102" s="20">
        <f>IFERROR(__xludf.DUMMYFUNCTION("iferror(PERCENTRANK.INC(FILTER($S$2:$S$429, $P$2:$P$429&lt;3.75), $S102), 1)"),0.859)</f>
        <v>0.859</v>
      </c>
      <c r="X102" s="20">
        <f>IFERROR(__xludf.DUMMYFUNCTION("iferror(PERCENTRANK.INC(FILTER($S$2:$S$429, $P$2:$P$429&lt;4.5), $S102), 1)"),0.682)</f>
        <v>0.682</v>
      </c>
      <c r="Y102" s="20">
        <f>IFERROR(__xludf.DUMMYFUNCTION("iferror(PERCENTRANK.INC(FILTER($S$2:$S$429, $P$2:$P$429&gt;=4.1), $S102), 0.01)"),0.109)</f>
        <v>0.109</v>
      </c>
    </row>
    <row r="103" ht="14.25" customHeight="1">
      <c r="A103" s="14" t="s">
        <v>1056</v>
      </c>
      <c r="B103" s="14" t="s">
        <v>479</v>
      </c>
      <c r="C103" s="14" t="s">
        <v>955</v>
      </c>
      <c r="D103" s="14" t="s">
        <v>955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50.32917607</v>
      </c>
      <c r="U103" s="20">
        <f t="shared" si="3"/>
        <v>3.340778289</v>
      </c>
      <c r="W103" s="20">
        <f>IFERROR(__xludf.DUMMYFUNCTION("iferror(PERCENTRANK.INC(FILTER($S$2:$S$429, $P$2:$P$429&lt;3.75), $S103), 1)"),0.858)</f>
        <v>0.858</v>
      </c>
      <c r="X103" s="20">
        <f>IFERROR(__xludf.DUMMYFUNCTION("iferror(PERCENTRANK.INC(FILTER($S$2:$S$429, $P$2:$P$429&lt;4.5), $S103), 1)"),0.677)</f>
        <v>0.677</v>
      </c>
      <c r="Y103" s="20">
        <f>IFERROR(__xludf.DUMMYFUNCTION("iferror(PERCENTRANK.INC(FILTER($S$2:$S$429, $P$2:$P$429&gt;=4.1), $S103), 0.01)"),0.104)</f>
        <v>0.104</v>
      </c>
    </row>
    <row r="104" ht="14.25" customHeight="1">
      <c r="A104" s="14" t="s">
        <v>1057</v>
      </c>
      <c r="B104" s="14" t="s">
        <v>183</v>
      </c>
      <c r="C104" s="14">
        <v>11.0</v>
      </c>
      <c r="D104" s="14" t="s">
        <v>955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49.92478312</v>
      </c>
      <c r="U104" s="20">
        <f t="shared" si="3"/>
        <v>-9.896883272</v>
      </c>
      <c r="W104" s="20">
        <f>IFERROR(__xludf.DUMMYFUNCTION("iferror(PERCENTRANK.INC(FILTER($S$2:$S$429, $P$2:$P$429&lt;3.75), $S104), 1)"),0.856)</f>
        <v>0.856</v>
      </c>
      <c r="X104" s="20">
        <f>IFERROR(__xludf.DUMMYFUNCTION("iferror(PERCENTRANK.INC(FILTER($S$2:$S$429, $P$2:$P$429&lt;4.5), $S104), 1)"),0.673)</f>
        <v>0.673</v>
      </c>
      <c r="Y104" s="20">
        <f>IFERROR(__xludf.DUMMYFUNCTION("iferror(PERCENTRANK.INC(FILTER($S$2:$S$429, $P$2:$P$429&gt;=4.1), $S104), 0.01)"),0.097)</f>
        <v>0.097</v>
      </c>
    </row>
    <row r="105" ht="14.25" customHeight="1">
      <c r="A105" s="14" t="s">
        <v>1058</v>
      </c>
      <c r="B105" s="14" t="s">
        <v>355</v>
      </c>
      <c r="C105" s="14">
        <v>3.0</v>
      </c>
      <c r="D105" s="14" t="s">
        <v>955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49.38602263</v>
      </c>
      <c r="U105" s="20">
        <f t="shared" si="3"/>
        <v>2.795369249</v>
      </c>
      <c r="W105" s="20">
        <f>IFERROR(__xludf.DUMMYFUNCTION("iferror(PERCENTRANK.INC(FILTER($S$2:$S$429, $P$2:$P$429&lt;3.75), $S105), 1)"),0.854)</f>
        <v>0.854</v>
      </c>
      <c r="X105" s="20">
        <f>IFERROR(__xludf.DUMMYFUNCTION("iferror(PERCENTRANK.INC(FILTER($S$2:$S$429, $P$2:$P$429&lt;4.5), $S105), 1)"),0.67)</f>
        <v>0.67</v>
      </c>
      <c r="Y105" s="20">
        <f>IFERROR(__xludf.DUMMYFUNCTION("iferror(PERCENTRANK.INC(FILTER($S$2:$S$429, $P$2:$P$429&gt;=4.1), $S105), 0.01)"),0.083)</f>
        <v>0.083</v>
      </c>
    </row>
    <row r="106" ht="14.25" customHeight="1">
      <c r="A106" s="14" t="s">
        <v>1059</v>
      </c>
      <c r="B106" s="14" t="s">
        <v>223</v>
      </c>
      <c r="C106" s="16">
        <v>8.0</v>
      </c>
      <c r="D106" s="14" t="s">
        <v>955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40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49.01847762</v>
      </c>
      <c r="U106" s="20">
        <f t="shared" si="3"/>
        <v>-4.715565129</v>
      </c>
      <c r="W106" s="20">
        <f>IFERROR(__xludf.DUMMYFUNCTION("iferror(PERCENTRANK.INC(FILTER($S$2:$S$429, $P$2:$P$429&lt;3.75), $S106), 1)"),0.852)</f>
        <v>0.852</v>
      </c>
      <c r="X106" s="20">
        <f>IFERROR(__xludf.DUMMYFUNCTION("iferror(PERCENTRANK.INC(FILTER($S$2:$S$429, $P$2:$P$429&lt;4.5), $S106), 1)"),0.664)</f>
        <v>0.664</v>
      </c>
      <c r="Y106" s="20">
        <f>IFERROR(__xludf.DUMMYFUNCTION("iferror(PERCENTRANK.INC(FILTER($S$2:$S$429, $P$2:$P$429&gt;=4.1), $S106), 0.01)"),0.075)</f>
        <v>0.075</v>
      </c>
    </row>
    <row r="107" ht="14.25" customHeight="1">
      <c r="A107" s="14" t="s">
        <v>1060</v>
      </c>
      <c r="B107" s="14" t="s">
        <v>360</v>
      </c>
      <c r="C107" s="14" t="s">
        <v>955</v>
      </c>
      <c r="D107" s="14" t="s">
        <v>955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48.48666633</v>
      </c>
      <c r="U107" s="20">
        <f t="shared" si="3"/>
        <v>1.623947113</v>
      </c>
      <c r="W107" s="20">
        <f>IFERROR(__xludf.DUMMYFUNCTION("iferror(PERCENTRANK.INC(FILTER($S$2:$S$429, $P$2:$P$429&lt;3.75), $S107), 1)"),0.849)</f>
        <v>0.849</v>
      </c>
      <c r="X107" s="20">
        <f>IFERROR(__xludf.DUMMYFUNCTION("iferror(PERCENTRANK.INC(FILTER($S$2:$S$429, $P$2:$P$429&lt;4.5), $S107), 1)"),0.659)</f>
        <v>0.659</v>
      </c>
      <c r="Y107" s="20">
        <f>IFERROR(__xludf.DUMMYFUNCTION("iferror(PERCENTRANK.INC(FILTER($S$2:$S$429, $P$2:$P$429&gt;=4.1), $S107), 0.01)"),0.067)</f>
        <v>0.067</v>
      </c>
    </row>
    <row r="108" ht="14.25" customHeight="1">
      <c r="A108" s="14" t="s">
        <v>1061</v>
      </c>
      <c r="B108" s="14" t="s">
        <v>505</v>
      </c>
      <c r="C108" s="14" t="s">
        <v>955</v>
      </c>
      <c r="D108" s="14" t="s">
        <v>955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48.26378388</v>
      </c>
      <c r="U108" s="20">
        <f t="shared" si="3"/>
        <v>-7.274580986</v>
      </c>
      <c r="W108" s="20">
        <f>IFERROR(__xludf.DUMMYFUNCTION("iferror(PERCENTRANK.INC(FILTER($S$2:$S$429, $P$2:$P$429&lt;3.75), $S108), 1)"),0.848)</f>
        <v>0.848</v>
      </c>
      <c r="X108" s="20">
        <f>IFERROR(__xludf.DUMMYFUNCTION("iferror(PERCENTRANK.INC(FILTER($S$2:$S$429, $P$2:$P$429&lt;4.5), $S108), 1)"),0.655)</f>
        <v>0.655</v>
      </c>
      <c r="Y108" s="20">
        <f>IFERROR(__xludf.DUMMYFUNCTION("iferror(PERCENTRANK.INC(FILTER($S$2:$S$429, $P$2:$P$429&gt;=4.1), $S108), 0.01)"),0.065)</f>
        <v>0.065</v>
      </c>
    </row>
    <row r="109" ht="14.25" customHeight="1">
      <c r="A109" s="14" t="s">
        <v>1062</v>
      </c>
      <c r="B109" s="14" t="s">
        <v>748</v>
      </c>
      <c r="C109" s="14">
        <v>5.0</v>
      </c>
      <c r="D109" s="14" t="s">
        <v>955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47.87539024</v>
      </c>
      <c r="U109" s="20">
        <f t="shared" si="3"/>
        <v>-8.990774321</v>
      </c>
      <c r="W109" s="20">
        <f>IFERROR(__xludf.DUMMYFUNCTION("iferror(PERCENTRANK.INC(FILTER($S$2:$S$429, $P$2:$P$429&lt;3.75), $S109), 1)"),0.846)</f>
        <v>0.846</v>
      </c>
      <c r="X109" s="20">
        <f>IFERROR(__xludf.DUMMYFUNCTION("iferror(PERCENTRANK.INC(FILTER($S$2:$S$429, $P$2:$P$429&lt;4.5), $S109), 1)"),0.65)</f>
        <v>0.65</v>
      </c>
      <c r="Y109" s="20">
        <f>IFERROR(__xludf.DUMMYFUNCTION("iferror(PERCENTRANK.INC(FILTER($S$2:$S$429, $P$2:$P$429&gt;=4.1), $S109), 0.01)"),0.061)</f>
        <v>0.061</v>
      </c>
    </row>
    <row r="110" ht="14.25" customHeight="1">
      <c r="A110" s="14" t="s">
        <v>1063</v>
      </c>
      <c r="B110" s="14" t="s">
        <v>401</v>
      </c>
      <c r="C110" s="14" t="s">
        <v>955</v>
      </c>
      <c r="D110" s="14" t="s">
        <v>955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47.47943352</v>
      </c>
      <c r="U110" s="20">
        <f t="shared" si="3"/>
        <v>-3.319309552</v>
      </c>
      <c r="W110" s="20">
        <f>IFERROR(__xludf.DUMMYFUNCTION("iferror(PERCENTRANK.INC(FILTER($S$2:$S$429, $P$2:$P$429&lt;3.75), $S110), 1)"),0.839)</f>
        <v>0.839</v>
      </c>
      <c r="X110" s="20">
        <f>IFERROR(__xludf.DUMMYFUNCTION("iferror(PERCENTRANK.INC(FILTER($S$2:$S$429, $P$2:$P$429&lt;4.5), $S110), 1)"),0.645)</f>
        <v>0.645</v>
      </c>
      <c r="Y110" s="20">
        <f>IFERROR(__xludf.DUMMYFUNCTION("iferror(PERCENTRANK.INC(FILTER($S$2:$S$429, $P$2:$P$429&gt;=4.1), $S110), 0.01)"),0.057)</f>
        <v>0.057</v>
      </c>
    </row>
    <row r="111" ht="14.25" customHeight="1">
      <c r="A111" s="14" t="s">
        <v>1064</v>
      </c>
      <c r="B111" s="14" t="s">
        <v>151</v>
      </c>
      <c r="C111" s="14">
        <v>1.0</v>
      </c>
      <c r="D111" s="14" t="s">
        <v>955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47.38515914</v>
      </c>
      <c r="U111" s="20">
        <f t="shared" si="3"/>
        <v>5.482240205</v>
      </c>
      <c r="W111" s="20">
        <f>IFERROR(__xludf.DUMMYFUNCTION("iferror(PERCENTRANK.INC(FILTER($S$2:$S$429, $P$2:$P$429&lt;3.75), $S111), 1)"),0.832)</f>
        <v>0.832</v>
      </c>
      <c r="X111" s="20">
        <f>IFERROR(__xludf.DUMMYFUNCTION("iferror(PERCENTRANK.INC(FILTER($S$2:$S$429, $P$2:$P$429&lt;4.5), $S111), 1)"),0.641)</f>
        <v>0.641</v>
      </c>
      <c r="Y111" s="20">
        <f>IFERROR(__xludf.DUMMYFUNCTION("iferror(PERCENTRANK.INC(FILTER($S$2:$S$429, $P$2:$P$429&gt;=4.1), $S111), 0.01)"),0.056)</f>
        <v>0.056</v>
      </c>
    </row>
    <row r="112" ht="14.25" customHeight="1">
      <c r="A112" s="14" t="s">
        <v>1065</v>
      </c>
      <c r="B112" s="14" t="s">
        <v>429</v>
      </c>
      <c r="C112" s="14" t="s">
        <v>955</v>
      </c>
      <c r="D112" s="14" t="s">
        <v>955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47.31404651</v>
      </c>
      <c r="U112" s="20">
        <f t="shared" si="3"/>
        <v>3.811486821</v>
      </c>
      <c r="W112" s="20">
        <f>IFERROR(__xludf.DUMMYFUNCTION("iferror(PERCENTRANK.INC(FILTER($S$2:$S$429, $P$2:$P$429&lt;3.75), $S112), 1)"),0.826)</f>
        <v>0.826</v>
      </c>
      <c r="X112" s="20">
        <f>IFERROR(__xludf.DUMMYFUNCTION("iferror(PERCENTRANK.INC(FILTER($S$2:$S$429, $P$2:$P$429&lt;4.5), $S112), 1)"),0.636)</f>
        <v>0.636</v>
      </c>
      <c r="Y112" s="20">
        <f>IFERROR(__xludf.DUMMYFUNCTION("iferror(PERCENTRANK.INC(FILTER($S$2:$S$429, $P$2:$P$429&gt;=4.1), $S112), 0.01)"),0.056)</f>
        <v>0.056</v>
      </c>
    </row>
    <row r="113" ht="14.25" customHeight="1">
      <c r="A113" s="14" t="s">
        <v>1066</v>
      </c>
      <c r="B113" s="14" t="s">
        <v>299</v>
      </c>
      <c r="C113" s="14">
        <v>0.0</v>
      </c>
      <c r="D113" s="14" t="s">
        <v>955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47.30680345</v>
      </c>
      <c r="U113" s="20">
        <f t="shared" si="3"/>
        <v>-6.549427305</v>
      </c>
      <c r="W113" s="20">
        <f>IFERROR(__xludf.DUMMYFUNCTION("iferror(PERCENTRANK.INC(FILTER($S$2:$S$429, $P$2:$P$429&lt;3.75), $S113), 1)"),0.826)</f>
        <v>0.826</v>
      </c>
      <c r="X113" s="20">
        <f>IFERROR(__xludf.DUMMYFUNCTION("iferror(PERCENTRANK.INC(FILTER($S$2:$S$429, $P$2:$P$429&lt;4.5), $S113), 1)"),0.632)</f>
        <v>0.632</v>
      </c>
      <c r="Y113" s="20">
        <f>IFERROR(__xludf.DUMMYFUNCTION("iferror(PERCENTRANK.INC(FILTER($S$2:$S$429, $P$2:$P$429&gt;=4.1), $S113), 0.01)"),0.056)</f>
        <v>0.056</v>
      </c>
    </row>
    <row r="114" ht="14.25" customHeight="1">
      <c r="A114" s="14" t="s">
        <v>1067</v>
      </c>
      <c r="B114" s="14" t="s">
        <v>341</v>
      </c>
      <c r="C114" s="14" t="s">
        <v>955</v>
      </c>
      <c r="D114" s="14" t="s">
        <v>955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47.20438241</v>
      </c>
      <c r="U114" s="20">
        <f t="shared" si="3"/>
        <v>-0.5142301068</v>
      </c>
      <c r="W114" s="20">
        <f>IFERROR(__xludf.DUMMYFUNCTION("iferror(PERCENTRANK.INC(FILTER($S$2:$S$429, $P$2:$P$429&lt;3.75), $S114), 1)"),0.819)</f>
        <v>0.819</v>
      </c>
      <c r="X114" s="20">
        <f>IFERROR(__xludf.DUMMYFUNCTION("iferror(PERCENTRANK.INC(FILTER($S$2:$S$429, $P$2:$P$429&lt;4.5), $S114), 1)"),0.627)</f>
        <v>0.627</v>
      </c>
      <c r="Y114" s="20">
        <f>IFERROR(__xludf.DUMMYFUNCTION("iferror(PERCENTRANK.INC(FILTER($S$2:$S$429, $P$2:$P$429&gt;=4.1), $S114), 0.01)"),0.055)</f>
        <v>0.055</v>
      </c>
    </row>
    <row r="115" ht="14.25" customHeight="1">
      <c r="A115" s="14" t="s">
        <v>1068</v>
      </c>
      <c r="B115" s="14" t="s">
        <v>229</v>
      </c>
      <c r="C115" s="14" t="s">
        <v>955</v>
      </c>
      <c r="D115" s="14" t="s">
        <v>955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46.91736679</v>
      </c>
      <c r="U115" s="20">
        <f t="shared" si="3"/>
        <v>-6.583813452</v>
      </c>
      <c r="W115" s="20">
        <f>IFERROR(__xludf.DUMMYFUNCTION("iferror(PERCENTRANK.INC(FILTER($S$2:$S$429, $P$2:$P$429&lt;3.75), $S115), 1)"),0.812)</f>
        <v>0.812</v>
      </c>
      <c r="X115" s="20">
        <f>IFERROR(__xludf.DUMMYFUNCTION("iferror(PERCENTRANK.INC(FILTER($S$2:$S$429, $P$2:$P$429&lt;4.5), $S115), 1)"),0.623)</f>
        <v>0.623</v>
      </c>
      <c r="Y115" s="20">
        <f>IFERROR(__xludf.DUMMYFUNCTION("iferror(PERCENTRANK.INC(FILTER($S$2:$S$429, $P$2:$P$429&gt;=4.1), $S115), 0.01)"),0.053)</f>
        <v>0.053</v>
      </c>
    </row>
    <row r="116" ht="14.25" customHeight="1">
      <c r="A116" s="14" t="s">
        <v>1069</v>
      </c>
      <c r="B116" s="14" t="s">
        <v>475</v>
      </c>
      <c r="C116" s="14">
        <v>2.0</v>
      </c>
      <c r="D116" s="14" t="s">
        <v>955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46.91495855</v>
      </c>
      <c r="U116" s="20">
        <f t="shared" si="3"/>
        <v>0.09655616696</v>
      </c>
      <c r="W116" s="20">
        <f>IFERROR(__xludf.DUMMYFUNCTION("iferror(PERCENTRANK.INC(FILTER($S$2:$S$429, $P$2:$P$429&lt;3.75), $S116), 1)"),0.812)</f>
        <v>0.812</v>
      </c>
      <c r="X116" s="20">
        <f>IFERROR(__xludf.DUMMYFUNCTION("iferror(PERCENTRANK.INC(FILTER($S$2:$S$429, $P$2:$P$429&lt;4.5), $S116), 1)"),0.618)</f>
        <v>0.618</v>
      </c>
      <c r="Y116" s="20">
        <f>IFERROR(__xludf.DUMMYFUNCTION("iferror(PERCENTRANK.INC(FILTER($S$2:$S$429, $P$2:$P$429&gt;=4.1), $S116), 0.01)"),0.053)</f>
        <v>0.053</v>
      </c>
    </row>
    <row r="117" ht="14.25" customHeight="1">
      <c r="A117" s="14" t="s">
        <v>1070</v>
      </c>
      <c r="B117" s="14" t="s">
        <v>223</v>
      </c>
      <c r="C117" s="14" t="s">
        <v>955</v>
      </c>
      <c r="D117" s="14" t="s">
        <v>955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46.75165861</v>
      </c>
      <c r="U117" s="20">
        <f t="shared" si="3"/>
        <v>-2.585407844</v>
      </c>
      <c r="W117" s="20">
        <f>IFERROR(__xludf.DUMMYFUNCTION("iferror(PERCENTRANK.INC(FILTER($S$2:$S$429, $P$2:$P$429&lt;3.75), $S117), 1)"),0.805)</f>
        <v>0.805</v>
      </c>
      <c r="X117" s="20">
        <f>IFERROR(__xludf.DUMMYFUNCTION("iferror(PERCENTRANK.INC(FILTER($S$2:$S$429, $P$2:$P$429&lt;4.5), $S117), 1)"),0.614)</f>
        <v>0.614</v>
      </c>
      <c r="Y117" s="20">
        <f>IFERROR(__xludf.DUMMYFUNCTION("iferror(PERCENTRANK.INC(FILTER($S$2:$S$429, $P$2:$P$429&gt;=4.1), $S117), 0.01)"),0.052)</f>
        <v>0.052</v>
      </c>
    </row>
    <row r="118" ht="14.25" customHeight="1">
      <c r="A118" s="14" t="s">
        <v>1071</v>
      </c>
      <c r="B118" s="14" t="s">
        <v>471</v>
      </c>
      <c r="C118" s="14" t="s">
        <v>955</v>
      </c>
      <c r="D118" s="14" t="s">
        <v>955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46.47896503</v>
      </c>
      <c r="U118" s="20">
        <f t="shared" si="3"/>
        <v>4.056305227</v>
      </c>
      <c r="W118" s="20">
        <f>IFERROR(__xludf.DUMMYFUNCTION("iferror(PERCENTRANK.INC(FILTER($S$2:$S$429, $P$2:$P$429&lt;3.75), $S118), 1)"),0.802)</f>
        <v>0.802</v>
      </c>
      <c r="X118" s="20">
        <f>IFERROR(__xludf.DUMMYFUNCTION("iferror(PERCENTRANK.INC(FILTER($S$2:$S$429, $P$2:$P$429&lt;4.5), $S118), 1)"),0.609)</f>
        <v>0.609</v>
      </c>
      <c r="Y118" s="20">
        <f>IFERROR(__xludf.DUMMYFUNCTION("iferror(PERCENTRANK.INC(FILTER($S$2:$S$429, $P$2:$P$429&gt;=4.1), $S118), 0.01)"),0.051)</f>
        <v>0.051</v>
      </c>
    </row>
    <row r="119" ht="14.25" customHeight="1">
      <c r="A119" s="14" t="s">
        <v>1072</v>
      </c>
      <c r="B119" s="14" t="s">
        <v>439</v>
      </c>
      <c r="C119" s="14" t="s">
        <v>955</v>
      </c>
      <c r="D119" s="14" t="s">
        <v>955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46.16618614</v>
      </c>
      <c r="U119" s="20">
        <f t="shared" si="3"/>
        <v>-29.66371961</v>
      </c>
      <c r="W119" s="20">
        <f>IFERROR(__xludf.DUMMYFUNCTION("iferror(PERCENTRANK.INC(FILTER($S$2:$S$429, $P$2:$P$429&lt;3.75), $S119), 1)"),0.799)</f>
        <v>0.799</v>
      </c>
      <c r="X119" s="20">
        <f>IFERROR(__xludf.DUMMYFUNCTION("iferror(PERCENTRANK.INC(FILTER($S$2:$S$429, $P$2:$P$429&lt;4.5), $S119), 1)"),0.605)</f>
        <v>0.605</v>
      </c>
      <c r="Y119" s="20">
        <f>IFERROR(__xludf.DUMMYFUNCTION("iferror(PERCENTRANK.INC(FILTER($S$2:$S$429, $P$2:$P$429&gt;=4.1), $S119), 0.01)"),0.049)</f>
        <v>0.049</v>
      </c>
    </row>
    <row r="120" ht="14.25" customHeight="1">
      <c r="A120" s="14" t="s">
        <v>1073</v>
      </c>
      <c r="B120" s="14" t="s">
        <v>433</v>
      </c>
      <c r="C120" s="14">
        <v>4.0</v>
      </c>
      <c r="D120" s="14" t="s">
        <v>955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45.85994251</v>
      </c>
      <c r="U120" s="20">
        <f t="shared" si="3"/>
        <v>-2.875116682</v>
      </c>
      <c r="W120" s="20">
        <f>IFERROR(__xludf.DUMMYFUNCTION("iferror(PERCENTRANK.INC(FILTER($S$2:$S$429, $P$2:$P$429&lt;3.75), $S120), 1)"),0.792)</f>
        <v>0.792</v>
      </c>
      <c r="X120" s="20">
        <f>IFERROR(__xludf.DUMMYFUNCTION("iferror(PERCENTRANK.INC(FILTER($S$2:$S$429, $P$2:$P$429&lt;4.5), $S120), 1)"),0.6)</f>
        <v>0.6</v>
      </c>
      <c r="Y120" s="20">
        <f>IFERROR(__xludf.DUMMYFUNCTION("iferror(PERCENTRANK.INC(FILTER($S$2:$S$429, $P$2:$P$429&gt;=4.1), $S120), 0.01)"),0.047)</f>
        <v>0.047</v>
      </c>
    </row>
    <row r="121" ht="14.25" customHeight="1">
      <c r="A121" s="14" t="s">
        <v>1074</v>
      </c>
      <c r="B121" s="14" t="s">
        <v>473</v>
      </c>
      <c r="C121" s="14" t="s">
        <v>955</v>
      </c>
      <c r="D121" s="14" t="s">
        <v>955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45.79763616</v>
      </c>
      <c r="U121" s="20">
        <f t="shared" si="3"/>
        <v>-1.851397916</v>
      </c>
      <c r="W121" s="20">
        <f>IFERROR(__xludf.DUMMYFUNCTION("iferror(PERCENTRANK.INC(FILTER($S$2:$S$429, $P$2:$P$429&lt;3.75), $S121), 1)"),0.785)</f>
        <v>0.785</v>
      </c>
      <c r="X121" s="20">
        <f>IFERROR(__xludf.DUMMYFUNCTION("iferror(PERCENTRANK.INC(FILTER($S$2:$S$429, $P$2:$P$429&lt;4.5), $S121), 1)"),0.595)</f>
        <v>0.595</v>
      </c>
      <c r="Y121" s="20">
        <f>IFERROR(__xludf.DUMMYFUNCTION("iferror(PERCENTRANK.INC(FILTER($S$2:$S$429, $P$2:$P$429&gt;=4.1), $S121), 0.01)"),0.046)</f>
        <v>0.046</v>
      </c>
    </row>
    <row r="122" ht="14.25" customHeight="1">
      <c r="A122" s="14" t="s">
        <v>1075</v>
      </c>
      <c r="B122" s="14" t="s">
        <v>283</v>
      </c>
      <c r="C122" s="14">
        <v>5.0</v>
      </c>
      <c r="D122" s="14" t="s">
        <v>955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45.79216704</v>
      </c>
      <c r="U122" s="20">
        <f t="shared" si="3"/>
        <v>-3.733039467</v>
      </c>
      <c r="W122" s="20">
        <f>IFERROR(__xludf.DUMMYFUNCTION("iferror(PERCENTRANK.INC(FILTER($S$2:$S$429, $P$2:$P$429&lt;3.75), $S122), 1)"),0.779)</f>
        <v>0.779</v>
      </c>
      <c r="X122" s="20">
        <f>IFERROR(__xludf.DUMMYFUNCTION("iferror(PERCENTRANK.INC(FILTER($S$2:$S$429, $P$2:$P$429&lt;4.5), $S122), 1)"),0.591)</f>
        <v>0.591</v>
      </c>
      <c r="Y122" s="20">
        <f>IFERROR(__xludf.DUMMYFUNCTION("iferror(PERCENTRANK.INC(FILTER($S$2:$S$429, $P$2:$P$429&gt;=4.1), $S122), 0.01)"),0.046)</f>
        <v>0.046</v>
      </c>
    </row>
    <row r="123" ht="14.25" customHeight="1">
      <c r="A123" s="14" t="s">
        <v>1076</v>
      </c>
      <c r="B123" s="14" t="s">
        <v>373</v>
      </c>
      <c r="C123" s="14" t="s">
        <v>955</v>
      </c>
      <c r="D123" s="14" t="s">
        <v>955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45.60928858</v>
      </c>
      <c r="U123" s="20">
        <f t="shared" si="3"/>
        <v>1.474985332</v>
      </c>
      <c r="W123" s="20">
        <f>IFERROR(__xludf.DUMMYFUNCTION("iferror(PERCENTRANK.INC(FILTER($S$2:$S$429, $P$2:$P$429&lt;3.75), $S123), 1)"),0.778)</f>
        <v>0.778</v>
      </c>
      <c r="X123" s="20">
        <f>IFERROR(__xludf.DUMMYFUNCTION("iferror(PERCENTRANK.INC(FILTER($S$2:$S$429, $P$2:$P$429&lt;4.5), $S123), 1)"),0.586)</f>
        <v>0.586</v>
      </c>
      <c r="Y123" s="20">
        <f>IFERROR(__xludf.DUMMYFUNCTION("iferror(PERCENTRANK.INC(FILTER($S$2:$S$429, $P$2:$P$429&gt;=4.1), $S123), 0.01)"),0.045)</f>
        <v>0.045</v>
      </c>
    </row>
    <row r="124" ht="14.25" customHeight="1">
      <c r="A124" s="14" t="s">
        <v>1077</v>
      </c>
      <c r="B124" s="14" t="s">
        <v>600</v>
      </c>
      <c r="C124" s="14" t="s">
        <v>955</v>
      </c>
      <c r="D124" s="14" t="s">
        <v>955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44.99304194</v>
      </c>
      <c r="U124" s="20">
        <f t="shared" si="3"/>
        <v>-9.840203935</v>
      </c>
      <c r="W124" s="20">
        <f>IFERROR(__xludf.DUMMYFUNCTION("iferror(PERCENTRANK.INC(FILTER($S$2:$S$429, $P$2:$P$429&lt;3.75), $S124), 1)"),0.774)</f>
        <v>0.774</v>
      </c>
      <c r="X124" s="20">
        <f>IFERROR(__xludf.DUMMYFUNCTION("iferror(PERCENTRANK.INC(FILTER($S$2:$S$429, $P$2:$P$429&lt;4.5), $S124), 1)"),0.582)</f>
        <v>0.582</v>
      </c>
      <c r="Y124" s="20">
        <f>IFERROR(__xludf.DUMMYFUNCTION("iferror(PERCENTRANK.INC(FILTER($S$2:$S$429, $P$2:$P$429&gt;=4.1), $S124), 0.01)"),0.042)</f>
        <v>0.042</v>
      </c>
    </row>
    <row r="125" ht="14.25" customHeight="1">
      <c r="A125" s="14" t="s">
        <v>1078</v>
      </c>
      <c r="B125" s="14" t="s">
        <v>341</v>
      </c>
      <c r="C125" s="14" t="s">
        <v>955</v>
      </c>
      <c r="D125" s="14" t="s">
        <v>955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44.52438072</v>
      </c>
      <c r="U125" s="20">
        <f t="shared" si="3"/>
        <v>3.879068583</v>
      </c>
      <c r="W125" s="20">
        <f>IFERROR(__xludf.DUMMYFUNCTION("iferror(PERCENTRANK.INC(FILTER($S$2:$S$429, $P$2:$P$429&lt;3.75), $S125), 1)"),0.772)</f>
        <v>0.772</v>
      </c>
      <c r="X125" s="20">
        <f>IFERROR(__xludf.DUMMYFUNCTION("iferror(PERCENTRANK.INC(FILTER($S$2:$S$429, $P$2:$P$429&lt;4.5), $S125), 1)"),0.577)</f>
        <v>0.577</v>
      </c>
      <c r="Y125" s="20">
        <f>IFERROR(__xludf.DUMMYFUNCTION("iferror(PERCENTRANK.INC(FILTER($S$2:$S$429, $P$2:$P$429&gt;=4.1), $S125), 0.01)"),0.038)</f>
        <v>0.038</v>
      </c>
    </row>
    <row r="126" ht="14.25" customHeight="1">
      <c r="A126" s="14" t="s">
        <v>1079</v>
      </c>
      <c r="B126" s="14" t="s">
        <v>664</v>
      </c>
      <c r="C126" s="14" t="s">
        <v>955</v>
      </c>
      <c r="D126" s="14" t="s">
        <v>955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44.44447189</v>
      </c>
      <c r="U126" s="20">
        <f t="shared" si="3"/>
        <v>-11.71095998</v>
      </c>
      <c r="W126" s="20">
        <f>IFERROR(__xludf.DUMMYFUNCTION("iferror(PERCENTRANK.INC(FILTER($S$2:$S$429, $P$2:$P$429&lt;3.75), $S126), 1)"),0.765)</f>
        <v>0.765</v>
      </c>
      <c r="X126" s="20">
        <f>IFERROR(__xludf.DUMMYFUNCTION("iferror(PERCENTRANK.INC(FILTER($S$2:$S$429, $P$2:$P$429&lt;4.5), $S126), 1)"),0.573)</f>
        <v>0.573</v>
      </c>
      <c r="Y126" s="20">
        <f>IFERROR(__xludf.DUMMYFUNCTION("iferror(PERCENTRANK.INC(FILTER($S$2:$S$429, $P$2:$P$429&gt;=4.1), $S126), 0.01)"),0.038)</f>
        <v>0.038</v>
      </c>
    </row>
    <row r="127" ht="14.25" customHeight="1">
      <c r="A127" s="14" t="s">
        <v>1080</v>
      </c>
      <c r="B127" s="14" t="s">
        <v>519</v>
      </c>
      <c r="C127" s="14">
        <v>6.0</v>
      </c>
      <c r="D127" s="14" t="s">
        <v>955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44.22148386</v>
      </c>
      <c r="U127" s="20">
        <f t="shared" si="3"/>
        <v>-12.24236402</v>
      </c>
      <c r="W127" s="20">
        <f>IFERROR(__xludf.DUMMYFUNCTION("iferror(PERCENTRANK.INC(FILTER($S$2:$S$429, $P$2:$P$429&lt;3.75), $S127), 1)"),0.762)</f>
        <v>0.762</v>
      </c>
      <c r="X127" s="20">
        <f>IFERROR(__xludf.DUMMYFUNCTION("iferror(PERCENTRANK.INC(FILTER($S$2:$S$429, $P$2:$P$429&lt;4.5), $S127), 1)"),0.568)</f>
        <v>0.568</v>
      </c>
      <c r="Y127" s="20">
        <f>IFERROR(__xludf.DUMMYFUNCTION("iferror(PERCENTRANK.INC(FILTER($S$2:$S$429, $P$2:$P$429&gt;=4.1), $S127), 0.01)"),0.036)</f>
        <v>0.036</v>
      </c>
    </row>
    <row r="128" ht="14.25" customHeight="1">
      <c r="A128" s="14" t="s">
        <v>1081</v>
      </c>
      <c r="B128" s="14" t="s">
        <v>503</v>
      </c>
      <c r="C128" s="14" t="s">
        <v>955</v>
      </c>
      <c r="D128" s="14" t="s">
        <v>955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43.9941921</v>
      </c>
      <c r="U128" s="20">
        <f t="shared" si="3"/>
        <v>3.798665527</v>
      </c>
      <c r="W128" s="20">
        <f>IFERROR(__xludf.DUMMYFUNCTION("iferror(PERCENTRANK.INC(FILTER($S$2:$S$429, $P$2:$P$429&lt;3.75), $S128), 1)"),0.758)</f>
        <v>0.758</v>
      </c>
      <c r="X128" s="20">
        <f>IFERROR(__xludf.DUMMYFUNCTION("iferror(PERCENTRANK.INC(FILTER($S$2:$S$429, $P$2:$P$429&lt;4.5), $S128), 1)"),0.564)</f>
        <v>0.564</v>
      </c>
      <c r="Y128" s="20">
        <f>IFERROR(__xludf.DUMMYFUNCTION("iferror(PERCENTRANK.INC(FILTER($S$2:$S$429, $P$2:$P$429&gt;=4.1), $S128), 0.01)"),0.034)</f>
        <v>0.034</v>
      </c>
    </row>
    <row r="129" ht="14.25" customHeight="1">
      <c r="A129" s="14" t="s">
        <v>1082</v>
      </c>
      <c r="B129" s="14" t="s">
        <v>607</v>
      </c>
      <c r="C129" s="14">
        <v>1.0</v>
      </c>
      <c r="D129" s="14" t="s">
        <v>955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43.84493787</v>
      </c>
      <c r="U129" s="20">
        <f t="shared" si="3"/>
        <v>-15.12843319</v>
      </c>
      <c r="W129" s="20">
        <f>IFERROR(__xludf.DUMMYFUNCTION("iferror(PERCENTRANK.INC(FILTER($S$2:$S$429, $P$2:$P$429&lt;3.75), $S129), 1)"),0.752)</f>
        <v>0.752</v>
      </c>
      <c r="X129" s="20">
        <f>IFERROR(__xludf.DUMMYFUNCTION("iferror(PERCENTRANK.INC(FILTER($S$2:$S$429, $P$2:$P$429&lt;4.5), $S129), 1)"),0.559)</f>
        <v>0.559</v>
      </c>
      <c r="Y129" s="20">
        <f>IFERROR(__xludf.DUMMYFUNCTION("iferror(PERCENTRANK.INC(FILTER($S$2:$S$429, $P$2:$P$429&gt;=4.1), $S129), 0.01)"),0.033)</f>
        <v>0.033</v>
      </c>
    </row>
    <row r="130" ht="14.25" customHeight="1">
      <c r="A130" s="14" t="s">
        <v>1083</v>
      </c>
      <c r="B130" s="14" t="s">
        <v>491</v>
      </c>
      <c r="C130" s="14" t="s">
        <v>955</v>
      </c>
      <c r="D130" s="14" t="s">
        <v>955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43.09835703</v>
      </c>
      <c r="U130" s="20">
        <f t="shared" si="3"/>
        <v>-2.935779859</v>
      </c>
      <c r="W130" s="20">
        <f>IFERROR(__xludf.DUMMYFUNCTION("iferror(PERCENTRANK.INC(FILTER($S$2:$S$429, $P$2:$P$429&lt;3.75), $S130), 1)"),0.748)</f>
        <v>0.748</v>
      </c>
      <c r="X130" s="20">
        <f>IFERROR(__xludf.DUMMYFUNCTION("iferror(PERCENTRANK.INC(FILTER($S$2:$S$429, $P$2:$P$429&lt;4.5), $S130), 1)"),0.55)</f>
        <v>0.55</v>
      </c>
      <c r="Y130" s="20">
        <f>IFERROR(__xludf.DUMMYFUNCTION("iferror(PERCENTRANK.INC(FILTER($S$2:$S$429, $P$2:$P$429&gt;=4.1), $S130), 0.01)"),0.028)</f>
        <v>0.028</v>
      </c>
    </row>
    <row r="131" ht="14.25" customHeight="1">
      <c r="A131" s="14" t="s">
        <v>1084</v>
      </c>
      <c r="B131" s="14" t="s">
        <v>468</v>
      </c>
      <c r="C131" s="14" t="s">
        <v>955</v>
      </c>
      <c r="D131" s="14" t="s">
        <v>955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40">
        <v>3.47</v>
      </c>
      <c r="Q131" s="42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42.52700356</v>
      </c>
      <c r="U131" s="20">
        <f t="shared" si="3"/>
        <v>-1.233768296</v>
      </c>
      <c r="W131" s="20">
        <f>IFERROR(__xludf.DUMMYFUNCTION("iferror(PERCENTRANK.INC(FILTER($S$2:$S$429, $P$2:$P$429&lt;3.75), $S131), 1)"),0.745)</f>
        <v>0.745</v>
      </c>
      <c r="X131" s="20">
        <f>IFERROR(__xludf.DUMMYFUNCTION("iferror(PERCENTRANK.INC(FILTER($S$2:$S$429, $P$2:$P$429&lt;4.5), $S131), 1)"),0.545)</f>
        <v>0.545</v>
      </c>
      <c r="Y131" s="20">
        <f>IFERROR(__xludf.DUMMYFUNCTION("iferror(PERCENTRANK.INC(FILTER($S$2:$S$429, $P$2:$P$429&gt;=4.1), $S131), 0.01)"),0.025)</f>
        <v>0.025</v>
      </c>
    </row>
    <row r="132" ht="14.25" customHeight="1">
      <c r="A132" s="14" t="s">
        <v>1085</v>
      </c>
      <c r="B132" s="14" t="s">
        <v>206</v>
      </c>
      <c r="C132" s="14" t="s">
        <v>955</v>
      </c>
      <c r="D132" s="14" t="s">
        <v>955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42.29007371</v>
      </c>
      <c r="U132" s="20">
        <f t="shared" si="3"/>
        <v>-3.89507257</v>
      </c>
      <c r="W132" s="20">
        <f>IFERROR(__xludf.DUMMYFUNCTION("iferror(PERCENTRANK.INC(FILTER($S$2:$S$429, $P$2:$P$429&lt;3.75), $S132), 1)"),0.738)</f>
        <v>0.738</v>
      </c>
      <c r="X132" s="20">
        <f>IFERROR(__xludf.DUMMYFUNCTION("iferror(PERCENTRANK.INC(FILTER($S$2:$S$429, $P$2:$P$429&lt;4.5), $S132), 1)"),0.541)</f>
        <v>0.541</v>
      </c>
      <c r="Y132" s="20">
        <f>IFERROR(__xludf.DUMMYFUNCTION("iferror(PERCENTRANK.INC(FILTER($S$2:$S$429, $P$2:$P$429&gt;=4.1), $S132), 0.01)"),0.024)</f>
        <v>0.024</v>
      </c>
    </row>
    <row r="133" ht="14.25" customHeight="1">
      <c r="A133" s="17" t="s">
        <v>1086</v>
      </c>
      <c r="B133" s="17" t="s">
        <v>353</v>
      </c>
      <c r="D133" s="17" t="s">
        <v>955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2">
        <v>60.49</v>
      </c>
      <c r="M133" s="15"/>
      <c r="N133" s="37">
        <v>7.88</v>
      </c>
      <c r="O133" s="16">
        <v>2.55</v>
      </c>
      <c r="P133" s="37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42.08737618</v>
      </c>
      <c r="U133" s="20">
        <f t="shared" si="3"/>
        <v>-18.40262382</v>
      </c>
      <c r="W133" s="20">
        <f>IFERROR(__xludf.DUMMYFUNCTION("iferror(PERCENTRANK.INC(FILTER($S$2:$S$429, $P$2:$P$429&lt;3.75), $S133), 1)"),0.732)</f>
        <v>0.732</v>
      </c>
      <c r="X133" s="20">
        <f>IFERROR(__xludf.DUMMYFUNCTION("iferror(PERCENTRANK.INC(FILTER($S$2:$S$429, $P$2:$P$429&lt;4.5), $S133), 1)"),0.536)</f>
        <v>0.536</v>
      </c>
      <c r="Y133" s="20">
        <f>IFERROR(__xludf.DUMMYFUNCTION("iferror(PERCENTRANK.INC(FILTER($S$2:$S$429, $P$2:$P$429&gt;=4.1), $S133), 0.01)"),0.023)</f>
        <v>0.023</v>
      </c>
    </row>
    <row r="134" ht="14.25" customHeight="1">
      <c r="A134" s="14" t="s">
        <v>1086</v>
      </c>
      <c r="B134" s="14" t="s">
        <v>353</v>
      </c>
      <c r="C134" s="14" t="s">
        <v>955</v>
      </c>
      <c r="D134" s="14" t="s">
        <v>955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42.07638812</v>
      </c>
      <c r="U134" s="20">
        <f t="shared" si="3"/>
        <v>-18.4168725</v>
      </c>
      <c r="W134" s="20">
        <f>IFERROR(__xludf.DUMMYFUNCTION("iferror(PERCENTRANK.INC(FILTER($S$2:$S$429, $P$2:$P$429&lt;3.75), $S134), 1)"),0.725)</f>
        <v>0.725</v>
      </c>
      <c r="X134" s="20">
        <f>IFERROR(__xludf.DUMMYFUNCTION("iferror(PERCENTRANK.INC(FILTER($S$2:$S$429, $P$2:$P$429&lt;4.5), $S134), 1)"),0.532)</f>
        <v>0.532</v>
      </c>
      <c r="Y134" s="20">
        <f>IFERROR(__xludf.DUMMYFUNCTION("iferror(PERCENTRANK.INC(FILTER($S$2:$S$429, $P$2:$P$429&gt;=4.1), $S134), 0.01)"),0.023)</f>
        <v>0.023</v>
      </c>
    </row>
    <row r="135" ht="14.25" customHeight="1">
      <c r="A135" s="14" t="s">
        <v>1087</v>
      </c>
      <c r="B135" s="14" t="s">
        <v>323</v>
      </c>
      <c r="C135" s="14" t="s">
        <v>955</v>
      </c>
      <c r="D135" s="14" t="s">
        <v>955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41.9040338</v>
      </c>
      <c r="U135" s="20">
        <f t="shared" si="3"/>
        <v>-0.15846298</v>
      </c>
      <c r="W135" s="20">
        <f>IFERROR(__xludf.DUMMYFUNCTION("iferror(PERCENTRANK.INC(FILTER($S$2:$S$429, $P$2:$P$429&lt;3.75), $S135), 1)"),0.718)</f>
        <v>0.718</v>
      </c>
      <c r="X135" s="20">
        <f>IFERROR(__xludf.DUMMYFUNCTION("iferror(PERCENTRANK.INC(FILTER($S$2:$S$429, $P$2:$P$429&lt;4.5), $S135), 1)"),0.527)</f>
        <v>0.527</v>
      </c>
      <c r="Y135" s="20">
        <f>IFERROR(__xludf.DUMMYFUNCTION("iferror(PERCENTRANK.INC(FILTER($S$2:$S$429, $P$2:$P$429&gt;=4.1), $S135), 0.01)"),0.022)</f>
        <v>0.022</v>
      </c>
    </row>
    <row r="136" ht="14.25" customHeight="1">
      <c r="A136" s="14" t="s">
        <v>1088</v>
      </c>
      <c r="B136" s="14" t="s">
        <v>567</v>
      </c>
      <c r="C136" s="14">
        <v>1.0</v>
      </c>
      <c r="D136" s="14" t="s">
        <v>955</v>
      </c>
      <c r="E136" s="14" t="s">
        <v>508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41.70736408</v>
      </c>
      <c r="U136" s="20">
        <f t="shared" si="3"/>
        <v>0.5646972199</v>
      </c>
      <c r="W136" s="20">
        <f>IFERROR(__xludf.DUMMYFUNCTION("iferror(PERCENTRANK.INC(FILTER($S$2:$S$429, $P$2:$P$429&lt;3.75), $S136), 1)"),0.711)</f>
        <v>0.711</v>
      </c>
      <c r="X136" s="20">
        <f>IFERROR(__xludf.DUMMYFUNCTION("iferror(PERCENTRANK.INC(FILTER($S$2:$S$429, $P$2:$P$429&lt;4.5), $S136), 1)"),0.523)</f>
        <v>0.523</v>
      </c>
      <c r="Y136" s="20">
        <f>IFERROR(__xludf.DUMMYFUNCTION("iferror(PERCENTRANK.INC(FILTER($S$2:$S$429, $P$2:$P$429&gt;=4.1), $S136), 0.01)"),0.022)</f>
        <v>0.022</v>
      </c>
    </row>
    <row r="137" ht="14.25" customHeight="1">
      <c r="A137" s="14" t="s">
        <v>1089</v>
      </c>
      <c r="B137" s="14" t="s">
        <v>616</v>
      </c>
      <c r="C137" s="14" t="s">
        <v>955</v>
      </c>
      <c r="D137" s="14" t="s">
        <v>955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41.51425083</v>
      </c>
      <c r="U137" s="20">
        <f t="shared" si="3"/>
        <v>1.209065242</v>
      </c>
      <c r="W137" s="20">
        <f>IFERROR(__xludf.DUMMYFUNCTION("iferror(PERCENTRANK.INC(FILTER($S$2:$S$429, $P$2:$P$429&lt;3.75), $S137), 1)"),0.705)</f>
        <v>0.705</v>
      </c>
      <c r="X137" s="20">
        <f>IFERROR(__xludf.DUMMYFUNCTION("iferror(PERCENTRANK.INC(FILTER($S$2:$S$429, $P$2:$P$429&lt;4.5), $S137), 1)"),0.518)</f>
        <v>0.518</v>
      </c>
      <c r="Y137" s="20">
        <f>IFERROR(__xludf.DUMMYFUNCTION("iferror(PERCENTRANK.INC(FILTER($S$2:$S$429, $P$2:$P$429&gt;=4.1), $S137), 0.01)"),0.021)</f>
        <v>0.021</v>
      </c>
    </row>
    <row r="138" ht="14.25" customHeight="1">
      <c r="A138" s="14" t="s">
        <v>1090</v>
      </c>
      <c r="B138" s="14" t="s">
        <v>319</v>
      </c>
      <c r="C138" s="14" t="s">
        <v>955</v>
      </c>
      <c r="D138" s="14" t="s">
        <v>955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41.29831216</v>
      </c>
      <c r="U138" s="20">
        <f t="shared" si="3"/>
        <v>-6.184406054</v>
      </c>
      <c r="W138" s="20">
        <f>IFERROR(__xludf.DUMMYFUNCTION("iferror(PERCENTRANK.INC(FILTER($S$2:$S$429, $P$2:$P$429&lt;3.75), $S138), 1)"),0.698)</f>
        <v>0.698</v>
      </c>
      <c r="X138" s="20">
        <f>IFERROR(__xludf.DUMMYFUNCTION("iferror(PERCENTRANK.INC(FILTER($S$2:$S$429, $P$2:$P$429&lt;4.5), $S138), 1)"),0.514)</f>
        <v>0.514</v>
      </c>
      <c r="Y138" s="20">
        <f>IFERROR(__xludf.DUMMYFUNCTION("iferror(PERCENTRANK.INC(FILTER($S$2:$S$429, $P$2:$P$429&gt;=4.1), $S138), 0.01)"),0.02)</f>
        <v>0.02</v>
      </c>
    </row>
    <row r="139" ht="14.25" customHeight="1">
      <c r="A139" s="14" t="s">
        <v>1091</v>
      </c>
      <c r="B139" s="14" t="s">
        <v>379</v>
      </c>
      <c r="C139" s="14" t="s">
        <v>955</v>
      </c>
      <c r="D139" s="14" t="s">
        <v>955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41.12566949</v>
      </c>
      <c r="U139" s="20">
        <f t="shared" si="3"/>
        <v>-1.46772834</v>
      </c>
      <c r="W139" s="20">
        <f>IFERROR(__xludf.DUMMYFUNCTION("iferror(PERCENTRANK.INC(FILTER($S$2:$S$429, $P$2:$P$429&lt;3.75), $S139), 1)"),0.691)</f>
        <v>0.691</v>
      </c>
      <c r="X139" s="20">
        <f>IFERROR(__xludf.DUMMYFUNCTION("iferror(PERCENTRANK.INC(FILTER($S$2:$S$429, $P$2:$P$429&lt;4.5), $S139), 1)"),0.509)</f>
        <v>0.509</v>
      </c>
      <c r="Y139" s="20">
        <f>IFERROR(__xludf.DUMMYFUNCTION("iferror(PERCENTRANK.INC(FILTER($S$2:$S$429, $P$2:$P$429&gt;=4.1), $S139), 0.01)"),0.019)</f>
        <v>0.019</v>
      </c>
    </row>
    <row r="140" ht="14.25" customHeight="1">
      <c r="A140" s="14" t="s">
        <v>1092</v>
      </c>
      <c r="B140" s="14" t="s">
        <v>321</v>
      </c>
      <c r="C140" s="14" t="s">
        <v>955</v>
      </c>
      <c r="D140" s="14" t="s">
        <v>955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40.09294656</v>
      </c>
      <c r="U140" s="20">
        <f t="shared" si="3"/>
        <v>-13.49592687</v>
      </c>
      <c r="W140" s="20">
        <f>IFERROR(__xludf.DUMMYFUNCTION("iferror(PERCENTRANK.INC(FILTER($S$2:$S$429, $P$2:$P$429&lt;3.75), $S140), 1)"),0.685)</f>
        <v>0.685</v>
      </c>
      <c r="X140" s="20">
        <f>IFERROR(__xludf.DUMMYFUNCTION("iferror(PERCENTRANK.INC(FILTER($S$2:$S$429, $P$2:$P$429&lt;4.5), $S140), 1)"),0.5)</f>
        <v>0.5</v>
      </c>
      <c r="Y140" s="20">
        <f>IFERROR(__xludf.DUMMYFUNCTION("iferror(PERCENTRANK.INC(FILTER($S$2:$S$429, $P$2:$P$429&gt;=4.1), $S140), 0.01)"),0.014)</f>
        <v>0.014</v>
      </c>
    </row>
    <row r="141" ht="14.25" customHeight="1">
      <c r="A141" s="14" t="s">
        <v>1093</v>
      </c>
      <c r="B141" s="14" t="s">
        <v>758</v>
      </c>
      <c r="C141" s="14" t="s">
        <v>955</v>
      </c>
      <c r="D141" s="14" t="s">
        <v>955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100*(K141-MIN($J$2:$J$505))/(MAX($J$2:$J$505) - MIN($J$2:$J$505))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39.95997137</v>
      </c>
      <c r="U141" s="20">
        <f t="shared" si="3"/>
        <v>-13.83370247</v>
      </c>
      <c r="W141" s="20">
        <f>IFERROR(__xludf.DUMMYFUNCTION("iferror(PERCENTRANK.INC(FILTER($S$2:$S$429, $P$2:$P$429&lt;3.75), $S141), 1)"),0.682)</f>
        <v>0.682</v>
      </c>
      <c r="X141" s="20">
        <f>IFERROR(__xludf.DUMMYFUNCTION("iferror(PERCENTRANK.INC(FILTER($S$2:$S$429, $P$2:$P$429&lt;4.5), $S141), 1)"),0.495)</f>
        <v>0.495</v>
      </c>
      <c r="Y141" s="20">
        <f>IFERROR(__xludf.DUMMYFUNCTION("iferror(PERCENTRANK.INC(FILTER($S$2:$S$429, $P$2:$P$429&gt;=4.1), $S141), 0.01)"),0.014)</f>
        <v>0.014</v>
      </c>
    </row>
    <row r="142" ht="14.25" customHeight="1">
      <c r="A142" s="14" t="s">
        <v>1094</v>
      </c>
      <c r="B142" s="14" t="s">
        <v>231</v>
      </c>
      <c r="C142" s="14">
        <v>18.0</v>
      </c>
      <c r="D142" s="14" t="s">
        <v>955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39.95772244</v>
      </c>
      <c r="U142" s="20">
        <f t="shared" si="3"/>
        <v>-1.953938332</v>
      </c>
      <c r="W142" s="20">
        <f>IFERROR(__xludf.DUMMYFUNCTION("iferror(PERCENTRANK.INC(FILTER($S$2:$S$429, $P$2:$P$429&lt;3.75), $S142), 1)"),0.682)</f>
        <v>0.682</v>
      </c>
      <c r="X142" s="20">
        <f>IFERROR(__xludf.DUMMYFUNCTION("iferror(PERCENTRANK.INC(FILTER($S$2:$S$429, $P$2:$P$429&lt;4.5), $S142), 1)"),0.491)</f>
        <v>0.491</v>
      </c>
      <c r="Y142" s="20">
        <f>IFERROR(__xludf.DUMMYFUNCTION("iferror(PERCENTRANK.INC(FILTER($S$2:$S$429, $P$2:$P$429&gt;=4.1), $S142), 0.01)"),0.014)</f>
        <v>0.014</v>
      </c>
    </row>
    <row r="143" ht="14.25" customHeight="1">
      <c r="A143" s="14" t="s">
        <v>1095</v>
      </c>
      <c r="B143" s="14" t="s">
        <v>503</v>
      </c>
      <c r="C143" s="14" t="s">
        <v>955</v>
      </c>
      <c r="D143" s="14" t="s">
        <v>955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39.73246729</v>
      </c>
      <c r="U143" s="20">
        <f t="shared" si="3"/>
        <v>-10.50671827</v>
      </c>
      <c r="W143" s="20">
        <f>IFERROR(__xludf.DUMMYFUNCTION("iferror(PERCENTRANK.INC(FILTER($S$2:$S$429, $P$2:$P$429&lt;3.75), $S143), 1)"),0.678)</f>
        <v>0.678</v>
      </c>
      <c r="X143" s="20">
        <f>IFERROR(__xludf.DUMMYFUNCTION("iferror(PERCENTRANK.INC(FILTER($S$2:$S$429, $P$2:$P$429&lt;4.5), $S143), 1)"),0.486)</f>
        <v>0.486</v>
      </c>
      <c r="Y143" s="20">
        <f>IFERROR(__xludf.DUMMYFUNCTION("iferror(PERCENTRANK.INC(FILTER($S$2:$S$429, $P$2:$P$429&gt;=4.1), $S143), 0.01)"),0.012)</f>
        <v>0.012</v>
      </c>
    </row>
    <row r="144" ht="14.25" customHeight="1">
      <c r="A144" s="14" t="s">
        <v>1096</v>
      </c>
      <c r="B144" s="14" t="s">
        <v>410</v>
      </c>
      <c r="C144" s="14">
        <v>18.0</v>
      </c>
      <c r="D144" s="14" t="s">
        <v>955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38.95619405</v>
      </c>
      <c r="U144" s="20">
        <f t="shared" si="3"/>
        <v>-5.923497493</v>
      </c>
      <c r="W144" s="20">
        <f>IFERROR(__xludf.DUMMYFUNCTION("iferror(PERCENTRANK.INC(FILTER($S$2:$S$429, $P$2:$P$429&lt;3.75), $S144), 1)"),0.671)</f>
        <v>0.671</v>
      </c>
      <c r="X144" s="20">
        <f>IFERROR(__xludf.DUMMYFUNCTION("iferror(PERCENTRANK.INC(FILTER($S$2:$S$429, $P$2:$P$429&lt;4.5), $S144), 1)"),0.473)</f>
        <v>0.473</v>
      </c>
      <c r="Y144" s="20">
        <f>IFERROR(__xludf.DUMMYFUNCTION("iferror(PERCENTRANK.INC(FILTER($S$2:$S$429, $P$2:$P$429&gt;=4.1), $S144), 0.01)"),0.007)</f>
        <v>0.007</v>
      </c>
    </row>
    <row r="145" ht="14.25" customHeight="1">
      <c r="A145" s="14" t="s">
        <v>1097</v>
      </c>
      <c r="B145" s="14" t="s">
        <v>748</v>
      </c>
      <c r="C145" s="14">
        <v>2.0</v>
      </c>
      <c r="D145" s="14" t="s">
        <v>955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38.95251299</v>
      </c>
      <c r="U145" s="20">
        <f t="shared" si="3"/>
        <v>-3.147648463</v>
      </c>
      <c r="W145" s="20">
        <f>IFERROR(__xludf.DUMMYFUNCTION("iferror(PERCENTRANK.INC(FILTER($S$2:$S$429, $P$2:$P$429&lt;3.75), $S145), 1)"),0.671)</f>
        <v>0.671</v>
      </c>
      <c r="X145" s="20">
        <f>IFERROR(__xludf.DUMMYFUNCTION("iferror(PERCENTRANK.INC(FILTER($S$2:$S$429, $P$2:$P$429&lt;4.5), $S145), 1)"),0.468)</f>
        <v>0.468</v>
      </c>
      <c r="Y145" s="20">
        <f>IFERROR(__xludf.DUMMYFUNCTION("iferror(PERCENTRANK.INC(FILTER($S$2:$S$429, $P$2:$P$429&gt;=4.1), $S145), 0.01)"),0.007)</f>
        <v>0.007</v>
      </c>
    </row>
    <row r="146" ht="14.25" customHeight="1">
      <c r="A146" s="14" t="s">
        <v>1098</v>
      </c>
      <c r="B146" s="14" t="s">
        <v>546</v>
      </c>
      <c r="C146" s="14">
        <v>5.0</v>
      </c>
      <c r="D146" s="14" t="s">
        <v>955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38.24259915</v>
      </c>
      <c r="U146" s="20">
        <f t="shared" si="3"/>
        <v>-13.10318789</v>
      </c>
      <c r="W146" s="20">
        <f>IFERROR(__xludf.DUMMYFUNCTION("iferror(PERCENTRANK.INC(FILTER($S$2:$S$429, $P$2:$P$429&lt;3.75), $S146), 1)"),0.664)</f>
        <v>0.664</v>
      </c>
      <c r="X146" s="20">
        <f>IFERROR(__xludf.DUMMYFUNCTION("iferror(PERCENTRANK.INC(FILTER($S$2:$S$429, $P$2:$P$429&lt;4.5), $S146), 1)"),0.464)</f>
        <v>0.464</v>
      </c>
      <c r="Y146" s="20">
        <f>IFERROR(__xludf.DUMMYFUNCTION("iferror(PERCENTRANK.INC(FILTER($S$2:$S$429, $P$2:$P$429&gt;=4.1), $S146), 0.01)"),0.003)</f>
        <v>0.003</v>
      </c>
    </row>
    <row r="147" ht="14.25" customHeight="1">
      <c r="A147" s="14" t="s">
        <v>1099</v>
      </c>
      <c r="B147" s="14" t="s">
        <v>392</v>
      </c>
      <c r="C147" s="14" t="s">
        <v>955</v>
      </c>
      <c r="D147" s="14" t="s">
        <v>955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37.83695758</v>
      </c>
      <c r="U147" s="20">
        <f t="shared" si="3"/>
        <v>-14.91984363</v>
      </c>
      <c r="W147" s="20">
        <f>IFERROR(__xludf.DUMMYFUNCTION("iferror(PERCENTRANK.INC(FILTER($S$2:$S$429, $P$2:$P$429&lt;3.75), $S147), 1)"),0.659)</f>
        <v>0.659</v>
      </c>
      <c r="X147" s="20">
        <f>IFERROR(__xludf.DUMMYFUNCTION("iferror(PERCENTRANK.INC(FILTER($S$2:$S$429, $P$2:$P$429&lt;4.5), $S147), 1)"),0.459)</f>
        <v>0.459</v>
      </c>
      <c r="Y147" s="20">
        <f>IFERROR(__xludf.DUMMYFUNCTION("iferror(PERCENTRANK.INC(FILTER($S$2:$S$429, $P$2:$P$429&gt;=4.1), $S147), 0.01)"),0.0)</f>
        <v>0</v>
      </c>
    </row>
    <row r="148" ht="14.25" customHeight="1">
      <c r="A148" s="14" t="s">
        <v>1100</v>
      </c>
      <c r="B148" s="14" t="s">
        <v>241</v>
      </c>
      <c r="C148" s="14" t="s">
        <v>955</v>
      </c>
      <c r="D148" s="14" t="s">
        <v>955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37.76116763</v>
      </c>
      <c r="U148" s="20">
        <f t="shared" si="3"/>
        <v>-6.211127385</v>
      </c>
      <c r="W148" s="20">
        <f>IFERROR(__xludf.DUMMYFUNCTION("iferror(PERCENTRANK.INC(FILTER($S$2:$S$429, $P$2:$P$429&lt;3.75), $S148), 1)"),0.658)</f>
        <v>0.658</v>
      </c>
      <c r="X148" s="20">
        <f>IFERROR(__xludf.DUMMYFUNCTION("iferror(PERCENTRANK.INC(FILTER($S$2:$S$429, $P$2:$P$429&lt;4.5), $S148), 1)"),0.455)</f>
        <v>0.455</v>
      </c>
      <c r="Y148" s="20">
        <f>IFERROR(__xludf.DUMMYFUNCTION("iferror(PERCENTRANK.INC(FILTER($S$2:$S$429, $P$2:$P$429&gt;=4.1), $S148), 0.01)"),0.01)</f>
        <v>0.01</v>
      </c>
    </row>
    <row r="149" ht="14.25" customHeight="1">
      <c r="A149" s="14" t="s">
        <v>1101</v>
      </c>
      <c r="B149" s="14" t="s">
        <v>567</v>
      </c>
      <c r="C149" s="14">
        <v>3.0</v>
      </c>
      <c r="D149" s="14" t="s">
        <v>955</v>
      </c>
      <c r="E149" s="14" t="s">
        <v>508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37.30478598</v>
      </c>
      <c r="U149" s="20">
        <f t="shared" si="3"/>
        <v>-4.631567382</v>
      </c>
      <c r="W149" s="20">
        <f>IFERROR(__xludf.DUMMYFUNCTION("iferror(PERCENTRANK.INC(FILTER($S$2:$S$429, $P$2:$P$429&lt;3.75), $S149), 1)"),0.651)</f>
        <v>0.651</v>
      </c>
      <c r="X149" s="20">
        <f>IFERROR(__xludf.DUMMYFUNCTION("iferror(PERCENTRANK.INC(FILTER($S$2:$S$429, $P$2:$P$429&lt;4.5), $S149), 1)"),0.45)</f>
        <v>0.45</v>
      </c>
      <c r="Y149" s="20">
        <f>IFERROR(__xludf.DUMMYFUNCTION("iferror(PERCENTRANK.INC(FILTER($S$2:$S$429, $P$2:$P$429&gt;=4.1), $S149), 0.01)"),0.01)</f>
        <v>0.01</v>
      </c>
    </row>
    <row r="150" ht="14.25" customHeight="1">
      <c r="A150" s="14" t="s">
        <v>1102</v>
      </c>
      <c r="B150" s="14" t="s">
        <v>98</v>
      </c>
      <c r="C150" s="14" t="s">
        <v>955</v>
      </c>
      <c r="D150" s="14" t="s">
        <v>955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36.70046413</v>
      </c>
      <c r="U150" s="20">
        <f t="shared" si="3"/>
        <v>-4.804976744</v>
      </c>
      <c r="W150" s="20">
        <f>IFERROR(__xludf.DUMMYFUNCTION("iferror(PERCENTRANK.INC(FILTER($S$2:$S$429, $P$2:$P$429&lt;3.75), $S150), 1)"),0.644)</f>
        <v>0.644</v>
      </c>
      <c r="X150" s="20">
        <f>IFERROR(__xludf.DUMMYFUNCTION("iferror(PERCENTRANK.INC(FILTER($S$2:$S$429, $P$2:$P$429&lt;4.5), $S150), 1)"),0.445)</f>
        <v>0.445</v>
      </c>
      <c r="Y150" s="20">
        <f>IFERROR(__xludf.DUMMYFUNCTION("iferror(PERCENTRANK.INC(FILTER($S$2:$S$429, $P$2:$P$429&gt;=4.1), $S150), 0.01)"),0.01)</f>
        <v>0.01</v>
      </c>
    </row>
    <row r="151" ht="14.25" customHeight="1">
      <c r="A151" s="14" t="s">
        <v>1103</v>
      </c>
      <c r="B151" s="14" t="s">
        <v>247</v>
      </c>
      <c r="C151" s="14" t="s">
        <v>955</v>
      </c>
      <c r="D151" s="14" t="s">
        <v>955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36.58283627</v>
      </c>
      <c r="U151" s="20">
        <f t="shared" si="3"/>
        <v>-3.660941844</v>
      </c>
      <c r="W151" s="20">
        <f>IFERROR(__xludf.DUMMYFUNCTION("iferror(PERCENTRANK.INC(FILTER($S$2:$S$429, $P$2:$P$429&lt;3.75), $S151), 1)"),0.638)</f>
        <v>0.638</v>
      </c>
      <c r="X151" s="20">
        <f>IFERROR(__xludf.DUMMYFUNCTION("iferror(PERCENTRANK.INC(FILTER($S$2:$S$429, $P$2:$P$429&lt;4.5), $S151), 1)"),0.441)</f>
        <v>0.441</v>
      </c>
      <c r="Y151" s="20">
        <f>IFERROR(__xludf.DUMMYFUNCTION("iferror(PERCENTRANK.INC(FILTER($S$2:$S$429, $P$2:$P$429&gt;=4.1), $S151), 0.01)"),0.01)</f>
        <v>0.01</v>
      </c>
    </row>
    <row r="152" ht="14.25" customHeight="1">
      <c r="A152" s="14" t="s">
        <v>1104</v>
      </c>
      <c r="B152" s="14" t="s">
        <v>550</v>
      </c>
      <c r="C152" s="14" t="s">
        <v>955</v>
      </c>
      <c r="D152" s="14" t="s">
        <v>955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34.94363604</v>
      </c>
      <c r="U152" s="20">
        <f t="shared" si="3"/>
        <v>-6.251558704</v>
      </c>
      <c r="W152" s="20">
        <f>IFERROR(__xludf.DUMMYFUNCTION("iferror(PERCENTRANK.INC(FILTER($S$2:$S$429, $P$2:$P$429&lt;3.75), $S152), 1)"),0.624)</f>
        <v>0.624</v>
      </c>
      <c r="X152" s="20">
        <f>IFERROR(__xludf.DUMMYFUNCTION("iferror(PERCENTRANK.INC(FILTER($S$2:$S$429, $P$2:$P$429&lt;4.5), $S152), 1)"),0.427)</f>
        <v>0.427</v>
      </c>
      <c r="Y152" s="20">
        <f>IFERROR(__xludf.DUMMYFUNCTION("iferror(PERCENTRANK.INC(FILTER($S$2:$S$429, $P$2:$P$429&gt;=4.1), $S152), 0.01)"),0.01)</f>
        <v>0.01</v>
      </c>
    </row>
    <row r="153" ht="14.25" customHeight="1">
      <c r="A153" s="14" t="s">
        <v>1105</v>
      </c>
      <c r="B153" s="14" t="s">
        <v>717</v>
      </c>
      <c r="C153" s="14">
        <v>2.0</v>
      </c>
      <c r="D153" s="14" t="s">
        <v>955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33.54546562</v>
      </c>
      <c r="U153" s="20">
        <f t="shared" si="3"/>
        <v>-2.934312835</v>
      </c>
      <c r="W153" s="20">
        <f>IFERROR(__xludf.DUMMYFUNCTION("iferror(PERCENTRANK.INC(FILTER($S$2:$S$429, $P$2:$P$429&lt;3.75), $S153), 1)"),0.618)</f>
        <v>0.618</v>
      </c>
      <c r="X153" s="20">
        <f>IFERROR(__xludf.DUMMYFUNCTION("iferror(PERCENTRANK.INC(FILTER($S$2:$S$429, $P$2:$P$429&lt;4.5), $S153), 1)"),0.423)</f>
        <v>0.423</v>
      </c>
      <c r="Y153" s="20">
        <f>IFERROR(__xludf.DUMMYFUNCTION("iferror(PERCENTRANK.INC(FILTER($S$2:$S$429, $P$2:$P$429&gt;=4.1), $S153), 0.01)"),0.01)</f>
        <v>0.01</v>
      </c>
    </row>
    <row r="154" ht="14.25" customHeight="1">
      <c r="A154" s="14" t="s">
        <v>1106</v>
      </c>
      <c r="B154" s="14" t="s">
        <v>457</v>
      </c>
      <c r="C154" s="14">
        <v>3.0</v>
      </c>
      <c r="D154" s="14" t="s">
        <v>955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33.49362919</v>
      </c>
      <c r="U154" s="20">
        <f t="shared" si="3"/>
        <v>-18.3580208</v>
      </c>
      <c r="W154" s="20">
        <f>IFERROR(__xludf.DUMMYFUNCTION("iferror(PERCENTRANK.INC(FILTER($S$2:$S$429, $P$2:$P$429&lt;3.75), $S154), 1)"),0.617)</f>
        <v>0.617</v>
      </c>
      <c r="X154" s="20">
        <f>IFERROR(__xludf.DUMMYFUNCTION("iferror(PERCENTRANK.INC(FILTER($S$2:$S$429, $P$2:$P$429&lt;4.5), $S154), 1)"),0.418)</f>
        <v>0.418</v>
      </c>
      <c r="Y154" s="20">
        <f>IFERROR(__xludf.DUMMYFUNCTION("iferror(PERCENTRANK.INC(FILTER($S$2:$S$429, $P$2:$P$429&gt;=4.1), $S154), 0.01)"),0.01)</f>
        <v>0.01</v>
      </c>
    </row>
    <row r="155" ht="14.25" customHeight="1">
      <c r="A155" s="14" t="s">
        <v>1107</v>
      </c>
      <c r="B155" s="14" t="s">
        <v>475</v>
      </c>
      <c r="C155" s="14">
        <v>8.0</v>
      </c>
      <c r="D155" s="14" t="s">
        <v>955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33.47290838</v>
      </c>
      <c r="U155" s="20">
        <f t="shared" si="3"/>
        <v>-18.43841537</v>
      </c>
      <c r="W155" s="20">
        <f>IFERROR(__xludf.DUMMYFUNCTION("iferror(PERCENTRANK.INC(FILTER($S$2:$S$429, $P$2:$P$429&lt;3.75), $S155), 1)"),0.611)</f>
        <v>0.611</v>
      </c>
      <c r="X155" s="20">
        <f>IFERROR(__xludf.DUMMYFUNCTION("iferror(PERCENTRANK.INC(FILTER($S$2:$S$429, $P$2:$P$429&lt;4.5), $S155), 1)"),0.414)</f>
        <v>0.414</v>
      </c>
      <c r="Y155" s="20">
        <f>IFERROR(__xludf.DUMMYFUNCTION("iferror(PERCENTRANK.INC(FILTER($S$2:$S$429, $P$2:$P$429&gt;=4.1), $S155), 0.01)"),0.01)</f>
        <v>0.01</v>
      </c>
    </row>
    <row r="156" ht="14.25" customHeight="1">
      <c r="A156" s="17" t="s">
        <v>1108</v>
      </c>
      <c r="B156" s="17" t="s">
        <v>625</v>
      </c>
      <c r="C156" s="16">
        <v>3.0</v>
      </c>
      <c r="D156" s="17" t="s">
        <v>955</v>
      </c>
      <c r="E156" s="17" t="s">
        <v>169</v>
      </c>
      <c r="F156" s="18">
        <v>72.0</v>
      </c>
      <c r="G156" s="18">
        <v>53.0</v>
      </c>
      <c r="H156" s="18">
        <v>486.0</v>
      </c>
      <c r="I156" s="18">
        <v>9.2</v>
      </c>
      <c r="J156" s="18">
        <v>2.0</v>
      </c>
      <c r="K156" s="18">
        <v>5.06</v>
      </c>
      <c r="L156" s="22">
        <v>34.88</v>
      </c>
      <c r="M156" s="15"/>
      <c r="N156" s="22">
        <v>5.06</v>
      </c>
      <c r="O156" s="22">
        <v>5.69</v>
      </c>
      <c r="P156" s="16">
        <v>3.46</v>
      </c>
      <c r="Q156" s="16">
        <v>-8.5</v>
      </c>
      <c r="R156" s="20">
        <f t="array" ref="R156">XLOOKUP(E156, 'Conference Match'!$A$2:$A$40,'Conference Match'!$C$2:$C$40)</f>
        <v>0.9</v>
      </c>
      <c r="S156" s="20">
        <f t="shared" si="1"/>
        <v>2.9288</v>
      </c>
      <c r="T156" s="20">
        <f t="shared" si="2"/>
        <v>36.08410961</v>
      </c>
      <c r="U156" s="20">
        <f t="shared" si="3"/>
        <v>1.204109607</v>
      </c>
      <c r="W156" s="20">
        <f>IFERROR(__xludf.DUMMYFUNCTION("iferror(PERCENTRANK.INC(FILTER($S$2:$S$429, $P$2:$P$429&lt;3.75), $S156), 1)"),0.631)</f>
        <v>0.631</v>
      </c>
      <c r="X156" s="20">
        <f>IFERROR(__xludf.DUMMYFUNCTION("iferror(PERCENTRANK.INC(FILTER($S$2:$S$429, $P$2:$P$429&lt;4.5), $S156), 1)"),0.436)</f>
        <v>0.436</v>
      </c>
      <c r="Y156" s="20">
        <f>IFERROR(__xludf.DUMMYFUNCTION("iferror(PERCENTRANK.INC(FILTER($S$2:$S$429, $P$2:$P$429&gt;=4.1), $S156), 0.01)"),0.01)</f>
        <v>0.01</v>
      </c>
    </row>
    <row r="157" ht="14.25" customHeight="1">
      <c r="A157" s="17" t="s">
        <v>1109</v>
      </c>
      <c r="B157" s="17" t="s">
        <v>369</v>
      </c>
      <c r="C157" s="18">
        <v>18.0</v>
      </c>
      <c r="D157" s="17" t="s">
        <v>955</v>
      </c>
      <c r="E157" s="17" t="s">
        <v>130</v>
      </c>
      <c r="F157" s="18">
        <v>16.0</v>
      </c>
      <c r="G157" s="18">
        <v>9.0</v>
      </c>
      <c r="H157" s="18">
        <v>102.0</v>
      </c>
      <c r="I157" s="18">
        <v>11.3</v>
      </c>
      <c r="J157" s="18">
        <v>1.0</v>
      </c>
      <c r="K157" s="22">
        <v>4.79</v>
      </c>
      <c r="L157" s="22">
        <v>33.84</v>
      </c>
      <c r="M157" s="15"/>
      <c r="N157" s="37">
        <v>4.79</v>
      </c>
      <c r="O157" s="16">
        <v>2.45</v>
      </c>
      <c r="P157" s="37">
        <v>3.76</v>
      </c>
      <c r="Q157" s="37">
        <v>-1.5</v>
      </c>
      <c r="R157" s="20">
        <f t="array" ref="R157">XLOOKUP(E157, 'Conference Match'!$A$2:$A$40,'Conference Match'!$C$2:$C$40)</f>
        <v>1</v>
      </c>
      <c r="S157" s="20">
        <f t="shared" si="1"/>
        <v>3.178</v>
      </c>
      <c r="T157" s="20">
        <f t="shared" si="2"/>
        <v>40.99551483</v>
      </c>
      <c r="U157" s="20">
        <f t="shared" si="3"/>
        <v>7.155514827</v>
      </c>
      <c r="W157" s="20">
        <f>IFERROR(__xludf.DUMMYFUNCTION("iferror(PERCENTRANK.INC(FILTER($S$2:$S$429, $P$2:$P$429&lt;3.75), $S157), 1)"),0.69)</f>
        <v>0.69</v>
      </c>
      <c r="X157" s="20">
        <f>IFERROR(__xludf.DUMMYFUNCTION("iferror(PERCENTRANK.INC(FILTER($S$2:$S$429, $P$2:$P$429&lt;4.5), $S157), 1)"),0.505)</f>
        <v>0.505</v>
      </c>
      <c r="Y157" s="20">
        <f>IFERROR(__xludf.DUMMYFUNCTION("iferror(PERCENTRANK.INC(FILTER($S$2:$S$429, $P$2:$P$429&gt;=4.1), $S157), 0.01)"),0.018)</f>
        <v>0.018</v>
      </c>
    </row>
    <row r="158" ht="14.25" customHeight="1">
      <c r="A158" s="14" t="s">
        <v>1110</v>
      </c>
      <c r="B158" s="14" t="s">
        <v>625</v>
      </c>
      <c r="C158" s="16">
        <v>1.0</v>
      </c>
      <c r="D158" s="14" t="s">
        <v>955</v>
      </c>
      <c r="E158" s="14" t="s">
        <v>169</v>
      </c>
      <c r="F158" s="14">
        <v>16.0</v>
      </c>
      <c r="G158" s="14">
        <v>10.0</v>
      </c>
      <c r="H158" s="14">
        <v>140.0</v>
      </c>
      <c r="I158" s="14">
        <v>14.0</v>
      </c>
      <c r="J158" s="14">
        <v>2.0</v>
      </c>
      <c r="K158" s="20">
        <v>5.9228746704196755</v>
      </c>
      <c r="L158" s="20">
        <v>42.720407216225084</v>
      </c>
      <c r="M158" s="15"/>
      <c r="N158" s="20">
        <v>5.9228746704196755</v>
      </c>
      <c r="O158" s="14">
        <v>1.99</v>
      </c>
      <c r="P158" s="20">
        <v>3.31</v>
      </c>
      <c r="Q158" s="20">
        <v>-3.5</v>
      </c>
      <c r="R158" s="20">
        <f t="array" ref="R158">XLOOKUP(E158, 'Conference Match'!$A$2:$A$40,'Conference Match'!$C$2:$C$40)</f>
        <v>0.9</v>
      </c>
      <c r="S158" s="20">
        <f t="shared" si="1"/>
        <v>2.769117441</v>
      </c>
      <c r="T158" s="20">
        <f t="shared" si="2"/>
        <v>32.93697576</v>
      </c>
      <c r="U158" s="20">
        <f t="shared" si="3"/>
        <v>-9.783431459</v>
      </c>
      <c r="W158" s="20">
        <f>IFERROR(__xludf.DUMMYFUNCTION("iferror(PERCENTRANK.INC(FILTER($S$2:$S$429, $P$2:$P$429&lt;3.75), $S158), 1)"),0.604)</f>
        <v>0.604</v>
      </c>
      <c r="X158" s="20">
        <f>IFERROR(__xludf.DUMMYFUNCTION("iferror(PERCENTRANK.INC(FILTER($S$2:$S$429, $P$2:$P$429&lt;4.5), $S158), 1)"),0.409)</f>
        <v>0.409</v>
      </c>
      <c r="Y158" s="20">
        <f>IFERROR(__xludf.DUMMYFUNCTION("iferror(PERCENTRANK.INC(FILTER($S$2:$S$429, $P$2:$P$429&gt;=4.1), $S158), 0.01)"),0.01)</f>
        <v>0.01</v>
      </c>
    </row>
    <row r="159" ht="14.25" customHeight="1">
      <c r="A159" s="14" t="s">
        <v>1111</v>
      </c>
      <c r="B159" s="14" t="s">
        <v>423</v>
      </c>
      <c r="C159" s="14" t="s">
        <v>955</v>
      </c>
      <c r="D159" s="14" t="s">
        <v>955</v>
      </c>
      <c r="E159" s="14" t="s">
        <v>188</v>
      </c>
      <c r="F159" s="14">
        <v>46.0</v>
      </c>
      <c r="G159" s="14">
        <v>22.0</v>
      </c>
      <c r="H159" s="14">
        <v>343.0</v>
      </c>
      <c r="I159" s="14">
        <v>15.6</v>
      </c>
      <c r="J159" s="14">
        <v>0.0</v>
      </c>
      <c r="K159" s="20">
        <v>6.112769051902868</v>
      </c>
      <c r="L159" s="20">
        <v>44.4475907808367</v>
      </c>
      <c r="M159" s="15"/>
      <c r="N159" s="20">
        <v>6.112769051902868</v>
      </c>
      <c r="O159" s="14">
        <v>1.8</v>
      </c>
      <c r="P159" s="20">
        <v>3.4</v>
      </c>
      <c r="Q159" s="20">
        <v>-4.0</v>
      </c>
      <c r="R159" s="20">
        <f t="array" ref="R159">XLOOKUP(E159, 'Conference Match'!$A$2:$A$40,'Conference Match'!$C$2:$C$40)</f>
        <v>0.9</v>
      </c>
      <c r="S159" s="20">
        <f t="shared" si="1"/>
        <v>2.760298429</v>
      </c>
      <c r="T159" s="20">
        <f t="shared" si="2"/>
        <v>32.76316461</v>
      </c>
      <c r="U159" s="20">
        <f t="shared" si="3"/>
        <v>-11.68442617</v>
      </c>
      <c r="W159" s="20">
        <f>IFERROR(__xludf.DUMMYFUNCTION("iferror(PERCENTRANK.INC(FILTER($S$2:$S$429, $P$2:$P$429&lt;3.75), $S159), 1)"),0.597)</f>
        <v>0.597</v>
      </c>
      <c r="X159" s="20">
        <f>IFERROR(__xludf.DUMMYFUNCTION("iferror(PERCENTRANK.INC(FILTER($S$2:$S$429, $P$2:$P$429&lt;4.5), $S159), 1)"),0.405)</f>
        <v>0.405</v>
      </c>
      <c r="Y159" s="20">
        <f>IFERROR(__xludf.DUMMYFUNCTION("iferror(PERCENTRANK.INC(FILTER($S$2:$S$429, $P$2:$P$429&gt;=4.1), $S159), 0.01)"),0.01)</f>
        <v>0.01</v>
      </c>
    </row>
    <row r="160" ht="14.25" customHeight="1">
      <c r="A160" s="14" t="s">
        <v>1112</v>
      </c>
      <c r="B160" s="14" t="s">
        <v>441</v>
      </c>
      <c r="C160" s="14">
        <v>11.0</v>
      </c>
      <c r="D160" s="14" t="s">
        <v>955</v>
      </c>
      <c r="E160" s="14" t="s">
        <v>149</v>
      </c>
      <c r="F160" s="14">
        <v>27.0</v>
      </c>
      <c r="G160" s="14">
        <v>20.0</v>
      </c>
      <c r="H160" s="14">
        <v>298.0</v>
      </c>
      <c r="I160" s="14">
        <v>14.9</v>
      </c>
      <c r="J160" s="14">
        <v>1.0</v>
      </c>
      <c r="K160" s="20">
        <v>6.38016046745021</v>
      </c>
      <c r="L160" s="20">
        <v>52.78697046678969</v>
      </c>
      <c r="M160" s="15"/>
      <c r="N160" s="20">
        <v>6.38016046745021</v>
      </c>
      <c r="O160" s="14">
        <v>0.74</v>
      </c>
      <c r="P160" s="20">
        <v>3.47</v>
      </c>
      <c r="Q160" s="20">
        <v>-3.5</v>
      </c>
      <c r="R160" s="20">
        <f t="array" ref="R160">XLOOKUP(E160, 'Conference Match'!$A$2:$A$40,'Conference Match'!$C$2:$C$40)</f>
        <v>0.95</v>
      </c>
      <c r="S160" s="20">
        <f t="shared" si="1"/>
        <v>2.745230489</v>
      </c>
      <c r="T160" s="20">
        <f t="shared" si="2"/>
        <v>32.46619526</v>
      </c>
      <c r="U160" s="20">
        <f t="shared" si="3"/>
        <v>-20.32077521</v>
      </c>
      <c r="W160" s="20">
        <f>IFERROR(__xludf.DUMMYFUNCTION("iferror(PERCENTRANK.INC(FILTER($S$2:$S$429, $P$2:$P$429&lt;3.75), $S160), 1)"),0.591)</f>
        <v>0.591</v>
      </c>
      <c r="X160" s="20">
        <f>IFERROR(__xludf.DUMMYFUNCTION("iferror(PERCENTRANK.INC(FILTER($S$2:$S$429, $P$2:$P$429&lt;4.5), $S160), 1)"),0.4)</f>
        <v>0.4</v>
      </c>
      <c r="Y160" s="20">
        <f>IFERROR(__xludf.DUMMYFUNCTION("iferror(PERCENTRANK.INC(FILTER($S$2:$S$429, $P$2:$P$429&gt;=4.1), $S160), 0.01)"),0.01)</f>
        <v>0.01</v>
      </c>
    </row>
    <row r="161" ht="14.25" customHeight="1">
      <c r="A161" s="14" t="s">
        <v>1113</v>
      </c>
      <c r="B161" s="14" t="s">
        <v>227</v>
      </c>
      <c r="C161" s="14" t="s">
        <v>955</v>
      </c>
      <c r="D161" s="14" t="s">
        <v>955</v>
      </c>
      <c r="E161" s="14" t="s">
        <v>188</v>
      </c>
      <c r="F161" s="14">
        <v>57.0</v>
      </c>
      <c r="G161" s="14">
        <v>44.0</v>
      </c>
      <c r="H161" s="14">
        <v>479.0</v>
      </c>
      <c r="I161" s="14">
        <v>10.9</v>
      </c>
      <c r="J161" s="14">
        <v>3.0</v>
      </c>
      <c r="K161" s="20">
        <v>5.77948838702458</v>
      </c>
      <c r="L161" s="20">
        <v>41.41623786620842</v>
      </c>
      <c r="M161" s="15"/>
      <c r="N161" s="20">
        <v>5.77948838702458</v>
      </c>
      <c r="O161" s="14">
        <v>3.51</v>
      </c>
      <c r="P161" s="14">
        <v>3.47</v>
      </c>
      <c r="Q161" s="14">
        <v>-7.5</v>
      </c>
      <c r="R161" s="20">
        <f t="array" ref="R161">XLOOKUP(E161, 'Conference Match'!$A$2:$A$40,'Conference Match'!$C$2:$C$40)</f>
        <v>0.9</v>
      </c>
      <c r="S161" s="20">
        <f t="shared" si="1"/>
        <v>2.72730791</v>
      </c>
      <c r="T161" s="20">
        <f t="shared" si="2"/>
        <v>32.11296473</v>
      </c>
      <c r="U161" s="20">
        <f t="shared" si="3"/>
        <v>-9.30327314</v>
      </c>
      <c r="W161" s="20">
        <f>IFERROR(__xludf.DUMMYFUNCTION("iferror(PERCENTRANK.INC(FILTER($S$2:$S$429, $P$2:$P$429&lt;3.75), $S161), 1)"),0.584)</f>
        <v>0.584</v>
      </c>
      <c r="X161" s="20">
        <f>IFERROR(__xludf.DUMMYFUNCTION("iferror(PERCENTRANK.INC(FILTER($S$2:$S$429, $P$2:$P$429&lt;4.5), $S161), 1)"),0.395)</f>
        <v>0.395</v>
      </c>
      <c r="Y161" s="20">
        <f>IFERROR(__xludf.DUMMYFUNCTION("iferror(PERCENTRANK.INC(FILTER($S$2:$S$429, $P$2:$P$429&gt;=4.1), $S161), 0.01)"),0.01)</f>
        <v>0.01</v>
      </c>
    </row>
    <row r="162" ht="14.25" customHeight="1">
      <c r="A162" s="14" t="s">
        <v>1114</v>
      </c>
      <c r="B162" s="14" t="s">
        <v>124</v>
      </c>
      <c r="C162" s="14">
        <v>1.0</v>
      </c>
      <c r="D162" s="14" t="s">
        <v>955</v>
      </c>
      <c r="E162" s="14" t="s">
        <v>125</v>
      </c>
      <c r="F162" s="14">
        <v>27.0</v>
      </c>
      <c r="G162" s="14">
        <v>20.0</v>
      </c>
      <c r="H162" s="14">
        <v>268.0</v>
      </c>
      <c r="I162" s="14">
        <v>13.4</v>
      </c>
      <c r="J162" s="14">
        <v>2.0</v>
      </c>
      <c r="K162" s="20">
        <v>6.0940493563391</v>
      </c>
      <c r="L162" s="20">
        <v>49.367432615343915</v>
      </c>
      <c r="M162" s="15"/>
      <c r="N162" s="20">
        <v>6.0940493563391</v>
      </c>
      <c r="O162" s="14">
        <v>2.62</v>
      </c>
      <c r="P162" s="20">
        <v>3.19</v>
      </c>
      <c r="Q162" s="20">
        <v>-5.5</v>
      </c>
      <c r="R162" s="20">
        <f t="array" ref="R162">XLOOKUP(E162, 'Conference Match'!$A$2:$A$40,'Conference Match'!$C$2:$C$40)</f>
        <v>0.95</v>
      </c>
      <c r="S162" s="20">
        <f t="shared" si="1"/>
        <v>2.726869378</v>
      </c>
      <c r="T162" s="20">
        <f t="shared" si="2"/>
        <v>32.10432184</v>
      </c>
      <c r="U162" s="20">
        <f t="shared" si="3"/>
        <v>-17.26311078</v>
      </c>
      <c r="W162" s="20">
        <f>IFERROR(__xludf.DUMMYFUNCTION("iferror(PERCENTRANK.INC(FILTER($S$2:$S$429, $P$2:$P$429&lt;3.75), $S162), 1)"),0.577)</f>
        <v>0.577</v>
      </c>
      <c r="X162" s="20">
        <f>IFERROR(__xludf.DUMMYFUNCTION("iferror(PERCENTRANK.INC(FILTER($S$2:$S$429, $P$2:$P$429&lt;4.5), $S162), 1)"),0.391)</f>
        <v>0.391</v>
      </c>
      <c r="Y162" s="20">
        <f>IFERROR(__xludf.DUMMYFUNCTION("iferror(PERCENTRANK.INC(FILTER($S$2:$S$429, $P$2:$P$429&gt;=4.1), $S162), 0.01)"),0.01)</f>
        <v>0.01</v>
      </c>
    </row>
    <row r="163" ht="14.25" customHeight="1">
      <c r="A163" s="14" t="s">
        <v>1115</v>
      </c>
      <c r="B163" s="14" t="s">
        <v>704</v>
      </c>
      <c r="C163" s="14" t="s">
        <v>955</v>
      </c>
      <c r="D163" s="14" t="s">
        <v>955</v>
      </c>
      <c r="E163" s="14" t="s">
        <v>176</v>
      </c>
      <c r="F163" s="14">
        <v>45.0</v>
      </c>
      <c r="G163" s="14">
        <v>25.0</v>
      </c>
      <c r="H163" s="14">
        <v>341.0</v>
      </c>
      <c r="I163" s="14">
        <v>13.6</v>
      </c>
      <c r="J163" s="14">
        <v>1.0</v>
      </c>
      <c r="K163" s="20">
        <v>5.83669115543785</v>
      </c>
      <c r="L163" s="20">
        <v>41.93652541069497</v>
      </c>
      <c r="M163" s="15"/>
      <c r="N163" s="20">
        <v>5.83669115543785</v>
      </c>
      <c r="O163" s="14">
        <v>2.99</v>
      </c>
      <c r="P163" s="20">
        <v>3.47</v>
      </c>
      <c r="Q163" s="43">
        <v>-7.5</v>
      </c>
      <c r="R163" s="20">
        <f t="array" ref="R163">XLOOKUP(E163, 'Conference Match'!$A$2:$A$40,'Conference Match'!$C$2:$C$40)</f>
        <v>0.9</v>
      </c>
      <c r="S163" s="20">
        <f t="shared" si="1"/>
        <v>2.633604408</v>
      </c>
      <c r="T163" s="20">
        <f t="shared" si="2"/>
        <v>30.26619158</v>
      </c>
      <c r="U163" s="20">
        <f t="shared" si="3"/>
        <v>-11.67033383</v>
      </c>
      <c r="W163" s="20">
        <f>IFERROR(__xludf.DUMMYFUNCTION("iferror(PERCENTRANK.INC(FILTER($S$2:$S$429, $P$2:$P$429&lt;3.75), $S163), 1)"),0.57)</f>
        <v>0.57</v>
      </c>
      <c r="X163" s="20">
        <f>IFERROR(__xludf.DUMMYFUNCTION("iferror(PERCENTRANK.INC(FILTER($S$2:$S$429, $P$2:$P$429&lt;4.5), $S163), 1)"),0.386)</f>
        <v>0.386</v>
      </c>
      <c r="Y163" s="20">
        <f>IFERROR(__xludf.DUMMYFUNCTION("iferror(PERCENTRANK.INC(FILTER($S$2:$S$429, $P$2:$P$429&gt;=4.1), $S163), 0.01)"),0.01)</f>
        <v>0.01</v>
      </c>
    </row>
    <row r="164" ht="14.25" customHeight="1">
      <c r="A164" s="14" t="s">
        <v>1116</v>
      </c>
      <c r="B164" s="14" t="s">
        <v>596</v>
      </c>
      <c r="C164" s="14" t="s">
        <v>955</v>
      </c>
      <c r="D164" s="14" t="s">
        <v>955</v>
      </c>
      <c r="E164" s="14" t="s">
        <v>157</v>
      </c>
      <c r="F164" s="14">
        <v>39.0</v>
      </c>
      <c r="G164" s="14">
        <v>23.0</v>
      </c>
      <c r="H164" s="14">
        <v>369.0</v>
      </c>
      <c r="I164" s="14">
        <v>16.0</v>
      </c>
      <c r="J164" s="14">
        <v>2.0</v>
      </c>
      <c r="K164" s="20">
        <v>6.784697552529622</v>
      </c>
      <c r="L164" s="20">
        <v>50.55911369063576</v>
      </c>
      <c r="M164" s="15"/>
      <c r="N164" s="20">
        <v>6.784697552529622</v>
      </c>
      <c r="O164" s="14">
        <v>2.64</v>
      </c>
      <c r="P164" s="14">
        <v>3.46</v>
      </c>
      <c r="Q164" s="14">
        <v>-8.5</v>
      </c>
      <c r="R164" s="20">
        <f t="array" ref="R164">XLOOKUP(E164, 'Conference Match'!$A$2:$A$40,'Conference Match'!$C$2:$C$40)</f>
        <v>0.9</v>
      </c>
      <c r="S164" s="20">
        <f t="shared" si="1"/>
        <v>2.629245559</v>
      </c>
      <c r="T164" s="20">
        <f t="shared" si="2"/>
        <v>30.18028439</v>
      </c>
      <c r="U164" s="20">
        <f t="shared" si="3"/>
        <v>-20.3788293</v>
      </c>
      <c r="W164" s="20">
        <f>IFERROR(__xludf.DUMMYFUNCTION("iferror(PERCENTRANK.INC(FILTER($S$2:$S$429, $P$2:$P$429&lt;3.75), $S164), 1)"),0.564)</f>
        <v>0.564</v>
      </c>
      <c r="X164" s="20">
        <f>IFERROR(__xludf.DUMMYFUNCTION("iferror(PERCENTRANK.INC(FILTER($S$2:$S$429, $P$2:$P$429&lt;4.5), $S164), 1)"),0.382)</f>
        <v>0.382</v>
      </c>
      <c r="Y164" s="20">
        <f>IFERROR(__xludf.DUMMYFUNCTION("iferror(PERCENTRANK.INC(FILTER($S$2:$S$429, $P$2:$P$429&gt;=4.1), $S164), 0.01)"),0.01)</f>
        <v>0.01</v>
      </c>
    </row>
    <row r="165" ht="14.25" customHeight="1">
      <c r="A165" s="14" t="s">
        <v>1117</v>
      </c>
      <c r="B165" s="14" t="s">
        <v>525</v>
      </c>
      <c r="C165" s="14" t="s">
        <v>955</v>
      </c>
      <c r="D165" s="14" t="s">
        <v>955</v>
      </c>
      <c r="E165" s="14" t="s">
        <v>188</v>
      </c>
      <c r="F165" s="14">
        <v>30.0</v>
      </c>
      <c r="G165" s="14">
        <v>19.0</v>
      </c>
      <c r="H165" s="14">
        <v>235.0</v>
      </c>
      <c r="I165" s="14">
        <v>12.4</v>
      </c>
      <c r="J165" s="14">
        <v>1.0</v>
      </c>
      <c r="K165" s="20">
        <v>5.443562188236467</v>
      </c>
      <c r="L165" s="20">
        <v>38.36082250880018</v>
      </c>
      <c r="M165" s="15"/>
      <c r="N165" s="20">
        <v>5.443562188236467</v>
      </c>
      <c r="O165" s="14">
        <v>1.86</v>
      </c>
      <c r="P165" s="14">
        <v>3.6</v>
      </c>
      <c r="Q165" s="14">
        <v>-5.5</v>
      </c>
      <c r="R165" s="20">
        <f t="array" ref="R165">XLOOKUP(E165, 'Conference Match'!$A$2:$A$40,'Conference Match'!$C$2:$C$40)</f>
        <v>0.9</v>
      </c>
      <c r="S165" s="20">
        <f t="shared" si="1"/>
        <v>2.601841194</v>
      </c>
      <c r="T165" s="20">
        <f t="shared" si="2"/>
        <v>29.64018028</v>
      </c>
      <c r="U165" s="20">
        <f t="shared" si="3"/>
        <v>-8.720642224</v>
      </c>
      <c r="W165" s="20">
        <f>IFERROR(__xludf.DUMMYFUNCTION("iferror(PERCENTRANK.INC(FILTER($S$2:$S$429, $P$2:$P$429&lt;3.75), $S165), 1)"),0.557)</f>
        <v>0.557</v>
      </c>
      <c r="X165" s="20">
        <f>IFERROR(__xludf.DUMMYFUNCTION("iferror(PERCENTRANK.INC(FILTER($S$2:$S$429, $P$2:$P$429&lt;4.5), $S165), 1)"),0.377)</f>
        <v>0.377</v>
      </c>
      <c r="Y165" s="20">
        <f>IFERROR(__xludf.DUMMYFUNCTION("iferror(PERCENTRANK.INC(FILTER($S$2:$S$429, $P$2:$P$429&gt;=4.1), $S165), 0.01)"),0.01)</f>
        <v>0.01</v>
      </c>
    </row>
    <row r="166" ht="14.25" customHeight="1">
      <c r="A166" s="14" t="s">
        <v>1118</v>
      </c>
      <c r="B166" s="14" t="s">
        <v>550</v>
      </c>
      <c r="D166" s="14" t="s">
        <v>955</v>
      </c>
      <c r="E166" s="14" t="s">
        <v>157</v>
      </c>
      <c r="F166" s="14">
        <v>24.0</v>
      </c>
      <c r="G166" s="14">
        <v>16.0</v>
      </c>
      <c r="H166" s="14">
        <v>199.0</v>
      </c>
      <c r="I166" s="14">
        <v>12.4</v>
      </c>
      <c r="J166" s="14">
        <v>1.0</v>
      </c>
      <c r="K166" s="20">
        <v>5.422439872037204</v>
      </c>
      <c r="L166" s="20">
        <v>38.168704568811926</v>
      </c>
      <c r="M166" s="15"/>
      <c r="N166" s="20">
        <v>5.422439872037204</v>
      </c>
      <c r="O166" s="14">
        <v>1.6</v>
      </c>
      <c r="P166" s="14">
        <v>3.31</v>
      </c>
      <c r="Q166" s="14">
        <v>-3.5</v>
      </c>
      <c r="R166" s="20">
        <f t="array" ref="R166">XLOOKUP(E166, 'Conference Match'!$A$2:$A$40,'Conference Match'!$C$2:$C$40)</f>
        <v>0.9</v>
      </c>
      <c r="S166" s="20">
        <f t="shared" si="1"/>
        <v>2.601039177</v>
      </c>
      <c r="T166" s="20">
        <f t="shared" si="2"/>
        <v>29.62437358</v>
      </c>
      <c r="U166" s="20">
        <f t="shared" si="3"/>
        <v>-8.544330986</v>
      </c>
      <c r="W166" s="20">
        <f>IFERROR(__xludf.DUMMYFUNCTION("iferror(PERCENTRANK.INC(FILTER($S$2:$S$429, $P$2:$P$429&lt;3.75), $S166), 1)"),0.55)</f>
        <v>0.55</v>
      </c>
      <c r="X166" s="20">
        <f>IFERROR(__xludf.DUMMYFUNCTION("iferror(PERCENTRANK.INC(FILTER($S$2:$S$429, $P$2:$P$429&lt;4.5), $S166), 1)"),0.373)</f>
        <v>0.373</v>
      </c>
      <c r="Y166" s="20">
        <f>IFERROR(__xludf.DUMMYFUNCTION("iferror(PERCENTRANK.INC(FILTER($S$2:$S$429, $P$2:$P$429&gt;=4.1), $S166), 0.01)"),0.01)</f>
        <v>0.01</v>
      </c>
    </row>
    <row r="167" ht="14.25" customHeight="1">
      <c r="A167" s="14" t="s">
        <v>1119</v>
      </c>
      <c r="B167" s="14" t="s">
        <v>143</v>
      </c>
      <c r="C167" s="14" t="s">
        <v>955</v>
      </c>
      <c r="D167" s="14" t="s">
        <v>955</v>
      </c>
      <c r="E167" s="14" t="s">
        <v>135</v>
      </c>
      <c r="F167" s="14">
        <v>44.0</v>
      </c>
      <c r="G167" s="14">
        <v>29.0</v>
      </c>
      <c r="H167" s="14">
        <v>439.0</v>
      </c>
      <c r="I167" s="14">
        <v>15.1</v>
      </c>
      <c r="J167" s="14">
        <v>6.0</v>
      </c>
      <c r="K167" s="20">
        <v>7.469831871419612</v>
      </c>
      <c r="L167" s="20">
        <v>56.790750066053754</v>
      </c>
      <c r="M167" s="15"/>
      <c r="N167" s="20">
        <v>7.469831871419612</v>
      </c>
      <c r="O167" s="14">
        <v>6.01</v>
      </c>
      <c r="R167" s="20">
        <f t="array" ref="R167">XLOOKUP(E167, 'Conference Match'!$A$2:$A$40,'Conference Match'!$C$2:$C$40)</f>
        <v>0.9</v>
      </c>
      <c r="S167" s="20">
        <f t="shared" si="1"/>
        <v>2.546569737</v>
      </c>
      <c r="T167" s="20">
        <f t="shared" si="2"/>
        <v>28.55085235</v>
      </c>
      <c r="U167" s="20">
        <f t="shared" si="3"/>
        <v>-28.23989772</v>
      </c>
      <c r="W167" s="20">
        <f>IFERROR(__xludf.DUMMYFUNCTION("iferror(PERCENTRANK.INC(FILTER($S$2:$S$429, $P$2:$P$429&lt;3.75), $S167), 1)"),0.544)</f>
        <v>0.544</v>
      </c>
      <c r="X167" s="20">
        <f>IFERROR(__xludf.DUMMYFUNCTION("iferror(PERCENTRANK.INC(FILTER($S$2:$S$429, $P$2:$P$429&lt;4.5), $S167), 1)"),0.368)</f>
        <v>0.368</v>
      </c>
      <c r="Y167" s="20">
        <f>IFERROR(__xludf.DUMMYFUNCTION("iferror(PERCENTRANK.INC(FILTER($S$2:$S$429, $P$2:$P$429&gt;=4.1), $S167), 0.01)"),0.01)</f>
        <v>0.01</v>
      </c>
    </row>
    <row r="168" ht="14.25" customHeight="1">
      <c r="A168" s="14" t="s">
        <v>1120</v>
      </c>
      <c r="B168" s="14" t="s">
        <v>299</v>
      </c>
      <c r="C168" s="14">
        <v>9.0</v>
      </c>
      <c r="D168" s="14" t="s">
        <v>955</v>
      </c>
      <c r="E168" s="14" t="s">
        <v>120</v>
      </c>
      <c r="F168" s="14">
        <v>41.0</v>
      </c>
      <c r="G168" s="14">
        <v>21.0</v>
      </c>
      <c r="H168" s="14">
        <v>300.0</v>
      </c>
      <c r="I168" s="14">
        <v>14.3</v>
      </c>
      <c r="J168" s="14">
        <v>2.0</v>
      </c>
      <c r="K168" s="20">
        <v>6.142940463960154</v>
      </c>
      <c r="L168" s="20">
        <v>49.951768513590025</v>
      </c>
      <c r="M168" s="15"/>
      <c r="N168" s="20">
        <v>6.142940463960154</v>
      </c>
      <c r="O168" s="14">
        <v>1.25</v>
      </c>
      <c r="P168" s="20">
        <v>3.03</v>
      </c>
      <c r="Q168" s="20">
        <v>-5.5</v>
      </c>
      <c r="R168" s="20">
        <f t="array" ref="R168">XLOOKUP(E168, 'Conference Match'!$A$2:$A$40,'Conference Match'!$C$2:$C$40)</f>
        <v>0.95</v>
      </c>
      <c r="S168" s="20">
        <f t="shared" si="1"/>
        <v>2.382158688</v>
      </c>
      <c r="T168" s="20">
        <f t="shared" si="2"/>
        <v>25.31052617</v>
      </c>
      <c r="U168" s="20">
        <f t="shared" si="3"/>
        <v>-24.64124234</v>
      </c>
      <c r="W168" s="20">
        <f>IFERROR(__xludf.DUMMYFUNCTION("iferror(PERCENTRANK.INC(FILTER($S$2:$S$429, $P$2:$P$429&lt;3.75), $S168), 1)"),0.53)</f>
        <v>0.53</v>
      </c>
      <c r="X168" s="20">
        <f>IFERROR(__xludf.DUMMYFUNCTION("iferror(PERCENTRANK.INC(FILTER($S$2:$S$429, $P$2:$P$429&lt;4.5), $S168), 1)"),0.359)</f>
        <v>0.359</v>
      </c>
      <c r="Y168" s="20">
        <f>IFERROR(__xludf.DUMMYFUNCTION("iferror(PERCENTRANK.INC(FILTER($S$2:$S$429, $P$2:$P$429&gt;=4.1), $S168), 0.01)"),0.01)</f>
        <v>0.01</v>
      </c>
    </row>
    <row r="169" ht="14.25" customHeight="1">
      <c r="A169" s="14" t="s">
        <v>1121</v>
      </c>
      <c r="B169" s="14" t="s">
        <v>317</v>
      </c>
      <c r="C169" s="14" t="s">
        <v>955</v>
      </c>
      <c r="D169" s="14" t="s">
        <v>955</v>
      </c>
      <c r="E169" s="14" t="s">
        <v>111</v>
      </c>
      <c r="F169" s="14">
        <v>55.0</v>
      </c>
      <c r="G169" s="14">
        <v>34.0</v>
      </c>
      <c r="H169" s="14">
        <v>408.0</v>
      </c>
      <c r="I169" s="14">
        <v>12.0</v>
      </c>
      <c r="J169" s="14">
        <v>5.0</v>
      </c>
      <c r="K169" s="20">
        <v>6.3052367281209385</v>
      </c>
      <c r="L169" s="20">
        <v>46.19817973711008</v>
      </c>
      <c r="M169" s="15"/>
      <c r="N169" s="20">
        <v>6.3052367281209385</v>
      </c>
      <c r="O169" s="14">
        <v>5.35</v>
      </c>
      <c r="R169" s="20">
        <f t="array" ref="R169">XLOOKUP(E169, 'Conference Match'!$A$2:$A$40,'Conference Match'!$C$2:$C$40)</f>
        <v>0.9</v>
      </c>
      <c r="S169" s="20">
        <f t="shared" si="1"/>
        <v>2.204942611</v>
      </c>
      <c r="T169" s="20">
        <f t="shared" si="2"/>
        <v>21.81782968</v>
      </c>
      <c r="U169" s="20">
        <f t="shared" si="3"/>
        <v>-24.38035006</v>
      </c>
      <c r="W169" s="20">
        <f>IFERROR(__xludf.DUMMYFUNCTION("iferror(PERCENTRANK.INC(FILTER($S$2:$S$429, $P$2:$P$429&lt;3.75), $S169), 1)"),0.517)</f>
        <v>0.517</v>
      </c>
      <c r="X169" s="20">
        <f>IFERROR(__xludf.DUMMYFUNCTION("iferror(PERCENTRANK.INC(FILTER($S$2:$S$429, $P$2:$P$429&lt;4.5), $S169), 1)"),0.35)</f>
        <v>0.35</v>
      </c>
      <c r="Y169" s="20">
        <f>IFERROR(__xludf.DUMMYFUNCTION("iferror(PERCENTRANK.INC(FILTER($S$2:$S$429, $P$2:$P$429&gt;=4.1), $S169), 0.01)"),0.01)</f>
        <v>0.01</v>
      </c>
    </row>
    <row r="170" ht="14.25" customHeight="1">
      <c r="A170" s="14" t="s">
        <v>1122</v>
      </c>
      <c r="B170" s="14" t="s">
        <v>655</v>
      </c>
      <c r="C170" s="14" t="s">
        <v>955</v>
      </c>
      <c r="D170" s="14" t="s">
        <v>955</v>
      </c>
      <c r="E170" s="14" t="s">
        <v>188</v>
      </c>
      <c r="F170" s="14">
        <v>25.0</v>
      </c>
      <c r="G170" s="14">
        <v>14.0</v>
      </c>
      <c r="H170" s="14">
        <v>207.0</v>
      </c>
      <c r="I170" s="14">
        <v>14.8</v>
      </c>
      <c r="J170" s="14">
        <v>1.0</v>
      </c>
      <c r="K170" s="20">
        <v>6.008333788307519</v>
      </c>
      <c r="L170" s="20">
        <v>43.49770027097065</v>
      </c>
      <c r="M170" s="15"/>
      <c r="N170" s="20">
        <v>6.008333788307519</v>
      </c>
      <c r="O170" s="14">
        <v>1.09</v>
      </c>
      <c r="P170" s="20">
        <v>2.87</v>
      </c>
      <c r="Q170" s="20">
        <v>-5.5</v>
      </c>
      <c r="R170" s="20">
        <f t="array" ref="R170">XLOOKUP(E170, 'Conference Match'!$A$2:$A$40,'Conference Match'!$C$2:$C$40)</f>
        <v>0.9</v>
      </c>
      <c r="S170" s="20">
        <f t="shared" si="1"/>
        <v>2.184500082</v>
      </c>
      <c r="T170" s="20">
        <f t="shared" si="2"/>
        <v>21.41493423</v>
      </c>
      <c r="U170" s="20">
        <f t="shared" si="3"/>
        <v>-22.08276604</v>
      </c>
      <c r="W170" s="20">
        <f>IFERROR(__xludf.DUMMYFUNCTION("iferror(PERCENTRANK.INC(FILTER($S$2:$S$429, $P$2:$P$429&lt;3.75), $S170), 1)"),0.51)</f>
        <v>0.51</v>
      </c>
      <c r="X170" s="20">
        <f>IFERROR(__xludf.DUMMYFUNCTION("iferror(PERCENTRANK.INC(FILTER($S$2:$S$429, $P$2:$P$429&lt;4.5), $S170), 1)"),0.345)</f>
        <v>0.345</v>
      </c>
      <c r="Y170" s="20">
        <f>IFERROR(__xludf.DUMMYFUNCTION("iferror(PERCENTRANK.INC(FILTER($S$2:$S$429, $P$2:$P$429&gt;=4.1), $S170), 0.01)"),0.01)</f>
        <v>0.01</v>
      </c>
    </row>
    <row r="171" ht="14.25" customHeight="1">
      <c r="A171" s="14" t="s">
        <v>1123</v>
      </c>
      <c r="B171" s="14" t="s">
        <v>166</v>
      </c>
      <c r="C171" s="14" t="s">
        <v>955</v>
      </c>
      <c r="D171" s="14" t="s">
        <v>955</v>
      </c>
      <c r="E171" s="14" t="s">
        <v>157</v>
      </c>
      <c r="F171" s="14">
        <v>45.0</v>
      </c>
      <c r="G171" s="14">
        <v>26.0</v>
      </c>
      <c r="H171" s="14">
        <v>480.0</v>
      </c>
      <c r="I171" s="14">
        <v>18.5</v>
      </c>
      <c r="J171" s="14">
        <v>4.0</v>
      </c>
      <c r="K171" s="20">
        <v>7.976135599882293</v>
      </c>
      <c r="L171" s="20">
        <v>61.39583354283752</v>
      </c>
      <c r="M171" s="15"/>
      <c r="N171" s="20">
        <v>7.976135599882293</v>
      </c>
      <c r="O171" s="14">
        <v>3.65</v>
      </c>
      <c r="P171" s="16">
        <v>3.84</v>
      </c>
      <c r="Q171" s="16">
        <v>-5.0</v>
      </c>
      <c r="R171" s="20">
        <f t="array" ref="R171">XLOOKUP(E171, 'Conference Match'!$A$2:$A$40,'Conference Match'!$C$2:$C$40)</f>
        <v>0.9</v>
      </c>
      <c r="S171" s="20">
        <f t="shared" si="1"/>
        <v>3.585704408</v>
      </c>
      <c r="T171" s="20">
        <f t="shared" si="2"/>
        <v>49.03083408</v>
      </c>
      <c r="U171" s="20">
        <f t="shared" si="3"/>
        <v>-12.36499946</v>
      </c>
      <c r="W171" s="20">
        <f>IFERROR(__xludf.DUMMYFUNCTION("iferror(PERCENTRANK.INC(FILTER($S$2:$S$429, $P$2:$P$429&lt;3.75), $S171), 1)"),0.852)</f>
        <v>0.852</v>
      </c>
      <c r="X171" s="20">
        <f>IFERROR(__xludf.DUMMYFUNCTION("iferror(PERCENTRANK.INC(FILTER($S$2:$S$429, $P$2:$P$429&lt;4.5), $S171), 1)"),0.668)</f>
        <v>0.668</v>
      </c>
      <c r="Y171" s="20">
        <f>IFERROR(__xludf.DUMMYFUNCTION("iferror(PERCENTRANK.INC(FILTER($S$2:$S$429, $P$2:$P$429&gt;=4.1), $S171), 0.01)"),0.075)</f>
        <v>0.075</v>
      </c>
    </row>
    <row r="172" ht="14.25" customHeight="1">
      <c r="A172" s="17" t="s">
        <v>1124</v>
      </c>
      <c r="B172" s="17" t="s">
        <v>585</v>
      </c>
      <c r="C172" s="18">
        <v>6.0</v>
      </c>
      <c r="D172" s="17" t="s">
        <v>955</v>
      </c>
      <c r="E172" s="17" t="s">
        <v>120</v>
      </c>
      <c r="F172" s="18">
        <v>65.0</v>
      </c>
      <c r="G172" s="18">
        <v>42.0</v>
      </c>
      <c r="H172" s="18">
        <v>421.0</v>
      </c>
      <c r="I172" s="18">
        <v>10.0</v>
      </c>
      <c r="J172" s="18">
        <v>4.0</v>
      </c>
      <c r="K172" s="22">
        <v>5.58</v>
      </c>
      <c r="L172" s="22">
        <v>43.17</v>
      </c>
      <c r="M172" s="15"/>
      <c r="N172" s="22">
        <v>5.58</v>
      </c>
      <c r="O172" s="16">
        <v>1.33</v>
      </c>
      <c r="P172" s="16">
        <v>3.97</v>
      </c>
      <c r="Q172" s="16">
        <v>0.0</v>
      </c>
      <c r="R172" s="20">
        <f t="array" ref="R172">XLOOKUP(E172, 'Conference Match'!$A$2:$A$40,'Conference Match'!$C$2:$C$40)</f>
        <v>0.95</v>
      </c>
      <c r="S172" s="20">
        <f t="shared" si="1"/>
        <v>3.3112</v>
      </c>
      <c r="T172" s="20">
        <f t="shared" si="2"/>
        <v>43.62071216</v>
      </c>
      <c r="U172" s="20">
        <f t="shared" si="3"/>
        <v>0.4507121591</v>
      </c>
      <c r="W172" s="20">
        <f>IFERROR(__xludf.DUMMYFUNCTION("iferror(PERCENTRANK.INC(FILTER($S$2:$S$429, $P$2:$P$429&lt;3.75), $S172), 1)"),0.751)</f>
        <v>0.751</v>
      </c>
      <c r="X172" s="20">
        <f>IFERROR(__xludf.DUMMYFUNCTION("iferror(PERCENTRANK.INC(FILTER($S$2:$S$429, $P$2:$P$429&lt;4.5), $S172), 1)"),0.555)</f>
        <v>0.555</v>
      </c>
      <c r="Y172" s="20">
        <f>IFERROR(__xludf.DUMMYFUNCTION("iferror(PERCENTRANK.INC(FILTER($S$2:$S$429, $P$2:$P$429&gt;=4.1), $S172), 0.01)"),0.032)</f>
        <v>0.032</v>
      </c>
    </row>
    <row r="173" ht="14.25" customHeight="1">
      <c r="A173" s="14" t="s">
        <v>1125</v>
      </c>
      <c r="B173" s="14" t="s">
        <v>241</v>
      </c>
      <c r="C173" s="14" t="s">
        <v>955</v>
      </c>
      <c r="D173" s="14" t="s">
        <v>955</v>
      </c>
      <c r="E173" s="14" t="s">
        <v>138</v>
      </c>
      <c r="F173" s="14">
        <v>53.0</v>
      </c>
      <c r="G173" s="14">
        <v>38.0</v>
      </c>
      <c r="H173" s="14">
        <v>575.0</v>
      </c>
      <c r="I173" s="14">
        <v>15.1</v>
      </c>
      <c r="J173" s="14">
        <v>1.0</v>
      </c>
      <c r="K173" s="20">
        <v>6.635295359693722</v>
      </c>
      <c r="L173" s="20">
        <v>49.20022666107958</v>
      </c>
      <c r="M173" s="15"/>
      <c r="N173" s="20">
        <v>6.635295359693722</v>
      </c>
      <c r="O173" s="14">
        <v>4.56</v>
      </c>
      <c r="R173" s="20">
        <f t="array" ref="R173">XLOOKUP(E173, 'Conference Match'!$A$2:$A$40,'Conference Match'!$C$2:$C$40)</f>
        <v>0.9</v>
      </c>
      <c r="S173" s="20">
        <f t="shared" si="1"/>
        <v>2.106353165</v>
      </c>
      <c r="T173" s="20">
        <f t="shared" si="2"/>
        <v>19.87476097</v>
      </c>
      <c r="U173" s="20">
        <f t="shared" si="3"/>
        <v>-29.32546569</v>
      </c>
      <c r="W173" s="20">
        <f>IFERROR(__xludf.DUMMYFUNCTION("iferror(PERCENTRANK.INC(FILTER($S$2:$S$429, $P$2:$P$429&lt;3.75), $S173), 1)"),0.503)</f>
        <v>0.503</v>
      </c>
      <c r="X173" s="20">
        <f>IFERROR(__xludf.DUMMYFUNCTION("iferror(PERCENTRANK.INC(FILTER($S$2:$S$429, $P$2:$P$429&lt;4.5), $S173), 1)"),0.341)</f>
        <v>0.341</v>
      </c>
      <c r="Y173" s="20">
        <f>IFERROR(__xludf.DUMMYFUNCTION("iferror(PERCENTRANK.INC(FILTER($S$2:$S$429, $P$2:$P$429&gt;=4.1), $S173), 0.01)"),0.01)</f>
        <v>0.01</v>
      </c>
    </row>
    <row r="174" ht="14.25" customHeight="1">
      <c r="A174" s="14" t="s">
        <v>1126</v>
      </c>
      <c r="B174" s="14" t="s">
        <v>243</v>
      </c>
      <c r="C174" s="14">
        <v>1.0</v>
      </c>
      <c r="D174" s="14" t="s">
        <v>955</v>
      </c>
      <c r="E174" s="14" t="s">
        <v>152</v>
      </c>
      <c r="F174" s="14">
        <v>41.0</v>
      </c>
      <c r="G174" s="14">
        <v>30.0</v>
      </c>
      <c r="H174" s="14">
        <v>374.0</v>
      </c>
      <c r="I174" s="14">
        <v>12.5</v>
      </c>
      <c r="J174" s="14">
        <v>2.0</v>
      </c>
      <c r="K174" s="20">
        <v>5.928306317618691</v>
      </c>
      <c r="L174" s="20">
        <v>47.386507818970045</v>
      </c>
      <c r="M174" s="15"/>
      <c r="N174" s="20">
        <v>5.928306317618691</v>
      </c>
      <c r="O174" s="14">
        <v>4.81</v>
      </c>
      <c r="P174" s="16">
        <v>4.76</v>
      </c>
      <c r="Q174" s="16">
        <v>5.5</v>
      </c>
      <c r="R174" s="20">
        <f t="array" ref="R174">XLOOKUP(E174, 'Conference Match'!$A$2:$A$40,'Conference Match'!$C$2:$C$40)</f>
        <v>0.95</v>
      </c>
      <c r="S174" s="20">
        <f t="shared" si="1"/>
        <v>5.0183782</v>
      </c>
      <c r="T174" s="20">
        <f t="shared" si="2"/>
        <v>77.26695584</v>
      </c>
      <c r="U174" s="20">
        <f t="shared" si="3"/>
        <v>29.88044802</v>
      </c>
      <c r="W174" s="20">
        <f>IFERROR(__xludf.DUMMYFUNCTION("iferror(PERCENTRANK.INC(FILTER($S$2:$S$429, $P$2:$P$429&lt;3.75), $S174), 1)"),1.0)</f>
        <v>1</v>
      </c>
      <c r="X174" s="20">
        <f>IFERROR(__xludf.DUMMYFUNCTION("iferror(PERCENTRANK.INC(FILTER($S$2:$S$429, $P$2:$P$429&lt;4.5), $S174), 1)"),0.977)</f>
        <v>0.977</v>
      </c>
      <c r="Y174" s="20">
        <f>IFERROR(__xludf.DUMMYFUNCTION("iferror(PERCENTRANK.INC(FILTER($S$2:$S$429, $P$2:$P$429&gt;=4.1), $S174), 0.01)"),0.75)</f>
        <v>0.75</v>
      </c>
    </row>
    <row r="175" ht="14.25" customHeight="1">
      <c r="A175" s="14" t="s">
        <v>1127</v>
      </c>
      <c r="B175" s="14" t="s">
        <v>533</v>
      </c>
      <c r="C175" s="14" t="s">
        <v>955</v>
      </c>
      <c r="D175" s="14" t="s">
        <v>955</v>
      </c>
      <c r="E175" s="14" t="s">
        <v>135</v>
      </c>
      <c r="F175" s="14">
        <v>69.0</v>
      </c>
      <c r="G175" s="14">
        <v>38.0</v>
      </c>
      <c r="H175" s="14">
        <v>490.0</v>
      </c>
      <c r="I175" s="14">
        <v>12.9</v>
      </c>
      <c r="J175" s="14">
        <v>2.0</v>
      </c>
      <c r="K175" s="20">
        <v>5.959799421673798</v>
      </c>
      <c r="L175" s="20">
        <v>43.056256139165114</v>
      </c>
      <c r="M175" s="15"/>
      <c r="N175" s="20">
        <v>5.959799421673798</v>
      </c>
      <c r="O175" s="14">
        <v>4.91</v>
      </c>
      <c r="R175" s="20">
        <f t="array" ref="R175">XLOOKUP(E175, 'Conference Match'!$A$2:$A$40,'Conference Match'!$C$2:$C$40)</f>
        <v>0.9</v>
      </c>
      <c r="S175" s="20">
        <f t="shared" si="1"/>
        <v>2.054763896</v>
      </c>
      <c r="T175" s="20">
        <f t="shared" si="2"/>
        <v>18.85800413</v>
      </c>
      <c r="U175" s="20">
        <f t="shared" si="3"/>
        <v>-24.19825201</v>
      </c>
      <c r="W175" s="20">
        <f>IFERROR(__xludf.DUMMYFUNCTION("iferror(PERCENTRANK.INC(FILTER($S$2:$S$429, $P$2:$P$429&lt;3.75), $S175), 1)"),0.497)</f>
        <v>0.497</v>
      </c>
      <c r="X175" s="20">
        <f>IFERROR(__xludf.DUMMYFUNCTION("iferror(PERCENTRANK.INC(FILTER($S$2:$S$429, $P$2:$P$429&lt;4.5), $S175), 1)"),0.336)</f>
        <v>0.336</v>
      </c>
      <c r="Y175" s="20">
        <f>IFERROR(__xludf.DUMMYFUNCTION("iferror(PERCENTRANK.INC(FILTER($S$2:$S$429, $P$2:$P$429&gt;=4.1), $S175), 0.01)"),0.01)</f>
        <v>0.01</v>
      </c>
    </row>
    <row r="176" ht="14.25" customHeight="1">
      <c r="A176" s="14" t="s">
        <v>1128</v>
      </c>
      <c r="B176" s="14" t="s">
        <v>553</v>
      </c>
      <c r="C176" s="14" t="s">
        <v>955</v>
      </c>
      <c r="D176" s="14" t="s">
        <v>955</v>
      </c>
      <c r="E176" s="14" t="s">
        <v>176</v>
      </c>
      <c r="F176" s="14">
        <v>45.0</v>
      </c>
      <c r="G176" s="14">
        <v>27.0</v>
      </c>
      <c r="H176" s="14">
        <v>415.0</v>
      </c>
      <c r="I176" s="14">
        <v>15.4</v>
      </c>
      <c r="J176" s="14">
        <v>4.0</v>
      </c>
      <c r="K176" s="20">
        <v>7.0622467109934055</v>
      </c>
      <c r="L176" s="20">
        <v>53.083560918227164</v>
      </c>
      <c r="M176" s="15"/>
      <c r="N176" s="20">
        <v>7.0622467109934055</v>
      </c>
      <c r="O176" s="14">
        <v>3.9</v>
      </c>
      <c r="R176" s="20">
        <f t="array" ref="R176">XLOOKUP(E176, 'Conference Match'!$A$2:$A$40,'Conference Match'!$C$2:$C$40)</f>
        <v>0.9</v>
      </c>
      <c r="S176" s="20">
        <f t="shared" si="1"/>
        <v>2.051204408</v>
      </c>
      <c r="T176" s="20">
        <f t="shared" si="2"/>
        <v>18.78785129</v>
      </c>
      <c r="U176" s="20">
        <f t="shared" si="3"/>
        <v>-34.29570962</v>
      </c>
      <c r="W176" s="20">
        <f>IFERROR(__xludf.DUMMYFUNCTION("iferror(PERCENTRANK.INC(FILTER($S$2:$S$429, $P$2:$P$429&lt;3.75), $S176), 1)"),0.49)</f>
        <v>0.49</v>
      </c>
      <c r="X176" s="20">
        <f>IFERROR(__xludf.DUMMYFUNCTION("iferror(PERCENTRANK.INC(FILTER($S$2:$S$429, $P$2:$P$429&lt;4.5), $S176), 1)"),0.332)</f>
        <v>0.332</v>
      </c>
      <c r="Y176" s="20">
        <f>IFERROR(__xludf.DUMMYFUNCTION("iferror(PERCENTRANK.INC(FILTER($S$2:$S$429, $P$2:$P$429&gt;=4.1), $S176), 0.01)"),0.01)</f>
        <v>0.01</v>
      </c>
    </row>
    <row r="177" ht="14.25" customHeight="1">
      <c r="A177" s="14" t="s">
        <v>1129</v>
      </c>
      <c r="B177" s="14" t="s">
        <v>579</v>
      </c>
      <c r="C177" s="14">
        <v>17.0</v>
      </c>
      <c r="D177" s="14" t="s">
        <v>955</v>
      </c>
      <c r="E177" s="14" t="s">
        <v>152</v>
      </c>
      <c r="F177" s="14">
        <v>39.0</v>
      </c>
      <c r="G177" s="14">
        <v>28.0</v>
      </c>
      <c r="H177" s="14">
        <v>371.0</v>
      </c>
      <c r="I177" s="14">
        <v>13.3</v>
      </c>
      <c r="J177" s="14">
        <v>4.0</v>
      </c>
      <c r="K177" s="20">
        <v>6.546877039709108</v>
      </c>
      <c r="L177" s="20">
        <v>54.77953072454634</v>
      </c>
      <c r="M177" s="15"/>
      <c r="N177" s="20">
        <v>6.546877039709108</v>
      </c>
      <c r="O177" s="14">
        <v>3.99</v>
      </c>
      <c r="R177" s="20">
        <f t="array" ref="R177">XLOOKUP(E177, 'Conference Match'!$A$2:$A$40,'Conference Match'!$C$2:$C$40)</f>
        <v>0.95</v>
      </c>
      <c r="S177" s="20">
        <f t="shared" si="1"/>
        <v>2.041906638</v>
      </c>
      <c r="T177" s="20">
        <f t="shared" si="2"/>
        <v>18.60460443</v>
      </c>
      <c r="U177" s="20">
        <f t="shared" si="3"/>
        <v>-36.17492629</v>
      </c>
      <c r="W177" s="20">
        <f>IFERROR(__xludf.DUMMYFUNCTION("iferror(PERCENTRANK.INC(FILTER($S$2:$S$429, $P$2:$P$429&lt;3.75), $S177), 1)"),0.483)</f>
        <v>0.483</v>
      </c>
      <c r="X177" s="20">
        <f>IFERROR(__xludf.DUMMYFUNCTION("iferror(PERCENTRANK.INC(FILTER($S$2:$S$429, $P$2:$P$429&lt;4.5), $S177), 1)"),0.327)</f>
        <v>0.327</v>
      </c>
      <c r="Y177" s="20">
        <f>IFERROR(__xludf.DUMMYFUNCTION("iferror(PERCENTRANK.INC(FILTER($S$2:$S$429, $P$2:$P$429&gt;=4.1), $S177), 0.01)"),0.01)</f>
        <v>0.01</v>
      </c>
    </row>
    <row r="178" ht="14.25" customHeight="1">
      <c r="A178" s="14" t="s">
        <v>1130</v>
      </c>
      <c r="B178" s="14" t="s">
        <v>127</v>
      </c>
      <c r="C178" s="14" t="s">
        <v>955</v>
      </c>
      <c r="D178" s="14" t="s">
        <v>955</v>
      </c>
      <c r="E178" s="14" t="s">
        <v>111</v>
      </c>
      <c r="F178" s="14">
        <v>28.0</v>
      </c>
      <c r="G178" s="14">
        <v>15.0</v>
      </c>
      <c r="H178" s="14">
        <v>290.0</v>
      </c>
      <c r="I178" s="14">
        <v>19.3</v>
      </c>
      <c r="J178" s="14">
        <v>3.0</v>
      </c>
      <c r="K178" s="20">
        <v>7.773196397638124</v>
      </c>
      <c r="L178" s="20">
        <v>59.55000086472564</v>
      </c>
      <c r="M178" s="15"/>
      <c r="N178" s="20">
        <v>7.773196397638124</v>
      </c>
      <c r="O178" s="14">
        <v>3.11</v>
      </c>
      <c r="R178" s="20">
        <f t="array" ref="R178">XLOOKUP(E178, 'Conference Match'!$A$2:$A$40,'Conference Match'!$C$2:$C$40)</f>
        <v>0.9</v>
      </c>
      <c r="S178" s="20">
        <f t="shared" si="1"/>
        <v>2.021175352</v>
      </c>
      <c r="T178" s="20">
        <f t="shared" si="2"/>
        <v>18.19601797</v>
      </c>
      <c r="U178" s="20">
        <f t="shared" si="3"/>
        <v>-41.3539829</v>
      </c>
      <c r="W178" s="20">
        <f>IFERROR(__xludf.DUMMYFUNCTION("iferror(PERCENTRANK.INC(FILTER($S$2:$S$429, $P$2:$P$429&lt;3.75), $S178), 1)"),0.477)</f>
        <v>0.477</v>
      </c>
      <c r="X178" s="20">
        <f>IFERROR(__xludf.DUMMYFUNCTION("iferror(PERCENTRANK.INC(FILTER($S$2:$S$429, $P$2:$P$429&lt;4.5), $S178), 1)"),0.323)</f>
        <v>0.323</v>
      </c>
      <c r="Y178" s="20">
        <f>IFERROR(__xludf.DUMMYFUNCTION("iferror(PERCENTRANK.INC(FILTER($S$2:$S$429, $P$2:$P$429&gt;=4.1), $S178), 0.01)"),0.01)</f>
        <v>0.01</v>
      </c>
    </row>
    <row r="179" ht="14.25" customHeight="1">
      <c r="A179" s="14" t="s">
        <v>1131</v>
      </c>
      <c r="B179" s="14" t="s">
        <v>468</v>
      </c>
      <c r="C179" s="14" t="s">
        <v>955</v>
      </c>
      <c r="D179" s="14" t="s">
        <v>955</v>
      </c>
      <c r="E179" s="14" t="s">
        <v>111</v>
      </c>
      <c r="F179" s="14">
        <v>28.0</v>
      </c>
      <c r="G179" s="14">
        <v>16.0</v>
      </c>
      <c r="H179" s="14">
        <v>278.0</v>
      </c>
      <c r="I179" s="14">
        <v>17.4</v>
      </c>
      <c r="J179" s="14">
        <v>4.0</v>
      </c>
      <c r="K179" s="20">
        <v>7.464267826209551</v>
      </c>
      <c r="L179" s="20">
        <v>56.74014231576376</v>
      </c>
      <c r="M179" s="15"/>
      <c r="N179" s="20">
        <v>7.464267826209551</v>
      </c>
      <c r="O179" s="14">
        <v>3.11</v>
      </c>
      <c r="R179" s="20">
        <f t="array" ref="R179">XLOOKUP(E179, 'Conference Match'!$A$2:$A$40,'Conference Match'!$C$2:$C$40)</f>
        <v>0.9</v>
      </c>
      <c r="S179" s="20">
        <f t="shared" si="1"/>
        <v>1.965568209</v>
      </c>
      <c r="T179" s="20">
        <f t="shared" si="2"/>
        <v>17.1000741</v>
      </c>
      <c r="U179" s="20">
        <f t="shared" si="3"/>
        <v>-39.64006821</v>
      </c>
      <c r="W179" s="20">
        <f>IFERROR(__xludf.DUMMYFUNCTION("iferror(PERCENTRANK.INC(FILTER($S$2:$S$429, $P$2:$P$429&lt;3.75), $S179), 1)"),0.47)</f>
        <v>0.47</v>
      </c>
      <c r="X179" s="20">
        <f>IFERROR(__xludf.DUMMYFUNCTION("iferror(PERCENTRANK.INC(FILTER($S$2:$S$429, $P$2:$P$429&lt;4.5), $S179), 1)"),0.318)</f>
        <v>0.318</v>
      </c>
      <c r="Y179" s="20">
        <f>IFERROR(__xludf.DUMMYFUNCTION("iferror(PERCENTRANK.INC(FILTER($S$2:$S$429, $P$2:$P$429&gt;=4.1), $S179), 0.01)"),0.01)</f>
        <v>0.01</v>
      </c>
    </row>
    <row r="180" ht="14.25" customHeight="1">
      <c r="A180" s="14" t="s">
        <v>1132</v>
      </c>
      <c r="B180" s="14" t="s">
        <v>1133</v>
      </c>
      <c r="C180" s="14" t="s">
        <v>955</v>
      </c>
      <c r="D180" s="14" t="s">
        <v>955</v>
      </c>
      <c r="E180" s="14" t="s">
        <v>209</v>
      </c>
      <c r="F180" s="14">
        <v>53.0</v>
      </c>
      <c r="G180" s="14">
        <v>24.0</v>
      </c>
      <c r="H180" s="14">
        <v>391.0</v>
      </c>
      <c r="I180" s="14">
        <v>16.3</v>
      </c>
      <c r="J180" s="14">
        <v>4.0</v>
      </c>
      <c r="K180" s="20">
        <v>7.122087812523911</v>
      </c>
      <c r="L180" s="20">
        <v>53.62784541071433</v>
      </c>
      <c r="M180" s="15"/>
      <c r="N180" s="20">
        <v>7.122087812523911</v>
      </c>
      <c r="O180" s="14">
        <v>3.35</v>
      </c>
      <c r="R180" s="20">
        <f t="array" ref="R180">XLOOKUP(E180, 'Conference Match'!$A$2:$A$40,'Conference Match'!$C$2:$C$40)</f>
        <v>0.9</v>
      </c>
      <c r="S180" s="20">
        <f t="shared" si="1"/>
        <v>1.951975806</v>
      </c>
      <c r="T180" s="20">
        <f t="shared" si="2"/>
        <v>16.83218567</v>
      </c>
      <c r="U180" s="20">
        <f t="shared" si="3"/>
        <v>-36.79565974</v>
      </c>
      <c r="W180" s="20">
        <f>IFERROR(__xludf.DUMMYFUNCTION("iferror(PERCENTRANK.INC(FILTER($S$2:$S$429, $P$2:$P$429&lt;3.75), $S180), 1)"),0.463)</f>
        <v>0.463</v>
      </c>
      <c r="X180" s="20">
        <f>IFERROR(__xludf.DUMMYFUNCTION("iferror(PERCENTRANK.INC(FILTER($S$2:$S$429, $P$2:$P$429&lt;4.5), $S180), 1)"),0.314)</f>
        <v>0.314</v>
      </c>
      <c r="Y180" s="20">
        <f>IFERROR(__xludf.DUMMYFUNCTION("iferror(PERCENTRANK.INC(FILTER($S$2:$S$429, $P$2:$P$429&gt;=4.1), $S180), 0.01)"),0.01)</f>
        <v>0.01</v>
      </c>
    </row>
    <row r="181" ht="14.25" customHeight="1">
      <c r="A181" s="14" t="s">
        <v>1134</v>
      </c>
      <c r="B181" s="14" t="s">
        <v>396</v>
      </c>
      <c r="C181" s="14" t="s">
        <v>955</v>
      </c>
      <c r="D181" s="14" t="s">
        <v>955</v>
      </c>
      <c r="E181" s="14" t="s">
        <v>157</v>
      </c>
      <c r="F181" s="14">
        <v>47.0</v>
      </c>
      <c r="G181" s="14">
        <v>40.0</v>
      </c>
      <c r="H181" s="14">
        <v>505.0</v>
      </c>
      <c r="I181" s="14">
        <v>12.6</v>
      </c>
      <c r="J181" s="14">
        <v>2.0</v>
      </c>
      <c r="K181" s="20">
        <v>6.192154396370953</v>
      </c>
      <c r="L181" s="20">
        <v>45.16963985446051</v>
      </c>
      <c r="M181" s="15"/>
      <c r="N181" s="20">
        <v>6.192154396370953</v>
      </c>
      <c r="O181" s="14">
        <v>4.03</v>
      </c>
      <c r="R181" s="20">
        <f t="array" ref="R181">XLOOKUP(E181, 'Conference Match'!$A$2:$A$40,'Conference Match'!$C$2:$C$40)</f>
        <v>0.9</v>
      </c>
      <c r="S181" s="20">
        <f t="shared" si="1"/>
        <v>1.920587791</v>
      </c>
      <c r="T181" s="20">
        <f t="shared" si="2"/>
        <v>16.21356906</v>
      </c>
      <c r="U181" s="20">
        <f t="shared" si="3"/>
        <v>-28.95607079</v>
      </c>
      <c r="W181" s="20">
        <f>IFERROR(__xludf.DUMMYFUNCTION("iferror(PERCENTRANK.INC(FILTER($S$2:$S$429, $P$2:$P$429&lt;3.75), $S181), 1)"),0.456)</f>
        <v>0.456</v>
      </c>
      <c r="X181" s="20">
        <f>IFERROR(__xludf.DUMMYFUNCTION("iferror(PERCENTRANK.INC(FILTER($S$2:$S$429, $P$2:$P$429&lt;4.5), $S181), 1)"),0.309)</f>
        <v>0.309</v>
      </c>
      <c r="Y181" s="20">
        <f>IFERROR(__xludf.DUMMYFUNCTION("iferror(PERCENTRANK.INC(FILTER($S$2:$S$429, $P$2:$P$429&gt;=4.1), $S181), 0.01)"),0.01)</f>
        <v>0.01</v>
      </c>
    </row>
    <row r="182" ht="14.25" customHeight="1">
      <c r="A182" s="14" t="s">
        <v>1135</v>
      </c>
      <c r="B182" s="14" t="s">
        <v>477</v>
      </c>
      <c r="C182" s="14" t="s">
        <v>955</v>
      </c>
      <c r="D182" s="14" t="s">
        <v>955</v>
      </c>
      <c r="E182" s="14" t="s">
        <v>141</v>
      </c>
      <c r="F182" s="14">
        <v>29.0</v>
      </c>
      <c r="G182" s="14">
        <v>19.0</v>
      </c>
      <c r="H182" s="14">
        <v>301.0</v>
      </c>
      <c r="I182" s="14">
        <v>15.8</v>
      </c>
      <c r="J182" s="14">
        <v>2.0</v>
      </c>
      <c r="K182" s="20">
        <v>6.742143221512789</v>
      </c>
      <c r="L182" s="20">
        <v>50.172060948152065</v>
      </c>
      <c r="M182" s="15"/>
      <c r="N182" s="20">
        <v>6.742143221512789</v>
      </c>
      <c r="O182" s="14">
        <v>3.43</v>
      </c>
      <c r="R182" s="20">
        <f t="array" ref="R182">XLOOKUP(E182, 'Conference Match'!$A$2:$A$40,'Conference Match'!$C$2:$C$40)</f>
        <v>0.9</v>
      </c>
      <c r="S182" s="20">
        <f t="shared" si="1"/>
        <v>1.89958578</v>
      </c>
      <c r="T182" s="20">
        <f t="shared" si="2"/>
        <v>15.79964695</v>
      </c>
      <c r="U182" s="20">
        <f t="shared" si="3"/>
        <v>-34.37241399</v>
      </c>
      <c r="W182" s="20">
        <f>IFERROR(__xludf.DUMMYFUNCTION("iferror(PERCENTRANK.INC(FILTER($S$2:$S$429, $P$2:$P$429&lt;3.75), $S182), 1)"),0.45)</f>
        <v>0.45</v>
      </c>
      <c r="X182" s="20">
        <f>IFERROR(__xludf.DUMMYFUNCTION("iferror(PERCENTRANK.INC(FILTER($S$2:$S$429, $P$2:$P$429&lt;4.5), $S182), 1)"),0.305)</f>
        <v>0.305</v>
      </c>
      <c r="Y182" s="20">
        <f>IFERROR(__xludf.DUMMYFUNCTION("iferror(PERCENTRANK.INC(FILTER($S$2:$S$429, $P$2:$P$429&gt;=4.1), $S182), 0.01)"),0.01)</f>
        <v>0.01</v>
      </c>
    </row>
    <row r="183" ht="14.25" customHeight="1">
      <c r="A183" s="14" t="s">
        <v>1136</v>
      </c>
      <c r="B183" s="14" t="s">
        <v>303</v>
      </c>
      <c r="C183" s="14">
        <v>4.0</v>
      </c>
      <c r="D183" s="14" t="s">
        <v>955</v>
      </c>
      <c r="E183" s="14" t="s">
        <v>125</v>
      </c>
      <c r="F183" s="14">
        <v>51.0</v>
      </c>
      <c r="G183" s="14">
        <v>42.0</v>
      </c>
      <c r="H183" s="14">
        <v>495.0</v>
      </c>
      <c r="I183" s="14">
        <v>11.8</v>
      </c>
      <c r="J183" s="14">
        <v>2.0</v>
      </c>
      <c r="K183" s="20">
        <v>5.909405889738794</v>
      </c>
      <c r="L183" s="20">
        <v>47.160614010467334</v>
      </c>
      <c r="M183" s="15"/>
      <c r="N183" s="20">
        <v>5.909405889738794</v>
      </c>
      <c r="O183" s="14">
        <v>3.86</v>
      </c>
      <c r="P183" s="16">
        <v>4.63</v>
      </c>
      <c r="Q183" s="16">
        <v>2.5</v>
      </c>
      <c r="R183" s="20">
        <f t="array" ref="R183">XLOOKUP(E183, 'Conference Match'!$A$2:$A$40,'Conference Match'!$C$2:$C$40)</f>
        <v>0.95</v>
      </c>
      <c r="S183" s="20">
        <f t="shared" si="1"/>
        <v>4.459787119</v>
      </c>
      <c r="T183" s="20">
        <f t="shared" si="2"/>
        <v>66.25785811</v>
      </c>
      <c r="U183" s="20">
        <f t="shared" si="3"/>
        <v>19.0972441</v>
      </c>
      <c r="W183" s="20">
        <f>IFERROR(__xludf.DUMMYFUNCTION("iferror(PERCENTRANK.INC(FILTER($S$2:$S$429, $P$2:$P$429&lt;3.75), $S183), 1)"),0.976)</f>
        <v>0.976</v>
      </c>
      <c r="X183" s="20">
        <f>IFERROR(__xludf.DUMMYFUNCTION("iferror(PERCENTRANK.INC(FILTER($S$2:$S$429, $P$2:$P$429&lt;4.5), $S183), 1)"),0.901)</f>
        <v>0.901</v>
      </c>
      <c r="Y183" s="20">
        <f>IFERROR(__xludf.DUMMYFUNCTION("iferror(PERCENTRANK.INC(FILTER($S$2:$S$429, $P$2:$P$429&gt;=4.1), $S183), 0.01)"),0.431)</f>
        <v>0.431</v>
      </c>
    </row>
    <row r="184" ht="14.25" customHeight="1">
      <c r="A184" s="14" t="s">
        <v>1137</v>
      </c>
      <c r="B184" s="14" t="s">
        <v>241</v>
      </c>
      <c r="C184" s="14" t="s">
        <v>955</v>
      </c>
      <c r="D184" s="14" t="s">
        <v>955</v>
      </c>
      <c r="E184" s="14" t="s">
        <v>138</v>
      </c>
      <c r="F184" s="14">
        <v>25.0</v>
      </c>
      <c r="G184" s="14">
        <v>17.0</v>
      </c>
      <c r="H184" s="14">
        <v>331.0</v>
      </c>
      <c r="I184" s="14">
        <v>19.5</v>
      </c>
      <c r="J184" s="14">
        <v>2.0</v>
      </c>
      <c r="K184" s="20">
        <v>7.909333788307519</v>
      </c>
      <c r="L184" s="20">
        <v>60.78823794081365</v>
      </c>
      <c r="M184" s="15"/>
      <c r="N184" s="20">
        <v>7.909333788307519</v>
      </c>
      <c r="O184" s="14">
        <v>2.32</v>
      </c>
      <c r="P184" s="16">
        <v>3.75</v>
      </c>
      <c r="Q184" s="16">
        <v>-6.5</v>
      </c>
      <c r="R184" s="20">
        <f t="array" ref="R184">XLOOKUP(E184, 'Conference Match'!$A$2:$A$40,'Conference Match'!$C$2:$C$40)</f>
        <v>0.9</v>
      </c>
      <c r="S184" s="20">
        <f t="shared" si="1"/>
        <v>3.112680082</v>
      </c>
      <c r="T184" s="20">
        <f t="shared" si="2"/>
        <v>39.7081449</v>
      </c>
      <c r="U184" s="20">
        <f t="shared" si="3"/>
        <v>-21.08009305</v>
      </c>
      <c r="W184" s="20">
        <f>IFERROR(__xludf.DUMMYFUNCTION("iferror(PERCENTRANK.INC(FILTER($S$2:$S$429, $P$2:$P$429&lt;3.75), $S184), 1)"),0.678)</f>
        <v>0.678</v>
      </c>
      <c r="X184" s="20">
        <f>IFERROR(__xludf.DUMMYFUNCTION("iferror(PERCENTRANK.INC(FILTER($S$2:$S$429, $P$2:$P$429&lt;4.5), $S184), 1)"),0.482)</f>
        <v>0.482</v>
      </c>
      <c r="Y184" s="20">
        <f>IFERROR(__xludf.DUMMYFUNCTION("iferror(PERCENTRANK.INC(FILTER($S$2:$S$429, $P$2:$P$429&gt;=4.1), $S184), 0.01)"),0.012)</f>
        <v>0.012</v>
      </c>
    </row>
    <row r="185" ht="14.25" customHeight="1">
      <c r="A185" s="14" t="s">
        <v>1138</v>
      </c>
      <c r="B185" s="14" t="s">
        <v>257</v>
      </c>
      <c r="C185" s="14" t="s">
        <v>955</v>
      </c>
      <c r="D185" s="14" t="s">
        <v>955</v>
      </c>
      <c r="E185" s="14" t="s">
        <v>138</v>
      </c>
      <c r="F185" s="14">
        <v>46.0</v>
      </c>
      <c r="G185" s="14">
        <v>35.0</v>
      </c>
      <c r="H185" s="14">
        <v>508.0</v>
      </c>
      <c r="I185" s="14">
        <v>14.5</v>
      </c>
      <c r="J185" s="14">
        <v>4.0</v>
      </c>
      <c r="K185" s="20">
        <v>7.067116877989825</v>
      </c>
      <c r="L185" s="20">
        <v>53.12785750208305</v>
      </c>
      <c r="M185" s="15"/>
      <c r="N185" s="20">
        <v>7.067116877989825</v>
      </c>
      <c r="O185" s="14">
        <v>3.06</v>
      </c>
      <c r="R185" s="20">
        <f t="array" ref="R185">XLOOKUP(E185, 'Conference Match'!$A$2:$A$40,'Conference Match'!$C$2:$C$40)</f>
        <v>0.9</v>
      </c>
      <c r="S185" s="20">
        <f t="shared" si="1"/>
        <v>1.884081038</v>
      </c>
      <c r="T185" s="20">
        <f t="shared" si="2"/>
        <v>15.49406882</v>
      </c>
      <c r="U185" s="20">
        <f t="shared" si="3"/>
        <v>-37.63378868</v>
      </c>
      <c r="W185" s="20">
        <f>IFERROR(__xludf.DUMMYFUNCTION("iferror(PERCENTRANK.INC(FILTER($S$2:$S$429, $P$2:$P$429&lt;3.75), $S185), 1)"),0.443)</f>
        <v>0.443</v>
      </c>
      <c r="X185" s="20">
        <f>IFERROR(__xludf.DUMMYFUNCTION("iferror(PERCENTRANK.INC(FILTER($S$2:$S$429, $P$2:$P$429&lt;4.5), $S185), 1)"),0.3)</f>
        <v>0.3</v>
      </c>
      <c r="Y185" s="20">
        <f>IFERROR(__xludf.DUMMYFUNCTION("iferror(PERCENTRANK.INC(FILTER($S$2:$S$429, $P$2:$P$429&gt;=4.1), $S185), 0.01)"),0.01)</f>
        <v>0.01</v>
      </c>
    </row>
    <row r="186" ht="14.25" customHeight="1">
      <c r="A186" s="14" t="s">
        <v>1139</v>
      </c>
      <c r="B186" s="14" t="s">
        <v>345</v>
      </c>
      <c r="C186" s="14">
        <v>13.0</v>
      </c>
      <c r="D186" s="14" t="s">
        <v>955</v>
      </c>
      <c r="E186" s="14" t="s">
        <v>120</v>
      </c>
      <c r="F186" s="14">
        <v>30.0</v>
      </c>
      <c r="G186" s="14">
        <v>24.0</v>
      </c>
      <c r="H186" s="14">
        <v>308.0</v>
      </c>
      <c r="I186" s="14">
        <v>12.8</v>
      </c>
      <c r="J186" s="14">
        <v>2.0</v>
      </c>
      <c r="K186" s="20">
        <v>6.028562188236469</v>
      </c>
      <c r="L186" s="20">
        <v>48.58474420718918</v>
      </c>
      <c r="M186" s="15"/>
      <c r="N186" s="20">
        <v>6.028562188236469</v>
      </c>
      <c r="O186" s="14">
        <v>3.63</v>
      </c>
      <c r="R186" s="20">
        <f t="array" ref="R186">XLOOKUP(E186, 'Conference Match'!$A$2:$A$40,'Conference Match'!$C$2:$C$40)</f>
        <v>0.95</v>
      </c>
      <c r="S186" s="20">
        <f t="shared" si="1"/>
        <v>1.871426816</v>
      </c>
      <c r="T186" s="20">
        <f t="shared" si="2"/>
        <v>15.2446707</v>
      </c>
      <c r="U186" s="20">
        <f t="shared" si="3"/>
        <v>-33.34007351</v>
      </c>
      <c r="W186" s="20">
        <f>IFERROR(__xludf.DUMMYFUNCTION("iferror(PERCENTRANK.INC(FILTER($S$2:$S$429, $P$2:$P$429&lt;3.75), $S186), 1)"),0.436)</f>
        <v>0.436</v>
      </c>
      <c r="X186" s="20">
        <f>IFERROR(__xludf.DUMMYFUNCTION("iferror(PERCENTRANK.INC(FILTER($S$2:$S$429, $P$2:$P$429&lt;4.5), $S186), 1)"),0.295)</f>
        <v>0.295</v>
      </c>
      <c r="Y186" s="20">
        <f>IFERROR(__xludf.DUMMYFUNCTION("iferror(PERCENTRANK.INC(FILTER($S$2:$S$429, $P$2:$P$429&gt;=4.1), $S186), 0.01)"),0.01)</f>
        <v>0.01</v>
      </c>
    </row>
    <row r="187" ht="14.25" customHeight="1">
      <c r="A187" s="14" t="s">
        <v>1140</v>
      </c>
      <c r="B187" s="14" t="s">
        <v>289</v>
      </c>
      <c r="C187" s="14" t="s">
        <v>955</v>
      </c>
      <c r="D187" s="14" t="s">
        <v>955</v>
      </c>
      <c r="E187" s="14" t="s">
        <v>141</v>
      </c>
      <c r="F187" s="14">
        <v>63.0</v>
      </c>
      <c r="G187" s="14">
        <v>42.0</v>
      </c>
      <c r="H187" s="14">
        <v>583.0</v>
      </c>
      <c r="I187" s="14">
        <v>13.9</v>
      </c>
      <c r="J187" s="14">
        <v>3.0</v>
      </c>
      <c r="K187" s="20">
        <v>6.622672571239377</v>
      </c>
      <c r="L187" s="20">
        <v>49.08541614068596</v>
      </c>
      <c r="M187" s="15"/>
      <c r="N187" s="20">
        <v>6.622672571239377</v>
      </c>
      <c r="O187" s="14">
        <v>3.37</v>
      </c>
      <c r="R187" s="20">
        <f t="array" ref="R187">XLOOKUP(E187, 'Conference Match'!$A$2:$A$40,'Conference Match'!$C$2:$C$40)</f>
        <v>0.9</v>
      </c>
      <c r="S187" s="20">
        <f t="shared" si="1"/>
        <v>1.866081063</v>
      </c>
      <c r="T187" s="20">
        <f t="shared" si="2"/>
        <v>15.13931292</v>
      </c>
      <c r="U187" s="20">
        <f t="shared" si="3"/>
        <v>-33.94610322</v>
      </c>
      <c r="W187" s="20">
        <f>IFERROR(__xludf.DUMMYFUNCTION("iferror(PERCENTRANK.INC(FILTER($S$2:$S$429, $P$2:$P$429&lt;3.75), $S187), 1)"),0.43)</f>
        <v>0.43</v>
      </c>
      <c r="X187" s="20">
        <f>IFERROR(__xludf.DUMMYFUNCTION("iferror(PERCENTRANK.INC(FILTER($S$2:$S$429, $P$2:$P$429&lt;4.5), $S187), 1)"),0.291)</f>
        <v>0.291</v>
      </c>
      <c r="Y187" s="20">
        <f>IFERROR(__xludf.DUMMYFUNCTION("iferror(PERCENTRANK.INC(FILTER($S$2:$S$429, $P$2:$P$429&gt;=4.1), $S187), 0.01)"),0.01)</f>
        <v>0.01</v>
      </c>
    </row>
    <row r="188" ht="14.25" customHeight="1">
      <c r="A188" s="14" t="s">
        <v>1141</v>
      </c>
      <c r="B188" s="14" t="s">
        <v>477</v>
      </c>
      <c r="C188" s="14" t="s">
        <v>955</v>
      </c>
      <c r="D188" s="14" t="s">
        <v>955</v>
      </c>
      <c r="E188" s="14" t="s">
        <v>141</v>
      </c>
      <c r="F188" s="14">
        <v>23.0</v>
      </c>
      <c r="G188" s="14">
        <v>16.0</v>
      </c>
      <c r="H188" s="14">
        <v>261.0</v>
      </c>
      <c r="I188" s="14">
        <v>16.3</v>
      </c>
      <c r="J188" s="14">
        <v>2.0</v>
      </c>
      <c r="K188" s="20">
        <v>6.896014492795695</v>
      </c>
      <c r="L188" s="20">
        <v>51.571596462314986</v>
      </c>
      <c r="M188" s="15"/>
      <c r="N188" s="20">
        <v>6.896014492795695</v>
      </c>
      <c r="O188" s="14">
        <v>3.02</v>
      </c>
      <c r="R188" s="20">
        <f t="array" ref="R188">XLOOKUP(E188, 'Conference Match'!$A$2:$A$40,'Conference Match'!$C$2:$C$40)</f>
        <v>0.9</v>
      </c>
      <c r="S188" s="20">
        <f t="shared" si="1"/>
        <v>1.845282609</v>
      </c>
      <c r="T188" s="20">
        <f t="shared" si="2"/>
        <v>14.72940266</v>
      </c>
      <c r="U188" s="20">
        <f t="shared" si="3"/>
        <v>-36.8421938</v>
      </c>
      <c r="W188" s="20">
        <f>IFERROR(__xludf.DUMMYFUNCTION("iferror(PERCENTRANK.INC(FILTER($S$2:$S$429, $P$2:$P$429&lt;3.75), $S188), 1)"),0.423)</f>
        <v>0.423</v>
      </c>
      <c r="X188" s="20">
        <f>IFERROR(__xludf.DUMMYFUNCTION("iferror(PERCENTRANK.INC(FILTER($S$2:$S$429, $P$2:$P$429&lt;4.5), $S188), 1)"),0.286)</f>
        <v>0.286</v>
      </c>
      <c r="Y188" s="20">
        <f>IFERROR(__xludf.DUMMYFUNCTION("iferror(PERCENTRANK.INC(FILTER($S$2:$S$429, $P$2:$P$429&gt;=4.1), $S188), 0.01)"),0.01)</f>
        <v>0.01</v>
      </c>
    </row>
    <row r="189" ht="14.25" customHeight="1">
      <c r="A189" s="14" t="s">
        <v>1142</v>
      </c>
      <c r="B189" s="14" t="s">
        <v>110</v>
      </c>
      <c r="C189" s="14" t="s">
        <v>955</v>
      </c>
      <c r="D189" s="14" t="s">
        <v>955</v>
      </c>
      <c r="E189" s="14" t="s">
        <v>111</v>
      </c>
      <c r="F189" s="14">
        <v>33.0</v>
      </c>
      <c r="G189" s="14">
        <v>26.0</v>
      </c>
      <c r="H189" s="14">
        <v>330.0</v>
      </c>
      <c r="I189" s="14">
        <v>12.7</v>
      </c>
      <c r="J189" s="14">
        <v>1.0</v>
      </c>
      <c r="K189" s="20">
        <v>5.806195880585354</v>
      </c>
      <c r="L189" s="20">
        <v>41.659155763883135</v>
      </c>
      <c r="M189" s="15"/>
      <c r="N189" s="20">
        <v>5.806195880585354</v>
      </c>
      <c r="O189" s="14">
        <v>3.97</v>
      </c>
      <c r="R189" s="20">
        <f t="array" ref="R189">XLOOKUP(E189, 'Conference Match'!$A$2:$A$40,'Conference Match'!$C$2:$C$40)</f>
        <v>0.9</v>
      </c>
      <c r="S189" s="20">
        <f t="shared" si="1"/>
        <v>1.839115259</v>
      </c>
      <c r="T189" s="20">
        <f t="shared" si="2"/>
        <v>14.60785227</v>
      </c>
      <c r="U189" s="20">
        <f t="shared" si="3"/>
        <v>-27.05130349</v>
      </c>
      <c r="W189" s="20">
        <f>IFERROR(__xludf.DUMMYFUNCTION("iferror(PERCENTRANK.INC(FILTER($S$2:$S$429, $P$2:$P$429&lt;3.75), $S189), 1)"),0.416)</f>
        <v>0.416</v>
      </c>
      <c r="X189" s="20">
        <f>IFERROR(__xludf.DUMMYFUNCTION("iferror(PERCENTRANK.INC(FILTER($S$2:$S$429, $P$2:$P$429&lt;4.5), $S189), 1)"),0.282)</f>
        <v>0.282</v>
      </c>
      <c r="Y189" s="20">
        <f>IFERROR(__xludf.DUMMYFUNCTION("iferror(PERCENTRANK.INC(FILTER($S$2:$S$429, $P$2:$P$429&gt;=4.1), $S189), 0.01)"),0.01)</f>
        <v>0.01</v>
      </c>
    </row>
    <row r="190" ht="14.25" customHeight="1">
      <c r="A190" s="14" t="s">
        <v>1143</v>
      </c>
      <c r="B190" s="14" t="s">
        <v>173</v>
      </c>
      <c r="C190" s="14" t="s">
        <v>955</v>
      </c>
      <c r="D190" s="14" t="s">
        <v>955</v>
      </c>
      <c r="E190" s="14" t="s">
        <v>135</v>
      </c>
      <c r="F190" s="14">
        <v>75.0</v>
      </c>
      <c r="G190" s="14">
        <v>48.0</v>
      </c>
      <c r="H190" s="14">
        <v>642.0</v>
      </c>
      <c r="I190" s="14">
        <v>13.4</v>
      </c>
      <c r="J190" s="14">
        <v>6.0</v>
      </c>
      <c r="K190" s="20">
        <v>7.081756669100216</v>
      </c>
      <c r="L190" s="20">
        <v>53.26101366182678</v>
      </c>
      <c r="M190" s="15"/>
      <c r="N190" s="20">
        <v>7.081756669100216</v>
      </c>
      <c r="O190" s="14">
        <v>2.81</v>
      </c>
      <c r="P190" s="16">
        <v>4.76</v>
      </c>
      <c r="Q190" s="16">
        <v>5.5</v>
      </c>
      <c r="R190" s="20">
        <f t="array" ref="R190">XLOOKUP(E190, 'Conference Match'!$A$2:$A$40,'Conference Match'!$C$2:$C$40)</f>
        <v>0.9</v>
      </c>
      <c r="S190" s="20">
        <f t="shared" si="1"/>
        <v>4.7667162</v>
      </c>
      <c r="T190" s="20">
        <f t="shared" si="2"/>
        <v>72.30702783</v>
      </c>
      <c r="U190" s="20">
        <f t="shared" si="3"/>
        <v>19.04601417</v>
      </c>
      <c r="W190" s="20">
        <f>IFERROR(__xludf.DUMMYFUNCTION("iferror(PERCENTRANK.INC(FILTER($S$2:$S$429, $P$2:$P$429&lt;3.75), $S190), 1)"),0.987)</f>
        <v>0.987</v>
      </c>
      <c r="X190" s="20">
        <f>IFERROR(__xludf.DUMMYFUNCTION("iferror(PERCENTRANK.INC(FILTER($S$2:$S$429, $P$2:$P$429&lt;4.5), $S190), 1)"),0.95)</f>
        <v>0.95</v>
      </c>
      <c r="Y190" s="20">
        <f>IFERROR(__xludf.DUMMYFUNCTION("iferror(PERCENTRANK.INC(FILTER($S$2:$S$429, $P$2:$P$429&gt;=4.1), $S190), 0.01)"),0.667)</f>
        <v>0.667</v>
      </c>
    </row>
    <row r="191" ht="14.25" customHeight="1">
      <c r="A191" s="14" t="s">
        <v>1144</v>
      </c>
      <c r="B191" s="14" t="s">
        <v>651</v>
      </c>
      <c r="C191" s="14">
        <v>6.0</v>
      </c>
      <c r="D191" s="14" t="s">
        <v>955</v>
      </c>
      <c r="E191" s="14" t="s">
        <v>149</v>
      </c>
      <c r="F191" s="14">
        <v>51.0</v>
      </c>
      <c r="G191" s="14">
        <v>38.0</v>
      </c>
      <c r="H191" s="14">
        <v>439.0</v>
      </c>
      <c r="I191" s="14">
        <v>11.6</v>
      </c>
      <c r="J191" s="14">
        <v>3.0</v>
      </c>
      <c r="K191" s="20">
        <v>5.929994125032911</v>
      </c>
      <c r="L191" s="20">
        <v>47.40668012656223</v>
      </c>
      <c r="M191" s="15"/>
      <c r="N191" s="20">
        <v>5.929994125032911</v>
      </c>
      <c r="O191" s="14">
        <v>3.48</v>
      </c>
      <c r="R191" s="20">
        <f t="array" ref="R191">XLOOKUP(E191, 'Conference Match'!$A$2:$A$40,'Conference Match'!$C$2:$C$40)</f>
        <v>0.95</v>
      </c>
      <c r="S191" s="20">
        <f t="shared" si="1"/>
        <v>1.822698884</v>
      </c>
      <c r="T191" s="20">
        <f t="shared" si="2"/>
        <v>14.28430705</v>
      </c>
      <c r="U191" s="20">
        <f t="shared" si="3"/>
        <v>-33.12237307</v>
      </c>
      <c r="W191" s="20">
        <f>IFERROR(__xludf.DUMMYFUNCTION("iferror(PERCENTRANK.INC(FILTER($S$2:$S$429, $P$2:$P$429&lt;3.75), $S191), 1)"),0.403)</f>
        <v>0.403</v>
      </c>
      <c r="X191" s="20">
        <f>IFERROR(__xludf.DUMMYFUNCTION("iferror(PERCENTRANK.INC(FILTER($S$2:$S$429, $P$2:$P$429&lt;4.5), $S191), 1)"),0.273)</f>
        <v>0.273</v>
      </c>
      <c r="Y191" s="20">
        <f>IFERROR(__xludf.DUMMYFUNCTION("iferror(PERCENTRANK.INC(FILTER($S$2:$S$429, $P$2:$P$429&gt;=4.1), $S191), 0.01)"),0.01)</f>
        <v>0.01</v>
      </c>
    </row>
    <row r="192" ht="14.25" customHeight="1">
      <c r="A192" s="14" t="s">
        <v>1145</v>
      </c>
      <c r="B192" s="14" t="s">
        <v>295</v>
      </c>
      <c r="C192" s="14" t="s">
        <v>955</v>
      </c>
      <c r="D192" s="14" t="s">
        <v>955</v>
      </c>
      <c r="E192" s="14" t="s">
        <v>135</v>
      </c>
      <c r="F192" s="14">
        <v>35.0</v>
      </c>
      <c r="G192" s="14">
        <v>23.0</v>
      </c>
      <c r="H192" s="14">
        <v>380.0</v>
      </c>
      <c r="I192" s="14">
        <v>16.5</v>
      </c>
      <c r="J192" s="14">
        <v>2.0</v>
      </c>
      <c r="K192" s="20">
        <v>7.029231628459639</v>
      </c>
      <c r="L192" s="20">
        <v>52.783272371029355</v>
      </c>
      <c r="M192" s="15"/>
      <c r="N192" s="20">
        <v>7.029231628459639</v>
      </c>
      <c r="O192" s="14">
        <v>2.68</v>
      </c>
      <c r="R192" s="20">
        <f t="array" ref="R192">XLOOKUP(E192, 'Conference Match'!$A$2:$A$40,'Conference Match'!$C$2:$C$40)</f>
        <v>0.9</v>
      </c>
      <c r="S192" s="20">
        <f t="shared" si="1"/>
        <v>1.801261693</v>
      </c>
      <c r="T192" s="20">
        <f t="shared" si="2"/>
        <v>13.86180814</v>
      </c>
      <c r="U192" s="20">
        <f t="shared" si="3"/>
        <v>-38.92146423</v>
      </c>
      <c r="W192" s="20">
        <f>IFERROR(__xludf.DUMMYFUNCTION("iferror(PERCENTRANK.INC(FILTER($S$2:$S$429, $P$2:$P$429&lt;3.75), $S192), 1)"),0.396)</f>
        <v>0.396</v>
      </c>
      <c r="X192" s="20">
        <f>IFERROR(__xludf.DUMMYFUNCTION("iferror(PERCENTRANK.INC(FILTER($S$2:$S$429, $P$2:$P$429&lt;4.5), $S192), 1)"),0.268)</f>
        <v>0.268</v>
      </c>
      <c r="Y192" s="20">
        <f>IFERROR(__xludf.DUMMYFUNCTION("iferror(PERCENTRANK.INC(FILTER($S$2:$S$429, $P$2:$P$429&gt;=4.1), $S192), 0.01)"),0.01)</f>
        <v>0.01</v>
      </c>
    </row>
    <row r="193" ht="14.25" customHeight="1">
      <c r="A193" s="14" t="s">
        <v>1146</v>
      </c>
      <c r="B193" s="14" t="s">
        <v>495</v>
      </c>
      <c r="C193" s="14" t="s">
        <v>955</v>
      </c>
      <c r="D193" s="14" t="s">
        <v>955</v>
      </c>
      <c r="E193" s="14" t="s">
        <v>157</v>
      </c>
      <c r="F193" s="14">
        <v>49.0</v>
      </c>
      <c r="G193" s="14">
        <v>27.0</v>
      </c>
      <c r="H193" s="14">
        <v>390.0</v>
      </c>
      <c r="I193" s="14">
        <v>14.4</v>
      </c>
      <c r="J193" s="14">
        <v>2.0</v>
      </c>
      <c r="K193" s="20">
        <v>6.302881521287607</v>
      </c>
      <c r="L193" s="20">
        <v>46.17675796305853</v>
      </c>
      <c r="M193" s="15"/>
      <c r="N193" s="20">
        <v>6.302881521287607</v>
      </c>
      <c r="O193" s="14">
        <v>3.3</v>
      </c>
      <c r="R193" s="20">
        <f t="array" ref="R193">XLOOKUP(E193, 'Conference Match'!$A$2:$A$40,'Conference Match'!$C$2:$C$40)</f>
        <v>0.9</v>
      </c>
      <c r="S193" s="20">
        <f t="shared" si="1"/>
        <v>1.794518674</v>
      </c>
      <c r="T193" s="20">
        <f t="shared" si="2"/>
        <v>13.72891207</v>
      </c>
      <c r="U193" s="20">
        <f t="shared" si="3"/>
        <v>-32.44784589</v>
      </c>
      <c r="W193" s="20">
        <f>IFERROR(__xludf.DUMMYFUNCTION("iferror(PERCENTRANK.INC(FILTER($S$2:$S$429, $P$2:$P$429&lt;3.75), $S193), 1)"),0.389)</f>
        <v>0.389</v>
      </c>
      <c r="X193" s="20">
        <f>IFERROR(__xludf.DUMMYFUNCTION("iferror(PERCENTRANK.INC(FILTER($S$2:$S$429, $P$2:$P$429&lt;4.5), $S193), 1)"),0.264)</f>
        <v>0.264</v>
      </c>
      <c r="Y193" s="20">
        <f>IFERROR(__xludf.DUMMYFUNCTION("iferror(PERCENTRANK.INC(FILTER($S$2:$S$429, $P$2:$P$429&gt;=4.1), $S193), 0.01)"),0.01)</f>
        <v>0.01</v>
      </c>
    </row>
    <row r="194" ht="14.25" customHeight="1">
      <c r="A194" s="14" t="s">
        <v>1147</v>
      </c>
      <c r="B194" s="14" t="s">
        <v>309</v>
      </c>
      <c r="C194" s="14" t="s">
        <v>955</v>
      </c>
      <c r="D194" s="14" t="s">
        <v>955</v>
      </c>
      <c r="E194" s="14" t="s">
        <v>176</v>
      </c>
      <c r="F194" s="14">
        <v>31.0</v>
      </c>
      <c r="G194" s="14">
        <v>19.0</v>
      </c>
      <c r="H194" s="14">
        <v>317.0</v>
      </c>
      <c r="I194" s="14">
        <v>16.7</v>
      </c>
      <c r="J194" s="14">
        <v>3.0</v>
      </c>
      <c r="K194" s="20">
        <v>7.163814017592808</v>
      </c>
      <c r="L194" s="20">
        <v>54.00736593704961</v>
      </c>
      <c r="M194" s="15"/>
      <c r="N194" s="20">
        <v>7.163814017592808</v>
      </c>
      <c r="O194" s="14">
        <v>2.46</v>
      </c>
      <c r="R194" s="20">
        <f t="array" ref="R194">XLOOKUP(E194, 'Conference Match'!$A$2:$A$40,'Conference Match'!$C$2:$C$40)</f>
        <v>0.9</v>
      </c>
      <c r="S194" s="20">
        <f t="shared" si="1"/>
        <v>1.781486523</v>
      </c>
      <c r="T194" s="20">
        <f t="shared" si="2"/>
        <v>13.47206547</v>
      </c>
      <c r="U194" s="20">
        <f t="shared" si="3"/>
        <v>-40.53530047</v>
      </c>
      <c r="W194" s="20">
        <f>IFERROR(__xludf.DUMMYFUNCTION("iferror(PERCENTRANK.INC(FILTER($S$2:$S$429, $P$2:$P$429&lt;3.75), $S194), 1)"),0.383)</f>
        <v>0.383</v>
      </c>
      <c r="X194" s="20">
        <f>IFERROR(__xludf.DUMMYFUNCTION("iferror(PERCENTRANK.INC(FILTER($S$2:$S$429, $P$2:$P$429&lt;4.5), $S194), 1)"),0.259)</f>
        <v>0.259</v>
      </c>
      <c r="Y194" s="20">
        <f>IFERROR(__xludf.DUMMYFUNCTION("iferror(PERCENTRANK.INC(FILTER($S$2:$S$429, $P$2:$P$429&gt;=4.1), $S194), 0.01)"),0.01)</f>
        <v>0.01</v>
      </c>
    </row>
    <row r="195" ht="14.25" customHeight="1">
      <c r="A195" s="14" t="s">
        <v>1148</v>
      </c>
      <c r="B195" s="14" t="s">
        <v>590</v>
      </c>
      <c r="C195" s="14" t="s">
        <v>955</v>
      </c>
      <c r="D195" s="14" t="s">
        <v>955</v>
      </c>
      <c r="E195" s="14" t="s">
        <v>111</v>
      </c>
      <c r="F195" s="14">
        <v>26.0</v>
      </c>
      <c r="G195" s="14">
        <v>15.0</v>
      </c>
      <c r="H195" s="14">
        <v>221.0</v>
      </c>
      <c r="I195" s="14">
        <v>14.7</v>
      </c>
      <c r="J195" s="14">
        <v>3.0</v>
      </c>
      <c r="K195" s="20">
        <v>6.4227736723322835</v>
      </c>
      <c r="L195" s="20">
        <v>47.26723652905353</v>
      </c>
      <c r="M195" s="15"/>
      <c r="N195" s="20">
        <v>6.4227736723322835</v>
      </c>
      <c r="O195" s="14">
        <v>3.09</v>
      </c>
      <c r="R195" s="20">
        <f t="array" ref="R195">XLOOKUP(E195, 'Conference Match'!$A$2:$A$40,'Conference Match'!$C$2:$C$40)</f>
        <v>0.9</v>
      </c>
      <c r="S195" s="20">
        <f t="shared" si="1"/>
        <v>1.774099261</v>
      </c>
      <c r="T195" s="20">
        <f t="shared" si="2"/>
        <v>13.32647222</v>
      </c>
      <c r="U195" s="20">
        <f t="shared" si="3"/>
        <v>-33.94076431</v>
      </c>
      <c r="W195" s="20">
        <f>IFERROR(__xludf.DUMMYFUNCTION("iferror(PERCENTRANK.INC(FILTER($S$2:$S$429, $P$2:$P$429&lt;3.75), $S195), 1)"),0.376)</f>
        <v>0.376</v>
      </c>
      <c r="X195" s="20">
        <f>IFERROR(__xludf.DUMMYFUNCTION("iferror(PERCENTRANK.INC(FILTER($S$2:$S$429, $P$2:$P$429&lt;4.5), $S195), 1)"),0.255)</f>
        <v>0.255</v>
      </c>
      <c r="Y195" s="20">
        <f>IFERROR(__xludf.DUMMYFUNCTION("iferror(PERCENTRANK.INC(FILTER($S$2:$S$429, $P$2:$P$429&gt;=4.1), $S195), 0.01)"),0.01)</f>
        <v>0.01</v>
      </c>
    </row>
    <row r="196" ht="14.25" customHeight="1">
      <c r="A196" s="14" t="s">
        <v>1149</v>
      </c>
      <c r="B196" s="14" t="s">
        <v>495</v>
      </c>
      <c r="C196" s="14" t="s">
        <v>955</v>
      </c>
      <c r="D196" s="14" t="s">
        <v>955</v>
      </c>
      <c r="E196" s="14" t="s">
        <v>157</v>
      </c>
      <c r="F196" s="14">
        <v>34.0</v>
      </c>
      <c r="G196" s="14">
        <v>19.0</v>
      </c>
      <c r="H196" s="14">
        <v>251.0</v>
      </c>
      <c r="I196" s="14">
        <v>13.2</v>
      </c>
      <c r="J196" s="14">
        <v>3.0</v>
      </c>
      <c r="K196" s="20">
        <v>6.022312997991882</v>
      </c>
      <c r="L196" s="20">
        <v>43.62484811507486</v>
      </c>
      <c r="M196" s="15"/>
      <c r="N196" s="20">
        <v>6.022312997991882</v>
      </c>
      <c r="O196" s="14">
        <v>3.38</v>
      </c>
      <c r="R196" s="20">
        <f t="array" ref="R196">XLOOKUP(E196, 'Conference Match'!$A$2:$A$40,'Conference Match'!$C$2:$C$40)</f>
        <v>0.9</v>
      </c>
      <c r="S196" s="20">
        <f t="shared" si="1"/>
        <v>1.76001634</v>
      </c>
      <c r="T196" s="20">
        <f t="shared" si="2"/>
        <v>13.04891631</v>
      </c>
      <c r="U196" s="20">
        <f t="shared" si="3"/>
        <v>-30.57593181</v>
      </c>
      <c r="W196" s="20">
        <f>IFERROR(__xludf.DUMMYFUNCTION("iferror(PERCENTRANK.INC(FILTER($S$2:$S$429, $P$2:$P$429&lt;3.75), $S196), 1)"),0.369)</f>
        <v>0.369</v>
      </c>
      <c r="X196" s="20">
        <f>IFERROR(__xludf.DUMMYFUNCTION("iferror(PERCENTRANK.INC(FILTER($S$2:$S$429, $P$2:$P$429&lt;4.5), $S196), 1)"),0.25)</f>
        <v>0.25</v>
      </c>
      <c r="Y196" s="20">
        <f>IFERROR(__xludf.DUMMYFUNCTION("iferror(PERCENTRANK.INC(FILTER($S$2:$S$429, $P$2:$P$429&gt;=4.1), $S196), 0.01)"),0.01)</f>
        <v>0.01</v>
      </c>
    </row>
    <row r="197" ht="14.25" customHeight="1">
      <c r="A197" s="17" t="s">
        <v>1150</v>
      </c>
      <c r="B197" s="17" t="s">
        <v>396</v>
      </c>
      <c r="D197" s="17" t="s">
        <v>955</v>
      </c>
      <c r="E197" s="17" t="s">
        <v>157</v>
      </c>
      <c r="F197" s="18">
        <v>30.0</v>
      </c>
      <c r="G197" s="18">
        <v>22.0</v>
      </c>
      <c r="H197" s="18">
        <v>276.0</v>
      </c>
      <c r="I197" s="18">
        <v>12.6</v>
      </c>
      <c r="J197" s="18">
        <v>0.0</v>
      </c>
      <c r="K197" s="18">
        <v>5.46</v>
      </c>
      <c r="L197" s="22">
        <v>38.47</v>
      </c>
      <c r="M197" s="15"/>
      <c r="N197" s="37">
        <v>5.46</v>
      </c>
      <c r="O197" s="16">
        <v>1.97</v>
      </c>
      <c r="P197" s="16">
        <v>3.84</v>
      </c>
      <c r="Q197" s="16">
        <v>-2.0</v>
      </c>
      <c r="R197" s="20">
        <f t="array" ref="R197">XLOOKUP(E197, 'Conference Match'!$A$2:$A$40,'Conference Match'!$C$2:$C$40)</f>
        <v>0.9</v>
      </c>
      <c r="S197" s="20">
        <f t="shared" si="1"/>
        <v>3.0968</v>
      </c>
      <c r="T197" s="20">
        <f t="shared" si="2"/>
        <v>39.39516931</v>
      </c>
      <c r="U197" s="20">
        <f t="shared" si="3"/>
        <v>0.9251693054</v>
      </c>
      <c r="W197" s="20">
        <f>IFERROR(__xludf.DUMMYFUNCTION("iferror(PERCENTRANK.INC(FILTER($S$2:$S$429, $P$2:$P$429&lt;3.75), $S197), 1)"),0.675)</f>
        <v>0.675</v>
      </c>
      <c r="X197" s="20">
        <f>IFERROR(__xludf.DUMMYFUNCTION("iferror(PERCENTRANK.INC(FILTER($S$2:$S$429, $P$2:$P$429&lt;4.5), $S197), 1)"),0.477)</f>
        <v>0.477</v>
      </c>
      <c r="Y197" s="20">
        <f>IFERROR(__xludf.DUMMYFUNCTION("iferror(PERCENTRANK.INC(FILTER($S$2:$S$429, $P$2:$P$429&gt;=4.1), $S197), 0.01)"),0.01)</f>
        <v>0.01</v>
      </c>
    </row>
    <row r="198" ht="14.25" customHeight="1">
      <c r="A198" s="14" t="s">
        <v>1151</v>
      </c>
      <c r="B198" s="14" t="s">
        <v>396</v>
      </c>
      <c r="C198" s="14" t="s">
        <v>955</v>
      </c>
      <c r="D198" s="14" t="s">
        <v>955</v>
      </c>
      <c r="E198" s="14" t="s">
        <v>157</v>
      </c>
      <c r="F198" s="14">
        <v>31.0</v>
      </c>
      <c r="G198" s="14">
        <v>26.0</v>
      </c>
      <c r="H198" s="14">
        <v>279.0</v>
      </c>
      <c r="I198" s="14">
        <v>10.7</v>
      </c>
      <c r="J198" s="14">
        <v>4.0</v>
      </c>
      <c r="K198" s="20">
        <v>5.797684985334743</v>
      </c>
      <c r="L198" s="20">
        <v>41.581744951187304</v>
      </c>
      <c r="M198" s="15"/>
      <c r="N198" s="20">
        <v>5.797684985334743</v>
      </c>
      <c r="O198" s="14">
        <v>3.56</v>
      </c>
      <c r="R198" s="20">
        <f t="array" ref="R198">XLOOKUP(E198, 'Conference Match'!$A$2:$A$40,'Conference Match'!$C$2:$C$40)</f>
        <v>0.9</v>
      </c>
      <c r="S198" s="20">
        <f t="shared" si="1"/>
        <v>1.755583297</v>
      </c>
      <c r="T198" s="20">
        <f t="shared" si="2"/>
        <v>12.96154686</v>
      </c>
      <c r="U198" s="20">
        <f t="shared" si="3"/>
        <v>-28.62019809</v>
      </c>
      <c r="W198" s="20">
        <f>IFERROR(__xludf.DUMMYFUNCTION("iferror(PERCENTRANK.INC(FILTER($S$2:$S$429, $P$2:$P$429&lt;3.75), $S198), 1)"),0.362)</f>
        <v>0.362</v>
      </c>
      <c r="X198" s="20">
        <f>IFERROR(__xludf.DUMMYFUNCTION("iferror(PERCENTRANK.INC(FILTER($S$2:$S$429, $P$2:$P$429&lt;4.5), $S198), 1)"),0.245)</f>
        <v>0.245</v>
      </c>
      <c r="Y198" s="20">
        <f>IFERROR(__xludf.DUMMYFUNCTION("iferror(PERCENTRANK.INC(FILTER($S$2:$S$429, $P$2:$P$429&gt;=4.1), $S198), 0.01)"),0.01)</f>
        <v>0.01</v>
      </c>
    </row>
    <row r="199" ht="14.25" customHeight="1">
      <c r="A199" s="14" t="s">
        <v>1152</v>
      </c>
      <c r="B199" s="14" t="s">
        <v>479</v>
      </c>
      <c r="C199" s="14" t="s">
        <v>955</v>
      </c>
      <c r="D199" s="14" t="s">
        <v>955</v>
      </c>
      <c r="E199" s="14" t="s">
        <v>176</v>
      </c>
      <c r="F199" s="14">
        <v>35.0</v>
      </c>
      <c r="G199" s="14">
        <v>13.0</v>
      </c>
      <c r="H199" s="14">
        <v>226.0</v>
      </c>
      <c r="I199" s="14">
        <v>17.4</v>
      </c>
      <c r="J199" s="14">
        <v>2.0</v>
      </c>
      <c r="K199" s="20">
        <v>6.742803057031067</v>
      </c>
      <c r="L199" s="20">
        <v>50.17806247939071</v>
      </c>
      <c r="M199" s="15"/>
      <c r="N199" s="20">
        <v>6.742803057031067</v>
      </c>
      <c r="O199" s="14">
        <v>2.69</v>
      </c>
      <c r="R199" s="20">
        <f t="array" ref="R199">XLOOKUP(E199, 'Conference Match'!$A$2:$A$40,'Conference Match'!$C$2:$C$40)</f>
        <v>0.9</v>
      </c>
      <c r="S199" s="20">
        <f t="shared" si="1"/>
        <v>1.75170455</v>
      </c>
      <c r="T199" s="20">
        <f t="shared" si="2"/>
        <v>12.88510184</v>
      </c>
      <c r="U199" s="20">
        <f t="shared" si="3"/>
        <v>-37.29296064</v>
      </c>
      <c r="W199" s="20">
        <f>IFERROR(__xludf.DUMMYFUNCTION("iferror(PERCENTRANK.INC(FILTER($S$2:$S$429, $P$2:$P$429&lt;3.75), $S199), 1)"),0.356)</f>
        <v>0.356</v>
      </c>
      <c r="X199" s="20">
        <f>IFERROR(__xludf.DUMMYFUNCTION("iferror(PERCENTRANK.INC(FILTER($S$2:$S$429, $P$2:$P$429&lt;4.5), $S199), 1)"),0.241)</f>
        <v>0.241</v>
      </c>
      <c r="Y199" s="20">
        <f>IFERROR(__xludf.DUMMYFUNCTION("iferror(PERCENTRANK.INC(FILTER($S$2:$S$429, $P$2:$P$429&gt;=4.1), $S199), 0.01)"),0.01)</f>
        <v>0.01</v>
      </c>
    </row>
    <row r="200" ht="14.25" customHeight="1">
      <c r="A200" s="14" t="s">
        <v>1153</v>
      </c>
      <c r="B200" s="14" t="s">
        <v>140</v>
      </c>
      <c r="C200" s="14" t="s">
        <v>955</v>
      </c>
      <c r="D200" s="14" t="s">
        <v>955</v>
      </c>
      <c r="E200" s="14" t="s">
        <v>141</v>
      </c>
      <c r="F200" s="14">
        <v>39.0</v>
      </c>
      <c r="G200" s="14">
        <v>26.0</v>
      </c>
      <c r="H200" s="14">
        <v>412.0</v>
      </c>
      <c r="I200" s="14">
        <v>15.8</v>
      </c>
      <c r="J200" s="14">
        <v>3.0</v>
      </c>
      <c r="K200" s="20">
        <v>7.0641847320168</v>
      </c>
      <c r="L200" s="20">
        <v>53.10118818046281</v>
      </c>
      <c r="M200" s="15"/>
      <c r="N200" s="20">
        <v>7.0641847320168</v>
      </c>
      <c r="O200" s="14">
        <v>2.39</v>
      </c>
      <c r="R200" s="20">
        <f t="array" ref="R200">XLOOKUP(E200, 'Conference Match'!$A$2:$A$40,'Conference Match'!$C$2:$C$40)</f>
        <v>0.9</v>
      </c>
      <c r="S200" s="20">
        <f t="shared" si="1"/>
        <v>1.749553252</v>
      </c>
      <c r="T200" s="20">
        <f t="shared" si="2"/>
        <v>12.84270256</v>
      </c>
      <c r="U200" s="20">
        <f t="shared" si="3"/>
        <v>-40.25848562</v>
      </c>
      <c r="W200" s="20">
        <f>IFERROR(__xludf.DUMMYFUNCTION("iferror(PERCENTRANK.INC(FILTER($S$2:$S$429, $P$2:$P$429&lt;3.75), $S200), 1)"),0.349)</f>
        <v>0.349</v>
      </c>
      <c r="X200" s="20">
        <f>IFERROR(__xludf.DUMMYFUNCTION("iferror(PERCENTRANK.INC(FILTER($S$2:$S$429, $P$2:$P$429&lt;4.5), $S200), 1)"),0.236)</f>
        <v>0.236</v>
      </c>
      <c r="Y200" s="20">
        <f>IFERROR(__xludf.DUMMYFUNCTION("iferror(PERCENTRANK.INC(FILTER($S$2:$S$429, $P$2:$P$429&gt;=4.1), $S200), 0.01)"),0.01)</f>
        <v>0.01</v>
      </c>
    </row>
    <row r="201" ht="14.25" customHeight="1">
      <c r="A201" s="14" t="s">
        <v>1154</v>
      </c>
      <c r="B201" s="14" t="s">
        <v>539</v>
      </c>
      <c r="C201" s="14" t="s">
        <v>955</v>
      </c>
      <c r="D201" s="14" t="s">
        <v>955</v>
      </c>
      <c r="E201" s="14" t="s">
        <v>176</v>
      </c>
      <c r="F201" s="14">
        <v>40.0</v>
      </c>
      <c r="G201" s="14">
        <v>29.0</v>
      </c>
      <c r="H201" s="14">
        <v>356.0</v>
      </c>
      <c r="I201" s="14">
        <v>12.3</v>
      </c>
      <c r="J201" s="14">
        <v>2.0</v>
      </c>
      <c r="K201" s="20">
        <v>5.846000223346508</v>
      </c>
      <c r="L201" s="20">
        <v>42.021195999514426</v>
      </c>
      <c r="M201" s="15"/>
      <c r="N201" s="20">
        <v>5.846000223346508</v>
      </c>
      <c r="O201" s="14">
        <v>3.45</v>
      </c>
      <c r="R201" s="20">
        <f t="array" ref="R201">XLOOKUP(E201, 'Conference Match'!$A$2:$A$40,'Conference Match'!$C$2:$C$40)</f>
        <v>0.9</v>
      </c>
      <c r="S201" s="20">
        <f t="shared" si="1"/>
        <v>1.74228004</v>
      </c>
      <c r="T201" s="20">
        <f t="shared" si="2"/>
        <v>12.6993571</v>
      </c>
      <c r="U201" s="20">
        <f t="shared" si="3"/>
        <v>-29.3218389</v>
      </c>
      <c r="W201" s="20">
        <f>IFERROR(__xludf.DUMMYFUNCTION("iferror(PERCENTRANK.INC(FILTER($S$2:$S$429, $P$2:$P$429&lt;3.75), $S201), 1)"),0.342)</f>
        <v>0.342</v>
      </c>
      <c r="X201" s="20">
        <f>IFERROR(__xludf.DUMMYFUNCTION("iferror(PERCENTRANK.INC(FILTER($S$2:$S$429, $P$2:$P$429&lt;4.5), $S201), 1)"),0.232)</f>
        <v>0.232</v>
      </c>
      <c r="Y201" s="20">
        <f>IFERROR(__xludf.DUMMYFUNCTION("iferror(PERCENTRANK.INC(FILTER($S$2:$S$429, $P$2:$P$429&gt;=4.1), $S201), 0.01)"),0.01)</f>
        <v>0.01</v>
      </c>
    </row>
    <row r="202" ht="14.25" customHeight="1">
      <c r="A202" s="14" t="s">
        <v>1155</v>
      </c>
      <c r="B202" s="14" t="s">
        <v>309</v>
      </c>
      <c r="C202" s="14" t="s">
        <v>955</v>
      </c>
      <c r="D202" s="14" t="s">
        <v>955</v>
      </c>
      <c r="E202" s="14" t="s">
        <v>176</v>
      </c>
      <c r="F202" s="14">
        <v>22.0</v>
      </c>
      <c r="G202" s="14">
        <v>13.0</v>
      </c>
      <c r="H202" s="14">
        <v>236.0</v>
      </c>
      <c r="I202" s="14">
        <v>18.1</v>
      </c>
      <c r="J202" s="14">
        <v>2.0</v>
      </c>
      <c r="K202" s="20">
        <v>7.242877521029749</v>
      </c>
      <c r="L202" s="20">
        <v>54.72648770690032</v>
      </c>
      <c r="M202" s="15"/>
      <c r="N202" s="20">
        <v>7.242877521029749</v>
      </c>
      <c r="O202" s="14">
        <v>2.15</v>
      </c>
      <c r="R202" s="20">
        <f t="array" ref="R202">XLOOKUP(E202, 'Conference Match'!$A$2:$A$40,'Conference Match'!$C$2:$C$40)</f>
        <v>0.9</v>
      </c>
      <c r="S202" s="20">
        <f t="shared" si="1"/>
        <v>1.733717954</v>
      </c>
      <c r="T202" s="20">
        <f t="shared" si="2"/>
        <v>12.53060961</v>
      </c>
      <c r="U202" s="20">
        <f t="shared" si="3"/>
        <v>-42.1958781</v>
      </c>
      <c r="W202" s="20">
        <f>IFERROR(__xludf.DUMMYFUNCTION("iferror(PERCENTRANK.INC(FILTER($S$2:$S$429, $P$2:$P$429&lt;3.75), $S202), 1)"),0.336)</f>
        <v>0.336</v>
      </c>
      <c r="X202" s="20">
        <f>IFERROR(__xludf.DUMMYFUNCTION("iferror(PERCENTRANK.INC(FILTER($S$2:$S$429, $P$2:$P$429&lt;4.5), $S202), 1)"),0.227)</f>
        <v>0.227</v>
      </c>
      <c r="Y202" s="20">
        <f>IFERROR(__xludf.DUMMYFUNCTION("iferror(PERCENTRANK.INC(FILTER($S$2:$S$429, $P$2:$P$429&gt;=4.1), $S202), 0.01)"),0.01)</f>
        <v>0.01</v>
      </c>
    </row>
    <row r="203" ht="14.25" customHeight="1">
      <c r="A203" s="14" t="s">
        <v>1156</v>
      </c>
      <c r="B203" s="14" t="s">
        <v>132</v>
      </c>
      <c r="C203" s="14" t="s">
        <v>955</v>
      </c>
      <c r="D203" s="14" t="s">
        <v>955</v>
      </c>
      <c r="E203" s="14" t="s">
        <v>111</v>
      </c>
      <c r="F203" s="14">
        <v>38.0</v>
      </c>
      <c r="G203" s="14">
        <v>18.0</v>
      </c>
      <c r="H203" s="14">
        <v>218.0</v>
      </c>
      <c r="I203" s="14">
        <v>12.1</v>
      </c>
      <c r="J203" s="14">
        <v>4.0</v>
      </c>
      <c r="K203" s="20">
        <v>5.79935183930327</v>
      </c>
      <c r="L203" s="20">
        <v>41.596905814592326</v>
      </c>
      <c r="M203" s="15"/>
      <c r="N203" s="20">
        <v>5.79935183930327</v>
      </c>
      <c r="O203" s="14">
        <v>3.3</v>
      </c>
      <c r="R203" s="20">
        <f t="array" ref="R203">XLOOKUP(E203, 'Conference Match'!$A$2:$A$40,'Conference Match'!$C$2:$C$40)</f>
        <v>0.9</v>
      </c>
      <c r="S203" s="20">
        <f t="shared" si="1"/>
        <v>1.703883331</v>
      </c>
      <c r="T203" s="20">
        <f t="shared" si="2"/>
        <v>11.94260832</v>
      </c>
      <c r="U203" s="20">
        <f t="shared" si="3"/>
        <v>-29.6542975</v>
      </c>
      <c r="W203" s="20">
        <f>IFERROR(__xludf.DUMMYFUNCTION("iferror(PERCENTRANK.INC(FILTER($S$2:$S$429, $P$2:$P$429&lt;3.75), $S203), 1)"),0.329)</f>
        <v>0.329</v>
      </c>
      <c r="X203" s="20">
        <f>IFERROR(__xludf.DUMMYFUNCTION("iferror(PERCENTRANK.INC(FILTER($S$2:$S$429, $P$2:$P$429&lt;4.5), $S203), 1)"),0.223)</f>
        <v>0.223</v>
      </c>
      <c r="Y203" s="20">
        <f>IFERROR(__xludf.DUMMYFUNCTION("iferror(PERCENTRANK.INC(FILTER($S$2:$S$429, $P$2:$P$429&gt;=4.1), $S203), 0.01)"),0.01)</f>
        <v>0.01</v>
      </c>
    </row>
    <row r="204" ht="14.25" customHeight="1">
      <c r="A204" s="14" t="s">
        <v>1157</v>
      </c>
      <c r="B204" s="14" t="s">
        <v>166</v>
      </c>
      <c r="C204" s="14" t="s">
        <v>955</v>
      </c>
      <c r="D204" s="14" t="s">
        <v>955</v>
      </c>
      <c r="E204" s="14" t="s">
        <v>157</v>
      </c>
      <c r="F204" s="14">
        <v>35.0</v>
      </c>
      <c r="G204" s="14">
        <v>27.0</v>
      </c>
      <c r="H204" s="14">
        <v>370.0</v>
      </c>
      <c r="I204" s="14">
        <v>13.7</v>
      </c>
      <c r="J204" s="14">
        <v>1.0</v>
      </c>
      <c r="K204" s="20">
        <v>6.129231628459638</v>
      </c>
      <c r="L204" s="20">
        <v>44.597326078099975</v>
      </c>
      <c r="M204" s="15"/>
      <c r="N204" s="20">
        <v>6.129231628459638</v>
      </c>
      <c r="O204" s="14">
        <v>2.94</v>
      </c>
      <c r="P204" s="16">
        <v>4.09</v>
      </c>
      <c r="Q204" s="16">
        <v>3.5</v>
      </c>
      <c r="R204" s="20">
        <f t="array" ref="R204">XLOOKUP(E204, 'Conference Match'!$A$2:$A$40,'Conference Match'!$C$2:$C$40)</f>
        <v>0.9</v>
      </c>
      <c r="S204" s="20">
        <f t="shared" si="1"/>
        <v>4.086261693</v>
      </c>
      <c r="T204" s="20">
        <f t="shared" si="2"/>
        <v>58.89616178</v>
      </c>
      <c r="U204" s="20">
        <f t="shared" si="3"/>
        <v>14.2988357</v>
      </c>
      <c r="W204" s="20">
        <f>IFERROR(__xludf.DUMMYFUNCTION("iferror(PERCENTRANK.INC(FILTER($S$2:$S$429, $P$2:$P$429&lt;3.75), $S204), 1)"),0.958)</f>
        <v>0.958</v>
      </c>
      <c r="X204" s="20">
        <f>IFERROR(__xludf.DUMMYFUNCTION("iferror(PERCENTRANK.INC(FILTER($S$2:$S$429, $P$2:$P$429&lt;4.5), $S204), 1)"),0.845)</f>
        <v>0.845</v>
      </c>
      <c r="Y204" s="20">
        <f>IFERROR(__xludf.DUMMYFUNCTION("iferror(PERCENTRANK.INC(FILTER($S$2:$S$429, $P$2:$P$429&gt;=4.1), $S204), 0.01)"),0.272)</f>
        <v>0.272</v>
      </c>
    </row>
    <row r="205" ht="14.25" customHeight="1">
      <c r="A205" s="14" t="s">
        <v>1158</v>
      </c>
      <c r="B205" s="14" t="s">
        <v>445</v>
      </c>
      <c r="C205" s="14" t="s">
        <v>955</v>
      </c>
      <c r="D205" s="14" t="s">
        <v>955</v>
      </c>
      <c r="E205" s="14" t="s">
        <v>141</v>
      </c>
      <c r="F205" s="14">
        <v>24.0</v>
      </c>
      <c r="G205" s="14">
        <v>13.0</v>
      </c>
      <c r="H205" s="14">
        <v>216.0</v>
      </c>
      <c r="I205" s="14">
        <v>16.6</v>
      </c>
      <c r="J205" s="14">
        <v>1.0</v>
      </c>
      <c r="K205" s="20">
        <v>6.512023205370538</v>
      </c>
      <c r="L205" s="20">
        <v>48.07900528918705</v>
      </c>
      <c r="M205" s="15"/>
      <c r="N205" s="20">
        <v>6.512023205370538</v>
      </c>
      <c r="O205" s="14">
        <v>2.59</v>
      </c>
      <c r="R205" s="20">
        <f t="array" ref="R205">XLOOKUP(E205, 'Conference Match'!$A$2:$A$40,'Conference Match'!$C$2:$C$40)</f>
        <v>0.9</v>
      </c>
      <c r="S205" s="20">
        <f t="shared" si="1"/>
        <v>1.690164177</v>
      </c>
      <c r="T205" s="20">
        <f t="shared" si="2"/>
        <v>11.67222178</v>
      </c>
      <c r="U205" s="20">
        <f t="shared" si="3"/>
        <v>-36.40678351</v>
      </c>
      <c r="W205" s="20">
        <f>IFERROR(__xludf.DUMMYFUNCTION("iferror(PERCENTRANK.INC(FILTER($S$2:$S$429, $P$2:$P$429&lt;3.75), $S205), 1)"),0.322)</f>
        <v>0.322</v>
      </c>
      <c r="X205" s="20">
        <f>IFERROR(__xludf.DUMMYFUNCTION("iferror(PERCENTRANK.INC(FILTER($S$2:$S$429, $P$2:$P$429&lt;4.5), $S205), 1)"),0.218)</f>
        <v>0.218</v>
      </c>
      <c r="Y205" s="20">
        <f>IFERROR(__xludf.DUMMYFUNCTION("iferror(PERCENTRANK.INC(FILTER($S$2:$S$429, $P$2:$P$429&gt;=4.1), $S205), 0.01)"),0.01)</f>
        <v>0.01</v>
      </c>
    </row>
    <row r="206" ht="14.25" customHeight="1">
      <c r="A206" s="14" t="s">
        <v>1159</v>
      </c>
      <c r="B206" s="14" t="s">
        <v>281</v>
      </c>
      <c r="C206" s="14" t="s">
        <v>955</v>
      </c>
      <c r="D206" s="14" t="s">
        <v>955</v>
      </c>
      <c r="E206" s="14" t="s">
        <v>111</v>
      </c>
      <c r="F206" s="14">
        <v>44.0</v>
      </c>
      <c r="G206" s="14">
        <v>30.0</v>
      </c>
      <c r="H206" s="14">
        <v>368.0</v>
      </c>
      <c r="I206" s="14">
        <v>12.3</v>
      </c>
      <c r="J206" s="14">
        <v>3.0</v>
      </c>
      <c r="K206" s="20">
        <v>6.014150053237794</v>
      </c>
      <c r="L206" s="20">
        <v>43.55060208468695</v>
      </c>
      <c r="M206" s="15"/>
      <c r="N206" s="20">
        <v>6.014150053237794</v>
      </c>
      <c r="O206" s="14">
        <v>3.03</v>
      </c>
      <c r="R206" s="20">
        <f t="array" ref="R206">XLOOKUP(E206, 'Conference Match'!$A$2:$A$40,'Conference Match'!$C$2:$C$40)</f>
        <v>0.9</v>
      </c>
      <c r="S206" s="20">
        <f t="shared" si="1"/>
        <v>1.68854701</v>
      </c>
      <c r="T206" s="20">
        <f t="shared" si="2"/>
        <v>11.64034953</v>
      </c>
      <c r="U206" s="20">
        <f t="shared" si="3"/>
        <v>-31.91025255</v>
      </c>
      <c r="W206" s="20">
        <f>IFERROR(__xludf.DUMMYFUNCTION("iferror(PERCENTRANK.INC(FILTER($S$2:$S$429, $P$2:$P$429&lt;3.75), $S206), 1)"),0.315)</f>
        <v>0.315</v>
      </c>
      <c r="X206" s="20">
        <f>IFERROR(__xludf.DUMMYFUNCTION("iferror(PERCENTRANK.INC(FILTER($S$2:$S$429, $P$2:$P$429&lt;4.5), $S206), 1)"),0.214)</f>
        <v>0.214</v>
      </c>
      <c r="Y206" s="20">
        <f>IFERROR(__xludf.DUMMYFUNCTION("iferror(PERCENTRANK.INC(FILTER($S$2:$S$429, $P$2:$P$429&gt;=4.1), $S206), 0.01)"),0.01)</f>
        <v>0.01</v>
      </c>
    </row>
    <row r="207" ht="14.25" customHeight="1">
      <c r="A207" s="14" t="s">
        <v>1160</v>
      </c>
      <c r="B207" s="14" t="s">
        <v>166</v>
      </c>
      <c r="C207" s="14" t="s">
        <v>955</v>
      </c>
      <c r="D207" s="14" t="s">
        <v>955</v>
      </c>
      <c r="E207" s="14" t="s">
        <v>157</v>
      </c>
      <c r="F207" s="14">
        <v>49.0</v>
      </c>
      <c r="G207" s="14">
        <v>30.0</v>
      </c>
      <c r="H207" s="14">
        <v>357.0</v>
      </c>
      <c r="I207" s="14">
        <v>11.9</v>
      </c>
      <c r="J207" s="14">
        <v>4.0</v>
      </c>
      <c r="K207" s="20">
        <v>6.025840704961076</v>
      </c>
      <c r="L207" s="20">
        <v>43.656934359282644</v>
      </c>
      <c r="M207" s="15"/>
      <c r="N207" s="20">
        <v>6.025840704961076</v>
      </c>
      <c r="O207" s="14">
        <v>2.98</v>
      </c>
      <c r="R207" s="20">
        <f t="array" ref="R207">XLOOKUP(E207, 'Conference Match'!$A$2:$A$40,'Conference Match'!$C$2:$C$40)</f>
        <v>0.9</v>
      </c>
      <c r="S207" s="20">
        <f t="shared" si="1"/>
        <v>1.680651327</v>
      </c>
      <c r="T207" s="20">
        <f t="shared" si="2"/>
        <v>11.48473598</v>
      </c>
      <c r="U207" s="20">
        <f t="shared" si="3"/>
        <v>-32.17219838</v>
      </c>
      <c r="W207" s="20">
        <f>IFERROR(__xludf.DUMMYFUNCTION("iferror(PERCENTRANK.INC(FILTER($S$2:$S$429, $P$2:$P$429&lt;3.75), $S207), 1)"),0.309)</f>
        <v>0.309</v>
      </c>
      <c r="X207" s="20">
        <f>IFERROR(__xludf.DUMMYFUNCTION("iferror(PERCENTRANK.INC(FILTER($S$2:$S$429, $P$2:$P$429&lt;4.5), $S207), 1)"),0.209)</f>
        <v>0.209</v>
      </c>
      <c r="Y207" s="20">
        <f>IFERROR(__xludf.DUMMYFUNCTION("iferror(PERCENTRANK.INC(FILTER($S$2:$S$429, $P$2:$P$429&gt;=4.1), $S207), 0.01)"),0.01)</f>
        <v>0.01</v>
      </c>
    </row>
    <row r="208" ht="14.25" customHeight="1">
      <c r="A208" s="14" t="s">
        <v>1161</v>
      </c>
      <c r="B208" s="14" t="s">
        <v>384</v>
      </c>
      <c r="C208" s="14" t="s">
        <v>955</v>
      </c>
      <c r="D208" s="14" t="s">
        <v>955</v>
      </c>
      <c r="E208" s="14" t="s">
        <v>111</v>
      </c>
      <c r="F208" s="14">
        <v>47.0</v>
      </c>
      <c r="G208" s="14">
        <v>22.0</v>
      </c>
      <c r="H208" s="14">
        <v>312.0</v>
      </c>
      <c r="I208" s="14">
        <v>14.2</v>
      </c>
      <c r="J208" s="14">
        <v>2.0</v>
      </c>
      <c r="K208" s="20">
        <v>6.08577141764755</v>
      </c>
      <c r="L208" s="20">
        <v>44.20203390966983</v>
      </c>
      <c r="M208" s="15"/>
      <c r="N208" s="20">
        <v>6.08577141764755</v>
      </c>
      <c r="O208" s="14">
        <v>2.9</v>
      </c>
      <c r="R208" s="20">
        <f t="array" ref="R208">XLOOKUP(E208, 'Conference Match'!$A$2:$A$40,'Conference Match'!$C$2:$C$40)</f>
        <v>0.9</v>
      </c>
      <c r="S208" s="20">
        <f t="shared" si="1"/>
        <v>1.675438855</v>
      </c>
      <c r="T208" s="20">
        <f t="shared" si="2"/>
        <v>11.382005</v>
      </c>
      <c r="U208" s="20">
        <f t="shared" si="3"/>
        <v>-32.82002891</v>
      </c>
      <c r="W208" s="20">
        <f>IFERROR(__xludf.DUMMYFUNCTION("iferror(PERCENTRANK.INC(FILTER($S$2:$S$429, $P$2:$P$429&lt;3.75), $S208), 1)"),0.302)</f>
        <v>0.302</v>
      </c>
      <c r="X208" s="20">
        <f>IFERROR(__xludf.DUMMYFUNCTION("iferror(PERCENTRANK.INC(FILTER($S$2:$S$429, $P$2:$P$429&lt;4.5), $S208), 1)"),0.205)</f>
        <v>0.205</v>
      </c>
      <c r="Y208" s="20">
        <f>IFERROR(__xludf.DUMMYFUNCTION("iferror(PERCENTRANK.INC(FILTER($S$2:$S$429, $P$2:$P$429&gt;=4.1), $S208), 0.01)"),0.01)</f>
        <v>0.01</v>
      </c>
    </row>
    <row r="209" ht="14.25" customHeight="1">
      <c r="A209" s="14" t="s">
        <v>1162</v>
      </c>
      <c r="B209" s="14" t="s">
        <v>377</v>
      </c>
      <c r="C209" s="14" t="s">
        <v>955</v>
      </c>
      <c r="D209" s="14" t="s">
        <v>955</v>
      </c>
      <c r="E209" s="14" t="s">
        <v>141</v>
      </c>
      <c r="F209" s="14">
        <v>33.0</v>
      </c>
      <c r="G209" s="14">
        <v>22.0</v>
      </c>
      <c r="H209" s="14">
        <v>335.0</v>
      </c>
      <c r="I209" s="14">
        <v>15.2</v>
      </c>
      <c r="J209" s="14">
        <v>4.0</v>
      </c>
      <c r="K209" s="20">
        <v>7.016044365433839</v>
      </c>
      <c r="L209" s="20">
        <v>52.66332767449609</v>
      </c>
      <c r="M209" s="15"/>
      <c r="N209" s="20">
        <v>7.016044365433839</v>
      </c>
      <c r="O209" s="14">
        <v>2.04</v>
      </c>
      <c r="R209" s="20">
        <f t="array" ref="R209">XLOOKUP(E209, 'Conference Match'!$A$2:$A$40,'Conference Match'!$C$2:$C$40)</f>
        <v>0.9</v>
      </c>
      <c r="S209" s="20">
        <f t="shared" si="1"/>
        <v>1.670887986</v>
      </c>
      <c r="T209" s="20">
        <f t="shared" si="2"/>
        <v>11.29231333</v>
      </c>
      <c r="U209" s="20">
        <f t="shared" si="3"/>
        <v>-41.37101435</v>
      </c>
      <c r="W209" s="20">
        <f>IFERROR(__xludf.DUMMYFUNCTION("iferror(PERCENTRANK.INC(FILTER($S$2:$S$429, $P$2:$P$429&lt;3.75), $S209), 1)"),0.295)</f>
        <v>0.295</v>
      </c>
      <c r="X209" s="20">
        <f>IFERROR(__xludf.DUMMYFUNCTION("iferror(PERCENTRANK.INC(FILTER($S$2:$S$429, $P$2:$P$429&lt;4.5), $S209), 1)"),0.2)</f>
        <v>0.2</v>
      </c>
      <c r="Y209" s="20">
        <f>IFERROR(__xludf.DUMMYFUNCTION("iferror(PERCENTRANK.INC(FILTER($S$2:$S$429, $P$2:$P$429&gt;=4.1), $S209), 0.01)"),0.01)</f>
        <v>0.01</v>
      </c>
    </row>
    <row r="210" ht="14.25" customHeight="1">
      <c r="A210" s="14" t="s">
        <v>1163</v>
      </c>
      <c r="B210" s="14" t="s">
        <v>533</v>
      </c>
      <c r="C210" s="14" t="s">
        <v>955</v>
      </c>
      <c r="D210" s="14" t="s">
        <v>955</v>
      </c>
      <c r="E210" s="14" t="s">
        <v>135</v>
      </c>
      <c r="F210" s="14">
        <v>19.0</v>
      </c>
      <c r="G210" s="14">
        <v>9.0</v>
      </c>
      <c r="H210" s="14">
        <v>154.0</v>
      </c>
      <c r="I210" s="14">
        <v>17.1</v>
      </c>
      <c r="J210" s="14">
        <v>0.0</v>
      </c>
      <c r="K210" s="20">
        <v>6.25245366416495</v>
      </c>
      <c r="L210" s="20">
        <v>45.7180915963101</v>
      </c>
      <c r="M210" s="15"/>
      <c r="N210" s="20">
        <v>6.25245366416495</v>
      </c>
      <c r="O210" s="14">
        <v>2.68</v>
      </c>
      <c r="R210" s="20">
        <f t="array" ref="R210">XLOOKUP(E210, 'Conference Match'!$A$2:$A$40,'Conference Match'!$C$2:$C$40)</f>
        <v>0.9</v>
      </c>
      <c r="S210" s="20">
        <f t="shared" si="1"/>
        <v>1.66144166</v>
      </c>
      <c r="T210" s="20">
        <f t="shared" si="2"/>
        <v>11.10613862</v>
      </c>
      <c r="U210" s="20">
        <f t="shared" si="3"/>
        <v>-34.61195297</v>
      </c>
      <c r="W210" s="20">
        <f>IFERROR(__xludf.DUMMYFUNCTION("iferror(PERCENTRANK.INC(FILTER($S$2:$S$429, $P$2:$P$429&lt;3.75), $S210), 1)"),0.289)</f>
        <v>0.289</v>
      </c>
      <c r="X210" s="20">
        <f>IFERROR(__xludf.DUMMYFUNCTION("iferror(PERCENTRANK.INC(FILTER($S$2:$S$429, $P$2:$P$429&lt;4.5), $S210), 1)"),0.195)</f>
        <v>0.195</v>
      </c>
      <c r="Y210" s="20">
        <f>IFERROR(__xludf.DUMMYFUNCTION("iferror(PERCENTRANK.INC(FILTER($S$2:$S$429, $P$2:$P$429&gt;=4.1), $S210), 0.01)"),0.01)</f>
        <v>0.01</v>
      </c>
    </row>
    <row r="211" ht="14.25" customHeight="1">
      <c r="A211" s="14" t="s">
        <v>1164</v>
      </c>
      <c r="B211" s="14" t="s">
        <v>200</v>
      </c>
      <c r="C211" s="14" t="s">
        <v>955</v>
      </c>
      <c r="D211" s="14" t="s">
        <v>955</v>
      </c>
      <c r="E211" s="14" t="s">
        <v>105</v>
      </c>
      <c r="F211" s="14">
        <v>40.0</v>
      </c>
      <c r="G211" s="14">
        <v>29.0</v>
      </c>
      <c r="H211" s="14">
        <v>348.0</v>
      </c>
      <c r="I211" s="14">
        <v>12.0</v>
      </c>
      <c r="J211" s="14">
        <v>3.0</v>
      </c>
      <c r="K211" s="20">
        <v>5.951000223346508</v>
      </c>
      <c r="L211" s="20">
        <v>42.97622306702285</v>
      </c>
      <c r="M211" s="15"/>
      <c r="N211" s="20">
        <v>5.951000223346508</v>
      </c>
      <c r="O211" s="14">
        <v>2.92</v>
      </c>
      <c r="R211" s="20">
        <f t="array" ref="R211">XLOOKUP(E211, 'Conference Match'!$A$2:$A$40,'Conference Match'!$C$2:$C$40)</f>
        <v>0.9</v>
      </c>
      <c r="S211" s="20">
        <f t="shared" si="1"/>
        <v>1.65518004</v>
      </c>
      <c r="T211" s="20">
        <f t="shared" si="2"/>
        <v>10.98273032</v>
      </c>
      <c r="U211" s="20">
        <f t="shared" si="3"/>
        <v>-31.99349275</v>
      </c>
      <c r="W211" s="20">
        <f>IFERROR(__xludf.DUMMYFUNCTION("iferror(PERCENTRANK.INC(FILTER($S$2:$S$429, $P$2:$P$429&lt;3.75), $S211), 1)"),0.282)</f>
        <v>0.282</v>
      </c>
      <c r="X211" s="20">
        <f>IFERROR(__xludf.DUMMYFUNCTION("iferror(PERCENTRANK.INC(FILTER($S$2:$S$429, $P$2:$P$429&lt;4.5), $S211), 1)"),0.191)</f>
        <v>0.191</v>
      </c>
      <c r="Y211" s="20">
        <f>IFERROR(__xludf.DUMMYFUNCTION("iferror(PERCENTRANK.INC(FILTER($S$2:$S$429, $P$2:$P$429&gt;=4.1), $S211), 0.01)"),0.01)</f>
        <v>0.01</v>
      </c>
    </row>
    <row r="212" ht="14.25" customHeight="1">
      <c r="A212" s="14" t="s">
        <v>1165</v>
      </c>
      <c r="B212" s="14" t="s">
        <v>333</v>
      </c>
      <c r="C212" s="14">
        <v>2.0</v>
      </c>
      <c r="D212" s="14" t="s">
        <v>955</v>
      </c>
      <c r="E212" s="14" t="s">
        <v>149</v>
      </c>
      <c r="F212" s="14">
        <v>38.0</v>
      </c>
      <c r="G212" s="14">
        <v>19.0</v>
      </c>
      <c r="H212" s="14">
        <v>263.0</v>
      </c>
      <c r="I212" s="14">
        <v>13.8</v>
      </c>
      <c r="J212" s="14">
        <v>1.0</v>
      </c>
      <c r="K212" s="20">
        <v>5.749351839303272</v>
      </c>
      <c r="L212" s="20">
        <v>45.24768276632236</v>
      </c>
      <c r="M212" s="15"/>
      <c r="N212" s="20">
        <v>5.749351839303272</v>
      </c>
      <c r="O212" s="14">
        <v>2.81</v>
      </c>
      <c r="R212" s="20">
        <f t="array" ref="R212">XLOOKUP(E212, 'Conference Match'!$A$2:$A$40,'Conference Match'!$C$2:$C$40)</f>
        <v>0.95</v>
      </c>
      <c r="S212" s="20">
        <f t="shared" si="1"/>
        <v>1.654376849</v>
      </c>
      <c r="T212" s="20">
        <f t="shared" si="2"/>
        <v>10.96690048</v>
      </c>
      <c r="U212" s="20">
        <f t="shared" si="3"/>
        <v>-34.28078228</v>
      </c>
      <c r="W212" s="20">
        <f>IFERROR(__xludf.DUMMYFUNCTION("iferror(PERCENTRANK.INC(FILTER($S$2:$S$429, $P$2:$P$429&lt;3.75), $S212), 1)"),0.275)</f>
        <v>0.275</v>
      </c>
      <c r="X212" s="20">
        <f>IFERROR(__xludf.DUMMYFUNCTION("iferror(PERCENTRANK.INC(FILTER($S$2:$S$429, $P$2:$P$429&lt;4.5), $S212), 1)"),0.186)</f>
        <v>0.186</v>
      </c>
      <c r="Y212" s="20">
        <f>IFERROR(__xludf.DUMMYFUNCTION("iferror(PERCENTRANK.INC(FILTER($S$2:$S$429, $P$2:$P$429&gt;=4.1), $S212), 0.01)"),0.01)</f>
        <v>0.01</v>
      </c>
    </row>
    <row r="213" ht="14.25" customHeight="1">
      <c r="A213" s="14" t="s">
        <v>1166</v>
      </c>
      <c r="B213" s="14" t="s">
        <v>507</v>
      </c>
      <c r="C213" s="14">
        <v>0.0</v>
      </c>
      <c r="D213" s="14" t="s">
        <v>955</v>
      </c>
      <c r="E213" s="14" t="s">
        <v>508</v>
      </c>
      <c r="F213" s="14">
        <v>40.0</v>
      </c>
      <c r="G213" s="14">
        <v>33.0</v>
      </c>
      <c r="H213" s="14">
        <v>360.0</v>
      </c>
      <c r="I213" s="14">
        <v>10.9</v>
      </c>
      <c r="J213" s="14">
        <v>2.0</v>
      </c>
      <c r="K213" s="20">
        <v>5.531000223346508</v>
      </c>
      <c r="L213" s="20">
        <v>42.63799168236253</v>
      </c>
      <c r="M213" s="15"/>
      <c r="N213" s="20">
        <v>5.531000223346508</v>
      </c>
      <c r="O213" s="14">
        <v>3.01</v>
      </c>
      <c r="P213" s="16">
        <v>4.74</v>
      </c>
      <c r="Q213" s="16">
        <v>-4.5</v>
      </c>
      <c r="R213" s="20">
        <f t="array" ref="R213">XLOOKUP(E213, 'Conference Match'!$A$2:$A$40,'Conference Match'!$C$2:$C$40)</f>
        <v>0.95</v>
      </c>
      <c r="S213" s="20">
        <f t="shared" si="1"/>
        <v>3.572890042</v>
      </c>
      <c r="T213" s="20">
        <f t="shared" si="2"/>
        <v>48.77827974</v>
      </c>
      <c r="U213" s="20">
        <f t="shared" si="3"/>
        <v>6.140288055</v>
      </c>
      <c r="W213" s="20">
        <f>IFERROR(__xludf.DUMMYFUNCTION("iferror(PERCENTRANK.INC(FILTER($S$2:$S$429, $P$2:$P$429&lt;3.75), $S213), 1)"),0.851)</f>
        <v>0.851</v>
      </c>
      <c r="X213" s="20">
        <f>IFERROR(__xludf.DUMMYFUNCTION("iferror(PERCENTRANK.INC(FILTER($S$2:$S$429, $P$2:$P$429&lt;4.5), $S213), 1)"),0.662)</f>
        <v>0.662</v>
      </c>
      <c r="Y213" s="20">
        <f>IFERROR(__xludf.DUMMYFUNCTION("iferror(PERCENTRANK.INC(FILTER($S$2:$S$429, $P$2:$P$429&gt;=4.1), $S213), 0.01)"),0.069)</f>
        <v>0.069</v>
      </c>
    </row>
    <row r="214" ht="14.25" customHeight="1">
      <c r="A214" s="14" t="s">
        <v>1167</v>
      </c>
      <c r="B214" s="14" t="s">
        <v>1133</v>
      </c>
      <c r="C214" s="14" t="s">
        <v>955</v>
      </c>
      <c r="D214" s="14" t="s">
        <v>955</v>
      </c>
      <c r="E214" s="14" t="s">
        <v>209</v>
      </c>
      <c r="F214" s="14">
        <v>67.0</v>
      </c>
      <c r="G214" s="14">
        <v>39.0</v>
      </c>
      <c r="H214" s="14">
        <v>487.0</v>
      </c>
      <c r="I214" s="14">
        <v>12.5</v>
      </c>
      <c r="J214" s="14">
        <v>2.0</v>
      </c>
      <c r="K214" s="20">
        <v>5.874215756513131</v>
      </c>
      <c r="L214" s="20">
        <v>42.277830265212586</v>
      </c>
      <c r="M214" s="15"/>
      <c r="N214" s="20">
        <v>5.874215756513131</v>
      </c>
      <c r="O214" s="14">
        <v>2.96</v>
      </c>
      <c r="R214" s="20">
        <f t="array" ref="R214">XLOOKUP(E214, 'Conference Match'!$A$2:$A$40,'Conference Match'!$C$2:$C$40)</f>
        <v>0.9</v>
      </c>
      <c r="S214" s="20">
        <f t="shared" si="1"/>
        <v>1.649358836</v>
      </c>
      <c r="T214" s="20">
        <f t="shared" si="2"/>
        <v>10.86800202</v>
      </c>
      <c r="U214" s="20">
        <f t="shared" si="3"/>
        <v>-31.40982825</v>
      </c>
      <c r="W214" s="20">
        <f>IFERROR(__xludf.DUMMYFUNCTION("iferror(PERCENTRANK.INC(FILTER($S$2:$S$429, $P$2:$P$429&lt;3.75), $S214), 1)"),0.268)</f>
        <v>0.268</v>
      </c>
      <c r="X214" s="20">
        <f>IFERROR(__xludf.DUMMYFUNCTION("iferror(PERCENTRANK.INC(FILTER($S$2:$S$429, $P$2:$P$429&lt;4.5), $S214), 1)"),0.182)</f>
        <v>0.182</v>
      </c>
      <c r="Y214" s="20">
        <f>IFERROR(__xludf.DUMMYFUNCTION("iferror(PERCENTRANK.INC(FILTER($S$2:$S$429, $P$2:$P$429&gt;=4.1), $S214), 0.01)"),0.01)</f>
        <v>0.01</v>
      </c>
    </row>
    <row r="215" ht="14.25" customHeight="1">
      <c r="A215" s="14" t="s">
        <v>1168</v>
      </c>
      <c r="B215" s="14" t="s">
        <v>166</v>
      </c>
      <c r="C215" s="14" t="s">
        <v>955</v>
      </c>
      <c r="D215" s="14" t="s">
        <v>955</v>
      </c>
      <c r="E215" s="14" t="s">
        <v>157</v>
      </c>
      <c r="F215" s="14">
        <v>58.0</v>
      </c>
      <c r="G215" s="14">
        <v>44.0</v>
      </c>
      <c r="H215" s="14">
        <v>466.0</v>
      </c>
      <c r="I215" s="14">
        <v>10.6</v>
      </c>
      <c r="J215" s="14">
        <v>6.0</v>
      </c>
      <c r="K215" s="20">
        <v>6.270241553642864</v>
      </c>
      <c r="L215" s="20">
        <v>45.87988127178873</v>
      </c>
      <c r="M215" s="15"/>
      <c r="N215" s="20">
        <v>6.270241553642864</v>
      </c>
      <c r="O215" s="14">
        <v>2.46</v>
      </c>
      <c r="R215" s="20">
        <f t="array" ref="R215">XLOOKUP(E215, 'Conference Match'!$A$2:$A$40,'Conference Match'!$C$2:$C$40)</f>
        <v>0.9</v>
      </c>
      <c r="S215" s="20">
        <f t="shared" si="1"/>
        <v>1.62064348</v>
      </c>
      <c r="T215" s="20">
        <f t="shared" si="2"/>
        <v>10.30206</v>
      </c>
      <c r="U215" s="20">
        <f t="shared" si="3"/>
        <v>-35.57782127</v>
      </c>
      <c r="W215" s="20">
        <f>IFERROR(__xludf.DUMMYFUNCTION("iferror(PERCENTRANK.INC(FILTER($S$2:$S$429, $P$2:$P$429&lt;3.75), $S215), 1)"),0.262)</f>
        <v>0.262</v>
      </c>
      <c r="X215" s="20">
        <f>IFERROR(__xludf.DUMMYFUNCTION("iferror(PERCENTRANK.INC(FILTER($S$2:$S$429, $P$2:$P$429&lt;4.5), $S215), 1)"),0.177)</f>
        <v>0.177</v>
      </c>
      <c r="Y215" s="20">
        <f>IFERROR(__xludf.DUMMYFUNCTION("iferror(PERCENTRANK.INC(FILTER($S$2:$S$429, $P$2:$P$429&gt;=4.1), $S215), 0.01)"),0.01)</f>
        <v>0.01</v>
      </c>
    </row>
    <row r="216" ht="14.25" customHeight="1">
      <c r="A216" s="14" t="s">
        <v>1169</v>
      </c>
      <c r="B216" s="14" t="s">
        <v>662</v>
      </c>
      <c r="C216" s="14" t="s">
        <v>955</v>
      </c>
      <c r="D216" s="14" t="s">
        <v>955</v>
      </c>
      <c r="E216" s="14" t="s">
        <v>135</v>
      </c>
      <c r="F216" s="14">
        <v>32.0</v>
      </c>
      <c r="G216" s="14">
        <v>19.0</v>
      </c>
      <c r="H216" s="14">
        <v>230.0</v>
      </c>
      <c r="I216" s="14">
        <v>12.1</v>
      </c>
      <c r="J216" s="14">
        <v>4.0</v>
      </c>
      <c r="K216" s="20">
        <v>5.915965146513268</v>
      </c>
      <c r="L216" s="20">
        <v>42.65756166999445</v>
      </c>
      <c r="M216" s="15"/>
      <c r="N216" s="20">
        <v>5.915965146513268</v>
      </c>
      <c r="O216" s="14">
        <v>2.76</v>
      </c>
      <c r="R216" s="20">
        <f t="array" ref="R216">XLOOKUP(E216, 'Conference Match'!$A$2:$A$40,'Conference Match'!$C$2:$C$40)</f>
        <v>0.9</v>
      </c>
      <c r="S216" s="20">
        <f t="shared" si="1"/>
        <v>1.616873726</v>
      </c>
      <c r="T216" s="20">
        <f t="shared" si="2"/>
        <v>10.2277631</v>
      </c>
      <c r="U216" s="20">
        <f t="shared" si="3"/>
        <v>-32.42979857</v>
      </c>
      <c r="W216" s="20">
        <f>IFERROR(__xludf.DUMMYFUNCTION("iferror(PERCENTRANK.INC(FILTER($S$2:$S$429, $P$2:$P$429&lt;3.75), $S216), 1)"),0.255)</f>
        <v>0.255</v>
      </c>
      <c r="X216" s="20">
        <f>IFERROR(__xludf.DUMMYFUNCTION("iferror(PERCENTRANK.INC(FILTER($S$2:$S$429, $P$2:$P$429&lt;4.5), $S216), 1)"),0.173)</f>
        <v>0.173</v>
      </c>
      <c r="Y216" s="20">
        <f>IFERROR(__xludf.DUMMYFUNCTION("iferror(PERCENTRANK.INC(FILTER($S$2:$S$429, $P$2:$P$429&gt;=4.1), $S216), 0.01)"),0.01)</f>
        <v>0.01</v>
      </c>
    </row>
    <row r="217" ht="14.25" customHeight="1">
      <c r="A217" s="14" t="s">
        <v>1170</v>
      </c>
      <c r="B217" s="14" t="s">
        <v>373</v>
      </c>
      <c r="C217" s="14" t="s">
        <v>955</v>
      </c>
      <c r="D217" s="14" t="s">
        <v>955</v>
      </c>
      <c r="E217" s="14" t="s">
        <v>176</v>
      </c>
      <c r="F217" s="14">
        <v>26.0</v>
      </c>
      <c r="G217" s="14">
        <v>16.0</v>
      </c>
      <c r="H217" s="14">
        <v>272.0</v>
      </c>
      <c r="I217" s="14">
        <v>17.0</v>
      </c>
      <c r="J217" s="14">
        <v>0.0</v>
      </c>
      <c r="K217" s="20">
        <v>6.6035429031015145</v>
      </c>
      <c r="L217" s="20">
        <v>48.9114223229325</v>
      </c>
      <c r="M217" s="15"/>
      <c r="N217" s="20">
        <v>6.6035429031015145</v>
      </c>
      <c r="O217" s="14">
        <v>2.09</v>
      </c>
      <c r="P217" s="16">
        <v>4.51</v>
      </c>
      <c r="Q217" s="16">
        <v>6.0</v>
      </c>
      <c r="R217" s="20">
        <f t="array" ref="R217">XLOOKUP(E217, 'Conference Match'!$A$2:$A$40,'Conference Match'!$C$2:$C$40)</f>
        <v>0.9</v>
      </c>
      <c r="S217" s="20">
        <f t="shared" si="1"/>
        <v>4.461637723</v>
      </c>
      <c r="T217" s="20">
        <f t="shared" si="2"/>
        <v>66.29433108</v>
      </c>
      <c r="U217" s="20">
        <f t="shared" si="3"/>
        <v>17.38290876</v>
      </c>
      <c r="W217" s="20">
        <f>IFERROR(__xludf.DUMMYFUNCTION("iferror(PERCENTRANK.INC(FILTER($S$2:$S$429, $P$2:$P$429&lt;3.75), $S217), 1)"),0.976)</f>
        <v>0.976</v>
      </c>
      <c r="X217" s="20">
        <f>IFERROR(__xludf.DUMMYFUNCTION("iferror(PERCENTRANK.INC(FILTER($S$2:$S$429, $P$2:$P$429&lt;4.5), $S217), 1)"),0.902)</f>
        <v>0.902</v>
      </c>
      <c r="Y217" s="20">
        <f>IFERROR(__xludf.DUMMYFUNCTION("iferror(PERCENTRANK.INC(FILTER($S$2:$S$429, $P$2:$P$429&gt;=4.1), $S217), 0.01)"),0.444)</f>
        <v>0.444</v>
      </c>
    </row>
    <row r="218" ht="14.25" customHeight="1">
      <c r="A218" s="14" t="s">
        <v>1171</v>
      </c>
      <c r="B218" s="14" t="s">
        <v>572</v>
      </c>
      <c r="C218" s="14">
        <v>0.0</v>
      </c>
      <c r="D218" s="14" t="s">
        <v>955</v>
      </c>
      <c r="E218" s="14" t="s">
        <v>120</v>
      </c>
      <c r="F218" s="14">
        <v>26.0</v>
      </c>
      <c r="G218" s="14">
        <v>15.0</v>
      </c>
      <c r="H218" s="14">
        <v>198.0</v>
      </c>
      <c r="I218" s="14">
        <v>13.2</v>
      </c>
      <c r="J218" s="14">
        <v>3.0</v>
      </c>
      <c r="K218" s="20">
        <v>5.959312133870746</v>
      </c>
      <c r="L218" s="20">
        <v>47.75708259978553</v>
      </c>
      <c r="M218" s="15"/>
      <c r="N218" s="20">
        <v>5.959312133870746</v>
      </c>
      <c r="O218" s="14">
        <v>2.22</v>
      </c>
      <c r="R218" s="20">
        <f t="array" ref="R218">XLOOKUP(E218, 'Conference Match'!$A$2:$A$40,'Conference Match'!$C$2:$C$40)</f>
        <v>0.95</v>
      </c>
      <c r="S218" s="20">
        <f t="shared" si="1"/>
        <v>1.576269305</v>
      </c>
      <c r="T218" s="20">
        <f t="shared" si="2"/>
        <v>9.427503213</v>
      </c>
      <c r="U218" s="20">
        <f t="shared" si="3"/>
        <v>-38.32957939</v>
      </c>
      <c r="W218" s="20">
        <f>IFERROR(__xludf.DUMMYFUNCTION("iferror(PERCENTRANK.INC(FILTER($S$2:$S$429, $P$2:$P$429&lt;3.75), $S218), 1)"),0.242)</f>
        <v>0.242</v>
      </c>
      <c r="X218" s="20">
        <f>IFERROR(__xludf.DUMMYFUNCTION("iferror(PERCENTRANK.INC(FILTER($S$2:$S$429, $P$2:$P$429&lt;4.5), $S218), 1)"),0.164)</f>
        <v>0.164</v>
      </c>
      <c r="Y218" s="20">
        <f>IFERROR(__xludf.DUMMYFUNCTION("iferror(PERCENTRANK.INC(FILTER($S$2:$S$429, $P$2:$P$429&gt;=4.1), $S218), 0.01)"),0.01)</f>
        <v>0.01</v>
      </c>
    </row>
    <row r="219" ht="14.25" customHeight="1">
      <c r="A219" s="14" t="s">
        <v>1172</v>
      </c>
      <c r="B219" s="14" t="s">
        <v>241</v>
      </c>
      <c r="C219" s="14" t="s">
        <v>955</v>
      </c>
      <c r="D219" s="14" t="s">
        <v>955</v>
      </c>
      <c r="E219" s="14" t="s">
        <v>138</v>
      </c>
      <c r="F219" s="14">
        <v>29.0</v>
      </c>
      <c r="G219" s="14">
        <v>18.0</v>
      </c>
      <c r="H219" s="14">
        <v>282.0</v>
      </c>
      <c r="I219" s="14">
        <v>15.7</v>
      </c>
      <c r="J219" s="14">
        <v>1.0</v>
      </c>
      <c r="K219" s="20">
        <v>6.443005290478306</v>
      </c>
      <c r="L219" s="20">
        <v>47.451253128567295</v>
      </c>
      <c r="M219" s="15"/>
      <c r="N219" s="20">
        <v>6.443005290478306</v>
      </c>
      <c r="O219" s="14">
        <v>2.06</v>
      </c>
      <c r="R219" s="20">
        <f t="array" ref="R219">XLOOKUP(E219, 'Conference Match'!$A$2:$A$40,'Conference Match'!$C$2:$C$40)</f>
        <v>0.9</v>
      </c>
      <c r="S219" s="20">
        <f t="shared" si="1"/>
        <v>1.571740952</v>
      </c>
      <c r="T219" s="20">
        <f t="shared" si="2"/>
        <v>9.33825531</v>
      </c>
      <c r="U219" s="20">
        <f t="shared" si="3"/>
        <v>-38.11299782</v>
      </c>
      <c r="W219" s="20">
        <f>IFERROR(__xludf.DUMMYFUNCTION("iferror(PERCENTRANK.INC(FILTER($S$2:$S$429, $P$2:$P$429&lt;3.75), $S219), 1)"),0.235)</f>
        <v>0.235</v>
      </c>
      <c r="X219" s="20">
        <f>IFERROR(__xludf.DUMMYFUNCTION("iferror(PERCENTRANK.INC(FILTER($S$2:$S$429, $P$2:$P$429&lt;4.5), $S219), 1)"),0.159)</f>
        <v>0.159</v>
      </c>
      <c r="Y219" s="20">
        <f>IFERROR(__xludf.DUMMYFUNCTION("iferror(PERCENTRANK.INC(FILTER($S$2:$S$429, $P$2:$P$429&gt;=4.1), $S219), 0.01)"),0.01)</f>
        <v>0.01</v>
      </c>
    </row>
    <row r="220" ht="14.25" customHeight="1">
      <c r="A220" s="14" t="s">
        <v>1173</v>
      </c>
      <c r="B220" s="14" t="s">
        <v>486</v>
      </c>
      <c r="C220" s="14" t="s">
        <v>955</v>
      </c>
      <c r="D220" s="14" t="s">
        <v>955</v>
      </c>
      <c r="E220" s="14" t="s">
        <v>135</v>
      </c>
      <c r="F220" s="14">
        <v>49.0</v>
      </c>
      <c r="G220" s="14">
        <v>32.0</v>
      </c>
      <c r="H220" s="14">
        <v>340.0</v>
      </c>
      <c r="I220" s="14">
        <v>10.6</v>
      </c>
      <c r="J220" s="14">
        <v>4.0</v>
      </c>
      <c r="K220" s="20">
        <v>5.676350909042708</v>
      </c>
      <c r="L220" s="20">
        <v>40.4781513600442</v>
      </c>
      <c r="M220" s="15"/>
      <c r="N220" s="20">
        <v>5.676350909042708</v>
      </c>
      <c r="O220" s="14">
        <v>2.68</v>
      </c>
      <c r="R220" s="20">
        <f t="array" ref="R220">XLOOKUP(E220, 'Conference Match'!$A$2:$A$40,'Conference Match'!$C$2:$C$40)</f>
        <v>0.9</v>
      </c>
      <c r="S220" s="20">
        <f t="shared" si="1"/>
        <v>1.557743164</v>
      </c>
      <c r="T220" s="20">
        <f t="shared" si="2"/>
        <v>9.062377252</v>
      </c>
      <c r="U220" s="20">
        <f t="shared" si="3"/>
        <v>-31.41577411</v>
      </c>
      <c r="W220" s="20">
        <f>IFERROR(__xludf.DUMMYFUNCTION("iferror(PERCENTRANK.INC(FILTER($S$2:$S$429, $P$2:$P$429&lt;3.75), $S220), 1)"),0.228)</f>
        <v>0.228</v>
      </c>
      <c r="X220" s="20">
        <f>IFERROR(__xludf.DUMMYFUNCTION("iferror(PERCENTRANK.INC(FILTER($S$2:$S$429, $P$2:$P$429&lt;4.5), $S220), 1)"),0.155)</f>
        <v>0.155</v>
      </c>
      <c r="Y220" s="20">
        <f>IFERROR(__xludf.DUMMYFUNCTION("iferror(PERCENTRANK.INC(FILTER($S$2:$S$429, $P$2:$P$429&gt;=4.1), $S220), 0.01)"),0.01)</f>
        <v>0.01</v>
      </c>
    </row>
    <row r="221" ht="14.25" customHeight="1">
      <c r="A221" s="14" t="s">
        <v>1174</v>
      </c>
      <c r="B221" s="14" t="s">
        <v>357</v>
      </c>
      <c r="C221" s="14" t="s">
        <v>955</v>
      </c>
      <c r="D221" s="14" t="s">
        <v>955</v>
      </c>
      <c r="E221" s="14" t="s">
        <v>157</v>
      </c>
      <c r="F221" s="14">
        <v>42.0</v>
      </c>
      <c r="G221" s="14">
        <v>20.0</v>
      </c>
      <c r="H221" s="14">
        <v>276.0</v>
      </c>
      <c r="I221" s="14">
        <v>13.8</v>
      </c>
      <c r="J221" s="14">
        <v>1.0</v>
      </c>
      <c r="K221" s="20">
        <v>5.742610516683223</v>
      </c>
      <c r="L221" s="20">
        <v>41.08081534841735</v>
      </c>
      <c r="M221" s="15"/>
      <c r="N221" s="20">
        <v>5.742610516683223</v>
      </c>
      <c r="O221" s="14">
        <v>2.41</v>
      </c>
      <c r="R221" s="20">
        <f t="array" ref="R221">XLOOKUP(E221, 'Conference Match'!$A$2:$A$40,'Conference Match'!$C$2:$C$40)</f>
        <v>0.9</v>
      </c>
      <c r="S221" s="20">
        <f t="shared" si="1"/>
        <v>1.515669893</v>
      </c>
      <c r="T221" s="20">
        <f t="shared" si="2"/>
        <v>8.233168259</v>
      </c>
      <c r="U221" s="20">
        <f t="shared" si="3"/>
        <v>-32.84764709</v>
      </c>
      <c r="W221" s="20">
        <f>IFERROR(__xludf.DUMMYFUNCTION("iferror(PERCENTRANK.INC(FILTER($S$2:$S$429, $P$2:$P$429&lt;3.75), $S221), 1)"),0.221)</f>
        <v>0.221</v>
      </c>
      <c r="X221" s="20">
        <f>IFERROR(__xludf.DUMMYFUNCTION("iferror(PERCENTRANK.INC(FILTER($S$2:$S$429, $P$2:$P$429&lt;4.5), $S221), 1)"),0.15)</f>
        <v>0.15</v>
      </c>
      <c r="Y221" s="20">
        <f>IFERROR(__xludf.DUMMYFUNCTION("iferror(PERCENTRANK.INC(FILTER($S$2:$S$429, $P$2:$P$429&gt;=4.1), $S221), 0.01)"),0.01)</f>
        <v>0.01</v>
      </c>
    </row>
    <row r="222" ht="14.25" customHeight="1">
      <c r="A222" s="14" t="s">
        <v>1175</v>
      </c>
      <c r="B222" s="14" t="s">
        <v>384</v>
      </c>
      <c r="C222" s="14" t="s">
        <v>955</v>
      </c>
      <c r="D222" s="14" t="s">
        <v>955</v>
      </c>
      <c r="E222" s="14" t="s">
        <v>111</v>
      </c>
      <c r="F222" s="14">
        <v>27.0</v>
      </c>
      <c r="G222" s="14">
        <v>20.0</v>
      </c>
      <c r="H222" s="14">
        <v>262.0</v>
      </c>
      <c r="I222" s="14">
        <v>13.1</v>
      </c>
      <c r="J222" s="14">
        <v>2.0</v>
      </c>
      <c r="K222" s="20">
        <v>5.996827134116877</v>
      </c>
      <c r="L222" s="20">
        <v>43.393041545175194</v>
      </c>
      <c r="M222" s="15"/>
      <c r="N222" s="20">
        <v>5.996827134116877</v>
      </c>
      <c r="O222" s="14">
        <v>2.13</v>
      </c>
      <c r="R222" s="20">
        <f t="array" ref="R222">XLOOKUP(E222, 'Conference Match'!$A$2:$A$40,'Conference Match'!$C$2:$C$40)</f>
        <v>0.9</v>
      </c>
      <c r="S222" s="20">
        <f t="shared" si="1"/>
        <v>1.505428884</v>
      </c>
      <c r="T222" s="20">
        <f t="shared" si="2"/>
        <v>8.031331403</v>
      </c>
      <c r="U222" s="20">
        <f t="shared" si="3"/>
        <v>-35.36171014</v>
      </c>
      <c r="W222" s="20">
        <f>IFERROR(__xludf.DUMMYFUNCTION("iferror(PERCENTRANK.INC(FILTER($S$2:$S$429, $P$2:$P$429&lt;3.75), $S222), 1)"),0.215)</f>
        <v>0.215</v>
      </c>
      <c r="X222" s="20">
        <f>IFERROR(__xludf.DUMMYFUNCTION("iferror(PERCENTRANK.INC(FILTER($S$2:$S$429, $P$2:$P$429&lt;4.5), $S222), 1)"),0.145)</f>
        <v>0.145</v>
      </c>
      <c r="Y222" s="20">
        <f>IFERROR(__xludf.DUMMYFUNCTION("iferror(PERCENTRANK.INC(FILTER($S$2:$S$429, $P$2:$P$429&gt;=4.1), $S222), 0.01)"),0.01)</f>
        <v>0.01</v>
      </c>
    </row>
    <row r="223" ht="14.25" customHeight="1">
      <c r="A223" s="14" t="s">
        <v>1176</v>
      </c>
      <c r="B223" s="14" t="s">
        <v>417</v>
      </c>
      <c r="C223" s="14" t="s">
        <v>955</v>
      </c>
      <c r="D223" s="14" t="s">
        <v>955</v>
      </c>
      <c r="E223" s="14" t="s">
        <v>141</v>
      </c>
      <c r="F223" s="14">
        <v>29.0</v>
      </c>
      <c r="G223" s="14">
        <v>19.0</v>
      </c>
      <c r="H223" s="14">
        <v>273.0</v>
      </c>
      <c r="I223" s="14">
        <v>14.4</v>
      </c>
      <c r="J223" s="14">
        <v>3.0</v>
      </c>
      <c r="K223" s="20">
        <v>6.495591497374859</v>
      </c>
      <c r="L223" s="20">
        <v>47.92955075679403</v>
      </c>
      <c r="M223" s="15"/>
      <c r="N223" s="20">
        <v>6.495591497374859</v>
      </c>
      <c r="O223" s="14">
        <v>1.66</v>
      </c>
      <c r="R223" s="20">
        <f t="array" ref="R223">XLOOKUP(E223, 'Conference Match'!$A$2:$A$40,'Conference Match'!$C$2:$C$40)</f>
        <v>0.9</v>
      </c>
      <c r="S223" s="20">
        <f t="shared" si="1"/>
        <v>1.50120647</v>
      </c>
      <c r="T223" s="20">
        <f t="shared" si="2"/>
        <v>7.948113148</v>
      </c>
      <c r="U223" s="20">
        <f t="shared" si="3"/>
        <v>-39.98143761</v>
      </c>
      <c r="W223" s="20">
        <f>IFERROR(__xludf.DUMMYFUNCTION("iferror(PERCENTRANK.INC(FILTER($S$2:$S$429, $P$2:$P$429&lt;3.75), $S223), 1)"),0.208)</f>
        <v>0.208</v>
      </c>
      <c r="X223" s="20">
        <f>IFERROR(__xludf.DUMMYFUNCTION("iferror(PERCENTRANK.INC(FILTER($S$2:$S$429, $P$2:$P$429&lt;4.5), $S223), 1)"),0.141)</f>
        <v>0.141</v>
      </c>
      <c r="Y223" s="20">
        <f>IFERROR(__xludf.DUMMYFUNCTION("iferror(PERCENTRANK.INC(FILTER($S$2:$S$429, $P$2:$P$429&gt;=4.1), $S223), 0.01)"),0.01)</f>
        <v>0.01</v>
      </c>
    </row>
    <row r="224" ht="14.25" customHeight="1">
      <c r="A224" s="14" t="s">
        <v>1177</v>
      </c>
      <c r="B224" s="14" t="s">
        <v>159</v>
      </c>
      <c r="C224" s="14">
        <v>22.0</v>
      </c>
      <c r="D224" s="14" t="s">
        <v>955</v>
      </c>
      <c r="E224" s="14" t="s">
        <v>152</v>
      </c>
      <c r="F224" s="14">
        <v>35.0</v>
      </c>
      <c r="G224" s="14">
        <v>21.0</v>
      </c>
      <c r="H224" s="14">
        <v>293.0</v>
      </c>
      <c r="I224" s="14">
        <v>13.9</v>
      </c>
      <c r="J224" s="14">
        <v>1.0</v>
      </c>
      <c r="K224" s="20">
        <v>5.916374485602496</v>
      </c>
      <c r="L224" s="20">
        <v>47.243901154524124</v>
      </c>
      <c r="M224" s="15"/>
      <c r="N224" s="20">
        <v>5.916374485602496</v>
      </c>
      <c r="O224" s="14">
        <v>1.88</v>
      </c>
      <c r="R224" s="20">
        <f t="array" ref="R224">XLOOKUP(E224, 'Conference Match'!$A$2:$A$40,'Conference Match'!$C$2:$C$40)</f>
        <v>0.95</v>
      </c>
      <c r="S224" s="20">
        <f t="shared" si="1"/>
        <v>1.500111152</v>
      </c>
      <c r="T224" s="20">
        <f t="shared" si="2"/>
        <v>7.926525881</v>
      </c>
      <c r="U224" s="20">
        <f t="shared" si="3"/>
        <v>-39.31737527</v>
      </c>
      <c r="W224" s="20">
        <f>IFERROR(__xludf.DUMMYFUNCTION("iferror(PERCENTRANK.INC(FILTER($S$2:$S$429, $P$2:$P$429&lt;3.75), $S224), 1)"),0.201)</f>
        <v>0.201</v>
      </c>
      <c r="X224" s="20">
        <f>IFERROR(__xludf.DUMMYFUNCTION("iferror(PERCENTRANK.INC(FILTER($S$2:$S$429, $P$2:$P$429&lt;4.5), $S224), 1)"),0.136)</f>
        <v>0.136</v>
      </c>
      <c r="Y224" s="20">
        <f>IFERROR(__xludf.DUMMYFUNCTION("iferror(PERCENTRANK.INC(FILTER($S$2:$S$429, $P$2:$P$429&gt;=4.1), $S224), 0.01)"),0.01)</f>
        <v>0.01</v>
      </c>
    </row>
    <row r="225" ht="14.25" customHeight="1">
      <c r="A225" s="14" t="s">
        <v>1178</v>
      </c>
      <c r="B225" s="14" t="s">
        <v>410</v>
      </c>
      <c r="C225" s="14">
        <v>82.0</v>
      </c>
      <c r="D225" s="14" t="s">
        <v>955</v>
      </c>
      <c r="E225" s="14" t="s">
        <v>149</v>
      </c>
      <c r="F225" s="14">
        <v>24.0</v>
      </c>
      <c r="G225" s="14">
        <v>18.0</v>
      </c>
      <c r="H225" s="14">
        <v>234.0</v>
      </c>
      <c r="I225" s="14">
        <v>13.0</v>
      </c>
      <c r="J225" s="14">
        <v>0.0</v>
      </c>
      <c r="K225" s="20">
        <v>5.539106538703869</v>
      </c>
      <c r="L225" s="20">
        <v>42.7348766026741</v>
      </c>
      <c r="M225" s="15"/>
      <c r="N225" s="20">
        <v>5.539106538703869</v>
      </c>
      <c r="O225" s="14">
        <v>2.17</v>
      </c>
      <c r="Q225" s="44"/>
      <c r="R225" s="20">
        <f t="array" ref="R225">XLOOKUP(E225, 'Conference Match'!$A$2:$A$40,'Conference Match'!$C$2:$C$40)</f>
        <v>0.95</v>
      </c>
      <c r="S225" s="20">
        <f t="shared" si="1"/>
        <v>1.486430242</v>
      </c>
      <c r="T225" s="20">
        <f t="shared" si="2"/>
        <v>7.656893087</v>
      </c>
      <c r="U225" s="20">
        <f t="shared" si="3"/>
        <v>-35.07798352</v>
      </c>
      <c r="W225" s="20">
        <f>IFERROR(__xludf.DUMMYFUNCTION("iferror(PERCENTRANK.INC(FILTER($S$2:$S$429, $P$2:$P$429&lt;3.75), $S225), 1)"),0.195)</f>
        <v>0.195</v>
      </c>
      <c r="X225" s="20">
        <f>IFERROR(__xludf.DUMMYFUNCTION("iferror(PERCENTRANK.INC(FILTER($S$2:$S$429, $P$2:$P$429&lt;4.5), $S225), 1)"),0.132)</f>
        <v>0.132</v>
      </c>
      <c r="Y225" s="20">
        <f>IFERROR(__xludf.DUMMYFUNCTION("iferror(PERCENTRANK.INC(FILTER($S$2:$S$429, $P$2:$P$429&gt;=4.1), $S225), 0.01)"),0.01)</f>
        <v>0.01</v>
      </c>
    </row>
    <row r="226" ht="14.25" customHeight="1">
      <c r="A226" s="14" t="s">
        <v>1179</v>
      </c>
      <c r="B226" s="14" t="s">
        <v>143</v>
      </c>
      <c r="C226" s="14" t="s">
        <v>955</v>
      </c>
      <c r="D226" s="14" t="s">
        <v>955</v>
      </c>
      <c r="E226" s="14" t="s">
        <v>135</v>
      </c>
      <c r="F226" s="14">
        <v>15.0</v>
      </c>
      <c r="G226" s="14">
        <v>9.0</v>
      </c>
      <c r="H226" s="14">
        <v>140.0</v>
      </c>
      <c r="I226" s="14">
        <v>15.6</v>
      </c>
      <c r="J226" s="14">
        <v>0.0</v>
      </c>
      <c r="K226" s="20">
        <v>5.953739386117257</v>
      </c>
      <c r="L226" s="20">
        <v>43.00113711072167</v>
      </c>
      <c r="M226" s="15"/>
      <c r="N226" s="20">
        <v>5.953739386117257</v>
      </c>
      <c r="O226" s="14">
        <v>2.03</v>
      </c>
      <c r="R226" s="20">
        <f t="array" ref="R226">XLOOKUP(E226, 'Conference Match'!$A$2:$A$40,'Conference Match'!$C$2:$C$40)</f>
        <v>0.9</v>
      </c>
      <c r="S226" s="20">
        <f t="shared" si="1"/>
        <v>1.47767309</v>
      </c>
      <c r="T226" s="20">
        <f t="shared" si="2"/>
        <v>7.484301088</v>
      </c>
      <c r="U226" s="20">
        <f t="shared" si="3"/>
        <v>-35.51683602</v>
      </c>
      <c r="W226" s="20">
        <f>IFERROR(__xludf.DUMMYFUNCTION("iferror(PERCENTRANK.INC(FILTER($S$2:$S$429, $P$2:$P$429&lt;3.75), $S226), 1)"),0.181)</f>
        <v>0.181</v>
      </c>
      <c r="X226" s="20">
        <f>IFERROR(__xludf.DUMMYFUNCTION("iferror(PERCENTRANK.INC(FILTER($S$2:$S$429, $P$2:$P$429&lt;4.5), $S226), 1)"),0.123)</f>
        <v>0.123</v>
      </c>
      <c r="Y226" s="20">
        <f>IFERROR(__xludf.DUMMYFUNCTION("iferror(PERCENTRANK.INC(FILTER($S$2:$S$429, $P$2:$P$429&gt;=4.1), $S226), 0.01)"),0.01)</f>
        <v>0.01</v>
      </c>
    </row>
    <row r="227" ht="14.25" customHeight="1">
      <c r="A227" s="14" t="s">
        <v>1180</v>
      </c>
      <c r="B227" s="14" t="s">
        <v>711</v>
      </c>
      <c r="C227" s="14">
        <v>9.0</v>
      </c>
      <c r="D227" s="14" t="s">
        <v>955</v>
      </c>
      <c r="E227" s="14" t="s">
        <v>152</v>
      </c>
      <c r="F227" s="14">
        <v>44.0</v>
      </c>
      <c r="G227" s="14">
        <v>19.0</v>
      </c>
      <c r="H227" s="14">
        <v>252.0</v>
      </c>
      <c r="I227" s="14">
        <v>13.3</v>
      </c>
      <c r="J227" s="14">
        <v>3.0</v>
      </c>
      <c r="K227" s="20">
        <v>5.93801368960143</v>
      </c>
      <c r="L227" s="20">
        <v>47.502528220289406</v>
      </c>
      <c r="M227" s="15"/>
      <c r="N227" s="20">
        <v>5.93801368960143</v>
      </c>
      <c r="O227" s="14">
        <v>1.7</v>
      </c>
      <c r="R227" s="20">
        <f t="array" ref="R227">XLOOKUP(E227, 'Conference Match'!$A$2:$A$40,'Conference Match'!$C$2:$C$40)</f>
        <v>0.95</v>
      </c>
      <c r="S227" s="20">
        <f t="shared" si="1"/>
        <v>1.468222601</v>
      </c>
      <c r="T227" s="20">
        <f t="shared" si="2"/>
        <v>7.298044352</v>
      </c>
      <c r="U227" s="20">
        <f t="shared" si="3"/>
        <v>-40.20448387</v>
      </c>
      <c r="W227" s="20">
        <f>IFERROR(__xludf.DUMMYFUNCTION("iferror(PERCENTRANK.INC(FILTER($S$2:$S$429, $P$2:$P$429&lt;3.75), $S227), 1)"),0.174)</f>
        <v>0.174</v>
      </c>
      <c r="X227" s="20">
        <f>IFERROR(__xludf.DUMMYFUNCTION("iferror(PERCENTRANK.INC(FILTER($S$2:$S$429, $P$2:$P$429&lt;4.5), $S227), 1)"),0.118)</f>
        <v>0.118</v>
      </c>
      <c r="Y227" s="20">
        <f>IFERROR(__xludf.DUMMYFUNCTION("iferror(PERCENTRANK.INC(FILTER($S$2:$S$429, $P$2:$P$429&gt;=4.1), $S227), 0.01)"),0.01)</f>
        <v>0.01</v>
      </c>
    </row>
    <row r="228" ht="14.25" customHeight="1">
      <c r="A228" s="14" t="s">
        <v>1181</v>
      </c>
      <c r="B228" s="14" t="s">
        <v>293</v>
      </c>
      <c r="C228" s="14">
        <v>5.0</v>
      </c>
      <c r="D228" s="14" t="s">
        <v>955</v>
      </c>
      <c r="E228" s="14" t="s">
        <v>152</v>
      </c>
      <c r="F228" s="14">
        <v>29.0</v>
      </c>
      <c r="G228" s="14">
        <v>17.0</v>
      </c>
      <c r="H228" s="14">
        <v>219.0</v>
      </c>
      <c r="I228" s="14">
        <v>12.9</v>
      </c>
      <c r="J228" s="14">
        <v>1.0</v>
      </c>
      <c r="K228" s="20">
        <v>5.517143221512789</v>
      </c>
      <c r="L228" s="20">
        <v>42.47237580643958</v>
      </c>
      <c r="M228" s="15"/>
      <c r="N228" s="20">
        <v>5.517143221512789</v>
      </c>
      <c r="O228" s="14">
        <v>2.09</v>
      </c>
      <c r="R228" s="20">
        <f t="array" ref="R228">XLOOKUP(E228, 'Conference Match'!$A$2:$A$40,'Conference Match'!$C$2:$C$40)</f>
        <v>0.95</v>
      </c>
      <c r="S228" s="20">
        <f t="shared" si="1"/>
        <v>1.466257212</v>
      </c>
      <c r="T228" s="20">
        <f t="shared" si="2"/>
        <v>7.259309114</v>
      </c>
      <c r="U228" s="20">
        <f t="shared" si="3"/>
        <v>-35.21306669</v>
      </c>
      <c r="W228" s="20">
        <f>IFERROR(__xludf.DUMMYFUNCTION("iferror(PERCENTRANK.INC(FILTER($S$2:$S$429, $P$2:$P$429&lt;3.75), $S228), 1)"),0.168)</f>
        <v>0.168</v>
      </c>
      <c r="X228" s="20">
        <f>IFERROR(__xludf.DUMMYFUNCTION("iferror(PERCENTRANK.INC(FILTER($S$2:$S$429, $P$2:$P$429&lt;4.5), $S228), 1)"),0.114)</f>
        <v>0.114</v>
      </c>
      <c r="Y228" s="20">
        <f>IFERROR(__xludf.DUMMYFUNCTION("iferror(PERCENTRANK.INC(FILTER($S$2:$S$429, $P$2:$P$429&gt;=4.1), $S228), 0.01)"),0.01)</f>
        <v>0.01</v>
      </c>
    </row>
    <row r="229" ht="14.25" customHeight="1">
      <c r="A229" s="14" t="s">
        <v>1182</v>
      </c>
      <c r="B229" s="14" t="s">
        <v>265</v>
      </c>
      <c r="C229" s="14">
        <v>2.0</v>
      </c>
      <c r="D229" s="14" t="s">
        <v>955</v>
      </c>
      <c r="E229" s="14" t="s">
        <v>108</v>
      </c>
      <c r="F229" s="14">
        <v>36.0</v>
      </c>
      <c r="G229" s="14">
        <v>15.0</v>
      </c>
      <c r="H229" s="14">
        <v>211.0</v>
      </c>
      <c r="I229" s="14">
        <v>14.1</v>
      </c>
      <c r="J229" s="14">
        <v>1.0</v>
      </c>
      <c r="K229" s="20">
        <v>5.679099047203256</v>
      </c>
      <c r="L229" s="20">
        <v>44.40803665533137</v>
      </c>
      <c r="M229" s="15"/>
      <c r="N229" s="20">
        <v>5.679099047203256</v>
      </c>
      <c r="O229" s="14">
        <v>1.9</v>
      </c>
      <c r="R229" s="20">
        <f t="array" ref="R229">XLOOKUP(E229, 'Conference Match'!$A$2:$A$40,'Conference Match'!$C$2:$C$40)</f>
        <v>0.95</v>
      </c>
      <c r="S229" s="20">
        <f t="shared" si="1"/>
        <v>1.459028819</v>
      </c>
      <c r="T229" s="20">
        <f t="shared" si="2"/>
        <v>7.116846964</v>
      </c>
      <c r="U229" s="20">
        <f t="shared" si="3"/>
        <v>-37.29118969</v>
      </c>
      <c r="W229" s="20">
        <f>IFERROR(__xludf.DUMMYFUNCTION("iferror(PERCENTRANK.INC(FILTER($S$2:$S$429, $P$2:$P$429&lt;3.75), $S229), 1)"),0.161)</f>
        <v>0.161</v>
      </c>
      <c r="X229" s="20">
        <f>IFERROR(__xludf.DUMMYFUNCTION("iferror(PERCENTRANK.INC(FILTER($S$2:$S$429, $P$2:$P$429&lt;4.5), $S229), 1)"),0.109)</f>
        <v>0.109</v>
      </c>
      <c r="Y229" s="20">
        <f>IFERROR(__xludf.DUMMYFUNCTION("iferror(PERCENTRANK.INC(FILTER($S$2:$S$429, $P$2:$P$429&gt;=4.1), $S229), 0.01)"),0.01)</f>
        <v>0.01</v>
      </c>
    </row>
    <row r="230" ht="14.25" customHeight="1">
      <c r="A230" s="14" t="s">
        <v>1183</v>
      </c>
      <c r="B230" s="14" t="s">
        <v>140</v>
      </c>
      <c r="C230" s="14" t="s">
        <v>955</v>
      </c>
      <c r="D230" s="14" t="s">
        <v>955</v>
      </c>
      <c r="E230" s="14" t="s">
        <v>141</v>
      </c>
      <c r="F230" s="14">
        <v>39.0</v>
      </c>
      <c r="G230" s="14">
        <v>27.0</v>
      </c>
      <c r="H230" s="14">
        <v>408.0</v>
      </c>
      <c r="I230" s="14">
        <v>15.1</v>
      </c>
      <c r="J230" s="14">
        <v>1.0</v>
      </c>
      <c r="K230" s="20">
        <v>6.485338578170647</v>
      </c>
      <c r="L230" s="20">
        <v>47.83629537240355</v>
      </c>
      <c r="M230" s="15"/>
      <c r="N230" s="20">
        <v>6.485338578170647</v>
      </c>
      <c r="O230" s="14">
        <v>1.35</v>
      </c>
      <c r="R230" s="20">
        <f t="array" ref="R230">XLOOKUP(E230, 'Conference Match'!$A$2:$A$40,'Conference Match'!$C$2:$C$40)</f>
        <v>0.9</v>
      </c>
      <c r="S230" s="20">
        <f t="shared" si="1"/>
        <v>1.437360944</v>
      </c>
      <c r="T230" s="20">
        <f t="shared" si="2"/>
        <v>6.689801563</v>
      </c>
      <c r="U230" s="20">
        <f t="shared" si="3"/>
        <v>-41.14649381</v>
      </c>
      <c r="W230" s="20">
        <f>IFERROR(__xludf.DUMMYFUNCTION("iferror(PERCENTRANK.INC(FILTER($S$2:$S$429, $P$2:$P$429&lt;3.75), $S230), 1)"),0.154)</f>
        <v>0.154</v>
      </c>
      <c r="X230" s="20">
        <f>IFERROR(__xludf.DUMMYFUNCTION("iferror(PERCENTRANK.INC(FILTER($S$2:$S$429, $P$2:$P$429&lt;4.5), $S230), 1)"),0.105)</f>
        <v>0.105</v>
      </c>
      <c r="Y230" s="20">
        <f>IFERROR(__xludf.DUMMYFUNCTION("iferror(PERCENTRANK.INC(FILTER($S$2:$S$429, $P$2:$P$429&gt;=4.1), $S230), 0.01)"),0.01)</f>
        <v>0.01</v>
      </c>
    </row>
    <row r="231" ht="14.25" customHeight="1">
      <c r="A231" s="14" t="s">
        <v>1184</v>
      </c>
      <c r="B231" s="14" t="s">
        <v>495</v>
      </c>
      <c r="C231" s="14" t="s">
        <v>955</v>
      </c>
      <c r="D231" s="14" t="s">
        <v>955</v>
      </c>
      <c r="E231" s="14" t="s">
        <v>157</v>
      </c>
      <c r="F231" s="14">
        <v>38.0</v>
      </c>
      <c r="G231" s="14">
        <v>17.0</v>
      </c>
      <c r="H231" s="14">
        <v>272.0</v>
      </c>
      <c r="I231" s="14">
        <v>16.0</v>
      </c>
      <c r="J231" s="14">
        <v>1.0</v>
      </c>
      <c r="K231" s="20">
        <v>6.309878155092744</v>
      </c>
      <c r="L231" s="20">
        <v>46.24039581701424</v>
      </c>
      <c r="M231" s="15"/>
      <c r="N231" s="20">
        <v>6.309878155092744</v>
      </c>
      <c r="O231" s="14">
        <v>1.46</v>
      </c>
      <c r="R231" s="20">
        <f t="array" ref="R231">XLOOKUP(E231, 'Conference Match'!$A$2:$A$40,'Conference Match'!$C$2:$C$40)</f>
        <v>0.9</v>
      </c>
      <c r="S231" s="20">
        <f t="shared" si="1"/>
        <v>1.427778068</v>
      </c>
      <c r="T231" s="20">
        <f t="shared" si="2"/>
        <v>6.50093564</v>
      </c>
      <c r="U231" s="20">
        <f t="shared" si="3"/>
        <v>-39.73946018</v>
      </c>
      <c r="W231" s="20">
        <f>IFERROR(__xludf.DUMMYFUNCTION("iferror(PERCENTRANK.INC(FILTER($S$2:$S$429, $P$2:$P$429&lt;3.75), $S231), 1)"),0.148)</f>
        <v>0.148</v>
      </c>
      <c r="X231" s="20">
        <f>IFERROR(__xludf.DUMMYFUNCTION("iferror(PERCENTRANK.INC(FILTER($S$2:$S$429, $P$2:$P$429&lt;4.5), $S231), 1)"),0.1)</f>
        <v>0.1</v>
      </c>
      <c r="Y231" s="20">
        <f>IFERROR(__xludf.DUMMYFUNCTION("iferror(PERCENTRANK.INC(FILTER($S$2:$S$429, $P$2:$P$429&gt;=4.1), $S231), 0.01)"),0.01)</f>
        <v>0.01</v>
      </c>
    </row>
    <row r="232" ht="14.25" customHeight="1">
      <c r="A232" s="14" t="s">
        <v>1185</v>
      </c>
      <c r="B232" s="14" t="s">
        <v>539</v>
      </c>
      <c r="C232" s="14" t="s">
        <v>955</v>
      </c>
      <c r="D232" s="14" t="s">
        <v>955</v>
      </c>
      <c r="E232" s="14" t="s">
        <v>176</v>
      </c>
      <c r="F232" s="14">
        <v>37.0</v>
      </c>
      <c r="G232" s="14">
        <v>21.0</v>
      </c>
      <c r="H232" s="14">
        <v>288.0</v>
      </c>
      <c r="I232" s="14">
        <v>13.7</v>
      </c>
      <c r="J232" s="14">
        <v>1.0</v>
      </c>
      <c r="K232" s="20">
        <v>5.818425426174505</v>
      </c>
      <c r="L232" s="20">
        <v>41.770389545416165</v>
      </c>
      <c r="M232" s="15"/>
      <c r="N232" s="20">
        <v>5.818425426174505</v>
      </c>
      <c r="O232" s="14">
        <v>1.81</v>
      </c>
      <c r="R232" s="20">
        <f t="array" ref="R232">XLOOKUP(E232, 'Conference Match'!$A$2:$A$40,'Conference Match'!$C$2:$C$40)</f>
        <v>0.9</v>
      </c>
      <c r="S232" s="20">
        <f t="shared" si="1"/>
        <v>1.409316577</v>
      </c>
      <c r="T232" s="20">
        <f t="shared" si="2"/>
        <v>6.137083858</v>
      </c>
      <c r="U232" s="20">
        <f t="shared" si="3"/>
        <v>-35.63330569</v>
      </c>
      <c r="W232" s="20">
        <f>IFERROR(__xludf.DUMMYFUNCTION("iferror(PERCENTRANK.INC(FILTER($S$2:$S$429, $P$2:$P$429&lt;3.75), $S232), 1)"),0.141)</f>
        <v>0.141</v>
      </c>
      <c r="X232" s="20">
        <f>IFERROR(__xludf.DUMMYFUNCTION("iferror(PERCENTRANK.INC(FILTER($S$2:$S$429, $P$2:$P$429&lt;4.5), $S232), 1)"),0.095)</f>
        <v>0.095</v>
      </c>
      <c r="Y232" s="20">
        <f>IFERROR(__xludf.DUMMYFUNCTION("iferror(PERCENTRANK.INC(FILTER($S$2:$S$429, $P$2:$P$429&gt;=4.1), $S232), 0.01)"),0.01)</f>
        <v>0.01</v>
      </c>
    </row>
    <row r="233" ht="14.25" customHeight="1">
      <c r="A233" s="14" t="s">
        <v>1186</v>
      </c>
      <c r="B233" s="14" t="s">
        <v>401</v>
      </c>
      <c r="C233" s="14" t="s">
        <v>955</v>
      </c>
      <c r="D233" s="14" t="s">
        <v>955</v>
      </c>
      <c r="E233" s="14" t="s">
        <v>209</v>
      </c>
      <c r="F233" s="14">
        <v>36.0</v>
      </c>
      <c r="G233" s="14">
        <v>19.0</v>
      </c>
      <c r="H233" s="14">
        <v>273.0</v>
      </c>
      <c r="I233" s="14">
        <v>14.4</v>
      </c>
      <c r="J233" s="14">
        <v>3.0</v>
      </c>
      <c r="K233" s="20">
        <v>6.354099047203256</v>
      </c>
      <c r="L233" s="20">
        <v>46.642606759060996</v>
      </c>
      <c r="M233" s="15"/>
      <c r="N233" s="20">
        <v>6.354099047203256</v>
      </c>
      <c r="O233" s="14">
        <v>1.24</v>
      </c>
      <c r="R233" s="20">
        <f t="array" ref="R233">XLOOKUP(E233, 'Conference Match'!$A$2:$A$40,'Conference Match'!$C$2:$C$40)</f>
        <v>0.9</v>
      </c>
      <c r="S233" s="20">
        <f t="shared" si="1"/>
        <v>1.391737828</v>
      </c>
      <c r="T233" s="20">
        <f t="shared" si="2"/>
        <v>5.790629782</v>
      </c>
      <c r="U233" s="20">
        <f t="shared" si="3"/>
        <v>-40.85197698</v>
      </c>
      <c r="W233" s="20">
        <f>IFERROR(__xludf.DUMMYFUNCTION("iferror(PERCENTRANK.INC(FILTER($S$2:$S$429, $P$2:$P$429&lt;3.75), $S233), 1)"),0.134)</f>
        <v>0.134</v>
      </c>
      <c r="X233" s="20">
        <f>IFERROR(__xludf.DUMMYFUNCTION("iferror(PERCENTRANK.INC(FILTER($S$2:$S$429, $P$2:$P$429&lt;4.5), $S233), 1)"),0.091)</f>
        <v>0.091</v>
      </c>
      <c r="Y233" s="20">
        <f>IFERROR(__xludf.DUMMYFUNCTION("iferror(PERCENTRANK.INC(FILTER($S$2:$S$429, $P$2:$P$429&gt;=4.1), $S233), 0.01)"),0.01)</f>
        <v>0.01</v>
      </c>
    </row>
    <row r="234" ht="14.25" customHeight="1">
      <c r="A234" s="14" t="s">
        <v>1187</v>
      </c>
      <c r="B234" s="14" t="s">
        <v>275</v>
      </c>
      <c r="C234" s="14">
        <v>1.0</v>
      </c>
      <c r="D234" s="14" t="s">
        <v>955</v>
      </c>
      <c r="E234" s="14" t="s">
        <v>125</v>
      </c>
      <c r="F234" s="14">
        <v>48.0</v>
      </c>
      <c r="G234" s="14">
        <v>25.0</v>
      </c>
      <c r="H234" s="14">
        <v>308.0</v>
      </c>
      <c r="I234" s="14">
        <v>12.3</v>
      </c>
      <c r="J234" s="14">
        <v>1.0</v>
      </c>
      <c r="K234" s="20">
        <v>5.40901210433872</v>
      </c>
      <c r="L234" s="20">
        <v>41.180016182026904</v>
      </c>
      <c r="M234" s="15"/>
      <c r="N234" s="20">
        <v>5.40901210433872</v>
      </c>
      <c r="O234" s="14">
        <v>1.66</v>
      </c>
      <c r="R234" s="20">
        <f t="array" ref="R234">XLOOKUP(E234, 'Conference Match'!$A$2:$A$40,'Conference Match'!$C$2:$C$40)</f>
        <v>0.95</v>
      </c>
      <c r="S234" s="20">
        <f t="shared" si="1"/>
        <v>1.3597123</v>
      </c>
      <c r="T234" s="20">
        <f t="shared" si="2"/>
        <v>5.159448607</v>
      </c>
      <c r="U234" s="20">
        <f t="shared" si="3"/>
        <v>-36.02056757</v>
      </c>
      <c r="W234" s="20">
        <f>IFERROR(__xludf.DUMMYFUNCTION("iferror(PERCENTRANK.INC(FILTER($S$2:$S$429, $P$2:$P$429&lt;3.75), $S234), 1)"),0.128)</f>
        <v>0.128</v>
      </c>
      <c r="X234" s="20">
        <f>IFERROR(__xludf.DUMMYFUNCTION("iferror(PERCENTRANK.INC(FILTER($S$2:$S$429, $P$2:$P$429&lt;4.5), $S234), 1)"),0.086)</f>
        <v>0.086</v>
      </c>
      <c r="Y234" s="20">
        <f>IFERROR(__xludf.DUMMYFUNCTION("iferror(PERCENTRANK.INC(FILTER($S$2:$S$429, $P$2:$P$429&gt;=4.1), $S234), 0.01)"),0.01)</f>
        <v>0.01</v>
      </c>
    </row>
    <row r="235" ht="14.25" customHeight="1">
      <c r="A235" s="14" t="s">
        <v>1188</v>
      </c>
      <c r="B235" s="14" t="s">
        <v>682</v>
      </c>
      <c r="C235" s="14" t="s">
        <v>955</v>
      </c>
      <c r="D235" s="14" t="s">
        <v>955</v>
      </c>
      <c r="E235" s="14" t="s">
        <v>111</v>
      </c>
      <c r="F235" s="14">
        <v>27.0</v>
      </c>
      <c r="G235" s="14">
        <v>18.0</v>
      </c>
      <c r="H235" s="14">
        <v>265.0</v>
      </c>
      <c r="I235" s="14">
        <v>14.7</v>
      </c>
      <c r="J235" s="14">
        <v>1.0</v>
      </c>
      <c r="K235" s="20">
        <v>6.18941972670947</v>
      </c>
      <c r="L235" s="20">
        <v>45.14476667781852</v>
      </c>
      <c r="M235" s="15"/>
      <c r="N235" s="20">
        <v>6.18941972670947</v>
      </c>
      <c r="O235" s="14">
        <v>1.18</v>
      </c>
      <c r="R235" s="20">
        <f t="array" ref="R235">XLOOKUP(E235, 'Conference Match'!$A$2:$A$40,'Conference Match'!$C$2:$C$40)</f>
        <v>0.9</v>
      </c>
      <c r="S235" s="20">
        <f t="shared" si="1"/>
        <v>1.350095551</v>
      </c>
      <c r="T235" s="20">
        <f t="shared" si="2"/>
        <v>4.969915095</v>
      </c>
      <c r="U235" s="20">
        <f t="shared" si="3"/>
        <v>-40.17485158</v>
      </c>
      <c r="W235" s="20">
        <f>IFERROR(__xludf.DUMMYFUNCTION("iferror(PERCENTRANK.INC(FILTER($S$2:$S$429, $P$2:$P$429&lt;3.75), $S235), 1)"),0.121)</f>
        <v>0.121</v>
      </c>
      <c r="X235" s="20">
        <f>IFERROR(__xludf.DUMMYFUNCTION("iferror(PERCENTRANK.INC(FILTER($S$2:$S$429, $P$2:$P$429&lt;4.5), $S235), 1)"),0.082)</f>
        <v>0.082</v>
      </c>
      <c r="Y235" s="20">
        <f>IFERROR(__xludf.DUMMYFUNCTION("iferror(PERCENTRANK.INC(FILTER($S$2:$S$429, $P$2:$P$429&gt;=4.1), $S235), 0.01)"),0.01)</f>
        <v>0.01</v>
      </c>
    </row>
    <row r="236" ht="14.25" customHeight="1">
      <c r="A236" s="14" t="s">
        <v>1189</v>
      </c>
      <c r="B236" s="14" t="s">
        <v>287</v>
      </c>
      <c r="C236" s="14" t="s">
        <v>955</v>
      </c>
      <c r="D236" s="14" t="s">
        <v>955</v>
      </c>
      <c r="E236" s="14" t="s">
        <v>169</v>
      </c>
      <c r="F236" s="14">
        <v>40.0</v>
      </c>
      <c r="G236" s="14">
        <v>28.0</v>
      </c>
      <c r="H236" s="14">
        <v>352.0</v>
      </c>
      <c r="I236" s="14">
        <v>12.6</v>
      </c>
      <c r="J236" s="14">
        <v>4.0</v>
      </c>
      <c r="K236" s="20">
        <v>6.304750223346508</v>
      </c>
      <c r="L236" s="20">
        <v>46.19375473493814</v>
      </c>
      <c r="M236" s="15"/>
      <c r="N236" s="20">
        <v>6.304750223346508</v>
      </c>
      <c r="O236" s="14">
        <v>1.04</v>
      </c>
      <c r="R236" s="20">
        <f t="array" ref="R236">XLOOKUP(E236, 'Conference Match'!$A$2:$A$40,'Conference Match'!$C$2:$C$40)</f>
        <v>0.9</v>
      </c>
      <c r="S236" s="20">
        <f t="shared" si="1"/>
        <v>1.34285504</v>
      </c>
      <c r="T236" s="20">
        <f t="shared" si="2"/>
        <v>4.827214125</v>
      </c>
      <c r="U236" s="20">
        <f t="shared" si="3"/>
        <v>-41.36654061</v>
      </c>
      <c r="W236" s="20">
        <f>IFERROR(__xludf.DUMMYFUNCTION("iferror(PERCENTRANK.INC(FILTER($S$2:$S$429, $P$2:$P$429&lt;3.75), $S236), 1)"),0.114)</f>
        <v>0.114</v>
      </c>
      <c r="X236" s="20">
        <f>IFERROR(__xludf.DUMMYFUNCTION("iferror(PERCENTRANK.INC(FILTER($S$2:$S$429, $P$2:$P$429&lt;4.5), $S236), 1)"),0.077)</f>
        <v>0.077</v>
      </c>
      <c r="Y236" s="20">
        <f>IFERROR(__xludf.DUMMYFUNCTION("iferror(PERCENTRANK.INC(FILTER($S$2:$S$429, $P$2:$P$429&gt;=4.1), $S236), 0.01)"),0.01)</f>
        <v>0.01</v>
      </c>
    </row>
    <row r="237" ht="14.25" customHeight="1">
      <c r="A237" s="14" t="s">
        <v>1190</v>
      </c>
      <c r="B237" s="14" t="s">
        <v>394</v>
      </c>
      <c r="C237" s="14" t="s">
        <v>955</v>
      </c>
      <c r="D237" s="14" t="s">
        <v>955</v>
      </c>
      <c r="E237" s="14" t="s">
        <v>209</v>
      </c>
      <c r="F237" s="14">
        <v>17.0</v>
      </c>
      <c r="G237" s="14">
        <v>10.0</v>
      </c>
      <c r="H237" s="14">
        <v>140.0</v>
      </c>
      <c r="I237" s="14">
        <v>14.0</v>
      </c>
      <c r="J237" s="14">
        <v>1.0</v>
      </c>
      <c r="K237" s="20">
        <v>5.6822183505577755</v>
      </c>
      <c r="L237" s="20">
        <v>40.53151865017671</v>
      </c>
      <c r="M237" s="15"/>
      <c r="N237" s="20">
        <v>5.6822183505577755</v>
      </c>
      <c r="O237" s="14">
        <v>1.44</v>
      </c>
      <c r="R237" s="20">
        <f t="array" ref="R237">XLOOKUP(E237, 'Conference Match'!$A$2:$A$40,'Conference Match'!$C$2:$C$40)</f>
        <v>0.9</v>
      </c>
      <c r="S237" s="20">
        <f t="shared" si="1"/>
        <v>1.310799303</v>
      </c>
      <c r="T237" s="20">
        <f t="shared" si="2"/>
        <v>4.195437582</v>
      </c>
      <c r="U237" s="20">
        <f t="shared" si="3"/>
        <v>-36.33608107</v>
      </c>
      <c r="W237" s="20">
        <f>IFERROR(__xludf.DUMMYFUNCTION("iferror(PERCENTRANK.INC(FILTER($S$2:$S$429, $P$2:$P$429&lt;3.75), $S237), 1)"),0.107)</f>
        <v>0.107</v>
      </c>
      <c r="X237" s="20">
        <f>IFERROR(__xludf.DUMMYFUNCTION("iferror(PERCENTRANK.INC(FILTER($S$2:$S$429, $P$2:$P$429&lt;4.5), $S237), 1)"),0.073)</f>
        <v>0.073</v>
      </c>
      <c r="Y237" s="20">
        <f>IFERROR(__xludf.DUMMYFUNCTION("iferror(PERCENTRANK.INC(FILTER($S$2:$S$429, $P$2:$P$429&gt;=4.1), $S237), 0.01)"),0.01)</f>
        <v>0.01</v>
      </c>
    </row>
    <row r="238" ht="14.25" customHeight="1">
      <c r="A238" s="14" t="s">
        <v>1191</v>
      </c>
      <c r="B238" s="14" t="s">
        <v>281</v>
      </c>
      <c r="C238" s="14" t="s">
        <v>955</v>
      </c>
      <c r="D238" s="14" t="s">
        <v>955</v>
      </c>
      <c r="E238" s="14" t="s">
        <v>111</v>
      </c>
      <c r="F238" s="14">
        <v>21.0</v>
      </c>
      <c r="G238" s="14">
        <v>13.0</v>
      </c>
      <c r="H238" s="14">
        <v>181.0</v>
      </c>
      <c r="I238" s="14">
        <v>13.9</v>
      </c>
      <c r="J238" s="14">
        <v>1.0</v>
      </c>
      <c r="K238" s="20">
        <v>5.7735315253420785</v>
      </c>
      <c r="L238" s="20">
        <v>41.362057255311335</v>
      </c>
      <c r="M238" s="15"/>
      <c r="N238" s="20">
        <v>5.7735315253420785</v>
      </c>
      <c r="O238" s="14">
        <v>1.2</v>
      </c>
      <c r="R238" s="20">
        <f t="array" ref="R238">XLOOKUP(E238, 'Conference Match'!$A$2:$A$40,'Conference Match'!$C$2:$C$40)</f>
        <v>0.9</v>
      </c>
      <c r="S238" s="20">
        <f t="shared" si="1"/>
        <v>1.279235675</v>
      </c>
      <c r="T238" s="20">
        <f t="shared" si="2"/>
        <v>3.573359854</v>
      </c>
      <c r="U238" s="20">
        <f t="shared" si="3"/>
        <v>-37.7886974</v>
      </c>
      <c r="W238" s="20">
        <f>IFERROR(__xludf.DUMMYFUNCTION("iferror(PERCENTRANK.INC(FILTER($S$2:$S$429, $P$2:$P$429&lt;3.75), $S238), 1)"),0.101)</f>
        <v>0.101</v>
      </c>
      <c r="X238" s="20">
        <f>IFERROR(__xludf.DUMMYFUNCTION("iferror(PERCENTRANK.INC(FILTER($S$2:$S$429, $P$2:$P$429&lt;4.5), $S238), 1)"),0.068)</f>
        <v>0.068</v>
      </c>
      <c r="Y238" s="20">
        <f>IFERROR(__xludf.DUMMYFUNCTION("iferror(PERCENTRANK.INC(FILTER($S$2:$S$429, $P$2:$P$429&gt;=4.1), $S238), 0.01)"),0.01)</f>
        <v>0.01</v>
      </c>
    </row>
    <row r="239" ht="14.25" customHeight="1">
      <c r="A239" s="14" t="s">
        <v>1192</v>
      </c>
      <c r="B239" s="14" t="s">
        <v>445</v>
      </c>
      <c r="C239" s="14" t="s">
        <v>955</v>
      </c>
      <c r="D239" s="14" t="s">
        <v>955</v>
      </c>
      <c r="E239" s="14" t="s">
        <v>141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3.547969797</v>
      </c>
      <c r="U239" s="20">
        <f t="shared" si="3"/>
        <v>-36.83944104</v>
      </c>
      <c r="W239" s="20">
        <f>IFERROR(__xludf.DUMMYFUNCTION("iferror(PERCENTRANK.INC(FILTER($S$2:$S$429, $P$2:$P$429&lt;3.75), $S239), 1)"),0.094)</f>
        <v>0.094</v>
      </c>
      <c r="X239" s="20">
        <f>IFERROR(__xludf.DUMMYFUNCTION("iferror(PERCENTRANK.INC(FILTER($S$2:$S$429, $P$2:$P$429&lt;4.5), $S239), 1)"),0.064)</f>
        <v>0.064</v>
      </c>
      <c r="Y239" s="20">
        <f>IFERROR(__xludf.DUMMYFUNCTION("iferror(PERCENTRANK.INC(FILTER($S$2:$S$429, $P$2:$P$429&gt;=4.1), $S239), 0.01)"),0.01)</f>
        <v>0.01</v>
      </c>
    </row>
    <row r="240" ht="14.25" customHeight="1">
      <c r="A240" s="14" t="s">
        <v>1193</v>
      </c>
      <c r="B240" s="14" t="s">
        <v>555</v>
      </c>
      <c r="C240" s="14" t="s">
        <v>955</v>
      </c>
      <c r="D240" s="14" t="s">
        <v>955</v>
      </c>
      <c r="E240" s="14" t="s">
        <v>138</v>
      </c>
      <c r="F240" s="14">
        <v>35.0</v>
      </c>
      <c r="G240" s="14">
        <v>20.0</v>
      </c>
      <c r="H240" s="14">
        <v>277.0</v>
      </c>
      <c r="I240" s="14">
        <v>13.8</v>
      </c>
      <c r="J240" s="14">
        <v>3.0</v>
      </c>
      <c r="K240" s="20">
        <v>6.238517342745354</v>
      </c>
      <c r="L240" s="20">
        <v>45.59133384224142</v>
      </c>
      <c r="M240" s="15"/>
      <c r="N240" s="20">
        <v>6.238517342745354</v>
      </c>
      <c r="O240" s="14">
        <v>0.76</v>
      </c>
      <c r="R240" s="20">
        <f t="array" ref="R240">XLOOKUP(E240, 'Conference Match'!$A$2:$A$40,'Conference Match'!$C$2:$C$40)</f>
        <v>0.9</v>
      </c>
      <c r="S240" s="20">
        <f t="shared" si="1"/>
        <v>1.274933122</v>
      </c>
      <c r="T240" s="20">
        <f t="shared" si="2"/>
        <v>3.488562179</v>
      </c>
      <c r="U240" s="20">
        <f t="shared" si="3"/>
        <v>-42.10277166</v>
      </c>
      <c r="W240" s="20">
        <f>IFERROR(__xludf.DUMMYFUNCTION("iferror(PERCENTRANK.INC(FILTER($S$2:$S$429, $P$2:$P$429&lt;3.75), $S240), 1)"),0.087)</f>
        <v>0.087</v>
      </c>
      <c r="X240" s="20">
        <f>IFERROR(__xludf.DUMMYFUNCTION("iferror(PERCENTRANK.INC(FILTER($S$2:$S$429, $P$2:$P$429&lt;4.5), $S240), 1)"),0.059)</f>
        <v>0.059</v>
      </c>
      <c r="Y240" s="20">
        <f>IFERROR(__xludf.DUMMYFUNCTION("iferror(PERCENTRANK.INC(FILTER($S$2:$S$429, $P$2:$P$429&gt;=4.1), $S240), 0.01)"),0.01)</f>
        <v>0.01</v>
      </c>
    </row>
    <row r="241" ht="14.25" customHeight="1">
      <c r="A241" s="14" t="s">
        <v>1194</v>
      </c>
      <c r="B241" s="14" t="s">
        <v>468</v>
      </c>
      <c r="C241" s="14" t="s">
        <v>955</v>
      </c>
      <c r="D241" s="14" t="s">
        <v>955</v>
      </c>
      <c r="E241" s="14" t="s">
        <v>111</v>
      </c>
      <c r="F241" s="14">
        <v>34.0</v>
      </c>
      <c r="G241" s="14">
        <v>21.0</v>
      </c>
      <c r="H241" s="14">
        <v>267.0</v>
      </c>
      <c r="I241" s="14">
        <v>12.7</v>
      </c>
      <c r="J241" s="14">
        <v>2.0</v>
      </c>
      <c r="K241" s="20">
        <v>5.759077703874236</v>
      </c>
      <c r="L241" s="20">
        <v>41.23059258168539</v>
      </c>
      <c r="M241" s="15"/>
      <c r="N241" s="20">
        <v>5.759077703874236</v>
      </c>
      <c r="O241" s="14">
        <v>1.17</v>
      </c>
      <c r="R241" s="20">
        <f t="array" ref="R241">XLOOKUP(E241, 'Conference Match'!$A$2:$A$40,'Conference Match'!$C$2:$C$40)</f>
        <v>0.9</v>
      </c>
      <c r="S241" s="20">
        <f t="shared" si="1"/>
        <v>1.270633987</v>
      </c>
      <c r="T241" s="20">
        <f t="shared" si="2"/>
        <v>3.403831865</v>
      </c>
      <c r="U241" s="20">
        <f t="shared" si="3"/>
        <v>-37.82676072</v>
      </c>
      <c r="W241" s="20">
        <f>IFERROR(__xludf.DUMMYFUNCTION("iferror(PERCENTRANK.INC(FILTER($S$2:$S$429, $P$2:$P$429&lt;3.75), $S241), 1)"),0.081)</f>
        <v>0.081</v>
      </c>
      <c r="X241" s="20">
        <f>IFERROR(__xludf.DUMMYFUNCTION("iferror(PERCENTRANK.INC(FILTER($S$2:$S$429, $P$2:$P$429&lt;4.5), $S241), 1)"),0.055)</f>
        <v>0.055</v>
      </c>
      <c r="Y241" s="20">
        <f>IFERROR(__xludf.DUMMYFUNCTION("iferror(PERCENTRANK.INC(FILTER($S$2:$S$429, $P$2:$P$429&gt;=4.1), $S241), 0.01)"),0.01)</f>
        <v>0.01</v>
      </c>
    </row>
    <row r="242" ht="14.25" customHeight="1">
      <c r="A242" s="14" t="s">
        <v>1195</v>
      </c>
      <c r="B242" s="14" t="s">
        <v>333</v>
      </c>
      <c r="C242" s="14">
        <v>7.0</v>
      </c>
      <c r="D242" s="14" t="s">
        <v>955</v>
      </c>
      <c r="E242" s="14" t="s">
        <v>149</v>
      </c>
      <c r="F242" s="14">
        <v>16.0</v>
      </c>
      <c r="G242" s="14">
        <v>10.0</v>
      </c>
      <c r="H242" s="14">
        <v>136.0</v>
      </c>
      <c r="I242" s="14">
        <v>13.6</v>
      </c>
      <c r="J242" s="14">
        <v>1.0</v>
      </c>
      <c r="K242" s="20">
        <v>5.597874670419675</v>
      </c>
      <c r="L242" s="20">
        <v>43.43726054743081</v>
      </c>
      <c r="M242" s="15"/>
      <c r="N242" s="20">
        <v>5.597874670419675</v>
      </c>
      <c r="O242" s="14">
        <v>1.01</v>
      </c>
      <c r="R242" s="20">
        <f t="array" ref="R242">XLOOKUP(E242, 'Conference Match'!$A$2:$A$40,'Conference Match'!$C$2:$C$40)</f>
        <v>0.95</v>
      </c>
      <c r="S242" s="20">
        <f t="shared" si="1"/>
        <v>1.265596187</v>
      </c>
      <c r="T242" s="20">
        <f t="shared" si="2"/>
        <v>3.304543447</v>
      </c>
      <c r="U242" s="20">
        <f t="shared" si="3"/>
        <v>-40.1327171</v>
      </c>
      <c r="W242" s="20">
        <f>IFERROR(__xludf.DUMMYFUNCTION("iferror(PERCENTRANK.INC(FILTER($S$2:$S$429, $P$2:$P$429&lt;3.75), $S242), 1)"),0.074)</f>
        <v>0.074</v>
      </c>
      <c r="X242" s="20">
        <f>IFERROR(__xludf.DUMMYFUNCTION("iferror(PERCENTRANK.INC(FILTER($S$2:$S$429, $P$2:$P$429&lt;4.5), $S242), 1)"),0.05)</f>
        <v>0.05</v>
      </c>
      <c r="Y242" s="20">
        <f>IFERROR(__xludf.DUMMYFUNCTION("iferror(PERCENTRANK.INC(FILTER($S$2:$S$429, $P$2:$P$429&gt;=4.1), $S242), 0.01)"),0.01)</f>
        <v>0.01</v>
      </c>
    </row>
    <row r="243" ht="14.25" customHeight="1">
      <c r="A243" s="14" t="s">
        <v>1196</v>
      </c>
      <c r="B243" s="14" t="s">
        <v>297</v>
      </c>
      <c r="C243" s="14">
        <v>81.0</v>
      </c>
      <c r="D243" s="14" t="s">
        <v>955</v>
      </c>
      <c r="E243" s="14" t="s">
        <v>149</v>
      </c>
      <c r="F243" s="14">
        <v>20.0</v>
      </c>
      <c r="G243" s="14">
        <v>13.0</v>
      </c>
      <c r="H243" s="14">
        <v>166.0</v>
      </c>
      <c r="I243" s="14">
        <v>12.8</v>
      </c>
      <c r="J243" s="14">
        <v>1.0</v>
      </c>
      <c r="K243" s="20">
        <v>5.458082853203199</v>
      </c>
      <c r="L243" s="20">
        <v>41.766499113393074</v>
      </c>
      <c r="M243" s="15"/>
      <c r="N243" s="20">
        <v>5.458082853203199</v>
      </c>
      <c r="O243" s="14">
        <v>1.09</v>
      </c>
      <c r="R243" s="20">
        <f t="array" ref="R243">XLOOKUP(E243, 'Conference Match'!$A$2:$A$40,'Conference Match'!$C$2:$C$40)</f>
        <v>0.95</v>
      </c>
      <c r="S243" s="20">
        <f t="shared" si="1"/>
        <v>1.255035742</v>
      </c>
      <c r="T243" s="20">
        <f t="shared" si="2"/>
        <v>3.096410919</v>
      </c>
      <c r="U243" s="20">
        <f t="shared" si="3"/>
        <v>-38.67008819</v>
      </c>
      <c r="W243" s="20">
        <f>IFERROR(__xludf.DUMMYFUNCTION("iferror(PERCENTRANK.INC(FILTER($S$2:$S$429, $P$2:$P$429&lt;3.75), $S243), 1)"),0.067)</f>
        <v>0.067</v>
      </c>
      <c r="X243" s="20">
        <f>IFERROR(__xludf.DUMMYFUNCTION("iferror(PERCENTRANK.INC(FILTER($S$2:$S$429, $P$2:$P$429&lt;4.5), $S243), 1)"),0.045)</f>
        <v>0.045</v>
      </c>
      <c r="Y243" s="20">
        <f>IFERROR(__xludf.DUMMYFUNCTION("iferror(PERCENTRANK.INC(FILTER($S$2:$S$429, $P$2:$P$429&gt;=4.1), $S243), 0.01)"),0.01)</f>
        <v>0.01</v>
      </c>
    </row>
    <row r="244" ht="14.25" customHeight="1">
      <c r="A244" s="14" t="s">
        <v>1197</v>
      </c>
      <c r="B244" s="14" t="s">
        <v>780</v>
      </c>
      <c r="C244" s="14" t="s">
        <v>955</v>
      </c>
      <c r="D244" s="14" t="s">
        <v>955</v>
      </c>
      <c r="E244" s="14" t="s">
        <v>141</v>
      </c>
      <c r="F244" s="14">
        <v>26.0</v>
      </c>
      <c r="G244" s="14">
        <v>18.0</v>
      </c>
      <c r="H244" s="14">
        <v>296.0</v>
      </c>
      <c r="I244" s="14">
        <v>16.4</v>
      </c>
      <c r="J244" s="14">
        <v>1.0</v>
      </c>
      <c r="K244" s="20">
        <v>6.765081364639977</v>
      </c>
      <c r="L244" s="20">
        <v>50.38069473448394</v>
      </c>
      <c r="M244" s="15"/>
      <c r="N244" s="20">
        <v>6.765081364639977</v>
      </c>
      <c r="O244" s="14">
        <v>0.01</v>
      </c>
      <c r="R244" s="20">
        <f t="array" ref="R244">XLOOKUP(E244, 'Conference Match'!$A$2:$A$40,'Conference Match'!$C$2:$C$40)</f>
        <v>0.9</v>
      </c>
      <c r="S244" s="20">
        <f t="shared" si="1"/>
        <v>1.219714646</v>
      </c>
      <c r="T244" s="20">
        <f t="shared" si="2"/>
        <v>2.400278424</v>
      </c>
      <c r="U244" s="20">
        <f t="shared" si="3"/>
        <v>-47.98041631</v>
      </c>
      <c r="W244" s="20">
        <f>IFERROR(__xludf.DUMMYFUNCTION("iferror(PERCENTRANK.INC(FILTER($S$2:$S$429, $P$2:$P$429&lt;3.75), $S244), 1)"),0.06)</f>
        <v>0.06</v>
      </c>
      <c r="X244" s="20">
        <f>IFERROR(__xludf.DUMMYFUNCTION("iferror(PERCENTRANK.INC(FILTER($S$2:$S$429, $P$2:$P$429&lt;4.5), $S244), 1)"),0.041)</f>
        <v>0.041</v>
      </c>
      <c r="Y244" s="20">
        <f>IFERROR(__xludf.DUMMYFUNCTION("iferror(PERCENTRANK.INC(FILTER($S$2:$S$429, $P$2:$P$429&gt;=4.1), $S244), 0.01)"),0.01)</f>
        <v>0.01</v>
      </c>
    </row>
    <row r="245" ht="14.25" customHeight="1">
      <c r="A245" s="14" t="s">
        <v>1198</v>
      </c>
      <c r="B245" s="14" t="s">
        <v>200</v>
      </c>
      <c r="C245" s="14" t="s">
        <v>955</v>
      </c>
      <c r="D245" s="14" t="s">
        <v>955</v>
      </c>
      <c r="E245" s="14" t="s">
        <v>105</v>
      </c>
      <c r="F245" s="14">
        <v>22.0</v>
      </c>
      <c r="G245" s="14">
        <v>16.0</v>
      </c>
      <c r="H245" s="14">
        <v>240.0</v>
      </c>
      <c r="I245" s="14">
        <v>15.0</v>
      </c>
      <c r="J245" s="14">
        <v>1.0</v>
      </c>
      <c r="K245" s="20">
        <v>6.320150248302475</v>
      </c>
      <c r="L245" s="20">
        <v>46.33382559849294</v>
      </c>
      <c r="M245" s="15"/>
      <c r="N245" s="20">
        <v>6.320150248302475</v>
      </c>
      <c r="O245" s="14">
        <v>0.33</v>
      </c>
      <c r="R245" s="20">
        <f t="array" ref="R245">XLOOKUP(E245, 'Conference Match'!$A$2:$A$40,'Conference Match'!$C$2:$C$40)</f>
        <v>0.9</v>
      </c>
      <c r="S245" s="20">
        <f t="shared" si="1"/>
        <v>1.203627045</v>
      </c>
      <c r="T245" s="20">
        <f t="shared" si="2"/>
        <v>2.083212906</v>
      </c>
      <c r="U245" s="20">
        <f t="shared" si="3"/>
        <v>-44.25061269</v>
      </c>
      <c r="W245" s="20">
        <f>IFERROR(__xludf.DUMMYFUNCTION("iferror(PERCENTRANK.INC(FILTER($S$2:$S$429, $P$2:$P$429&lt;3.75), $S245), 1)"),0.054)</f>
        <v>0.054</v>
      </c>
      <c r="X245" s="20">
        <f>IFERROR(__xludf.DUMMYFUNCTION("iferror(PERCENTRANK.INC(FILTER($S$2:$S$429, $P$2:$P$429&lt;4.5), $S245), 1)"),0.036)</f>
        <v>0.036</v>
      </c>
      <c r="Y245" s="20">
        <f>IFERROR(__xludf.DUMMYFUNCTION("iferror(PERCENTRANK.INC(FILTER($S$2:$S$429, $P$2:$P$429&gt;=4.1), $S245), 0.01)"),0.01)</f>
        <v>0.01</v>
      </c>
    </row>
    <row r="246" ht="14.25" customHeight="1">
      <c r="A246" s="14" t="s">
        <v>1199</v>
      </c>
      <c r="B246" s="14" t="s">
        <v>499</v>
      </c>
      <c r="C246" s="14" t="s">
        <v>955</v>
      </c>
      <c r="D246" s="14" t="s">
        <v>955</v>
      </c>
      <c r="E246" s="14" t="s">
        <v>105</v>
      </c>
      <c r="F246" s="14">
        <v>22.0</v>
      </c>
      <c r="G246" s="14">
        <v>10.0</v>
      </c>
      <c r="H246" s="14">
        <v>157.0</v>
      </c>
      <c r="I246" s="14">
        <v>15.7</v>
      </c>
      <c r="J246" s="14">
        <v>0.0</v>
      </c>
      <c r="K246" s="20">
        <v>5.84969570284793</v>
      </c>
      <c r="L246" s="20">
        <v>42.05480821809805</v>
      </c>
      <c r="M246" s="15"/>
      <c r="N246" s="20">
        <v>5.84969570284793</v>
      </c>
      <c r="O246" s="14">
        <v>0.75</v>
      </c>
      <c r="R246" s="20">
        <f t="array" ref="R246">XLOOKUP(E246, 'Conference Match'!$A$2:$A$40,'Conference Match'!$C$2:$C$40)</f>
        <v>0.9</v>
      </c>
      <c r="S246" s="20">
        <f t="shared" si="1"/>
        <v>1.202945227</v>
      </c>
      <c r="T246" s="20">
        <f t="shared" si="2"/>
        <v>2.069775163</v>
      </c>
      <c r="U246" s="20">
        <f t="shared" si="3"/>
        <v>-39.98503305</v>
      </c>
      <c r="W246" s="20">
        <f>IFERROR(__xludf.DUMMYFUNCTION("iferror(PERCENTRANK.INC(FILTER($S$2:$S$429, $P$2:$P$429&lt;3.75), $S246), 1)"),0.047)</f>
        <v>0.047</v>
      </c>
      <c r="X246" s="20">
        <f>IFERROR(__xludf.DUMMYFUNCTION("iferror(PERCENTRANK.INC(FILTER($S$2:$S$429, $P$2:$P$429&lt;4.5), $S246), 1)"),0.032)</f>
        <v>0.032</v>
      </c>
      <c r="Y246" s="20">
        <f>IFERROR(__xludf.DUMMYFUNCTION("iferror(PERCENTRANK.INC(FILTER($S$2:$S$429, $P$2:$P$429&gt;=4.1), $S246), 0.01)"),0.01)</f>
        <v>0.01</v>
      </c>
    </row>
    <row r="247" ht="14.25" customHeight="1">
      <c r="A247" s="14" t="s">
        <v>1200</v>
      </c>
      <c r="B247" s="14" t="s">
        <v>555</v>
      </c>
      <c r="C247" s="14" t="s">
        <v>955</v>
      </c>
      <c r="D247" s="14" t="s">
        <v>955</v>
      </c>
      <c r="E247" s="14" t="s">
        <v>138</v>
      </c>
      <c r="F247" s="14">
        <v>25.0</v>
      </c>
      <c r="G247" s="14">
        <v>12.0</v>
      </c>
      <c r="H247" s="14">
        <v>187.0</v>
      </c>
      <c r="I247" s="14">
        <v>15.6</v>
      </c>
      <c r="J247" s="14">
        <v>1.0</v>
      </c>
      <c r="K247" s="20">
        <v>6.108333788307519</v>
      </c>
      <c r="L247" s="20">
        <v>44.4072498590739</v>
      </c>
      <c r="M247" s="15"/>
      <c r="N247" s="20">
        <v>6.108333788307519</v>
      </c>
      <c r="O247" s="14">
        <v>0.46</v>
      </c>
      <c r="R247" s="20">
        <f t="array" ref="R247">XLOOKUP(E247, 'Conference Match'!$A$2:$A$40,'Conference Match'!$C$2:$C$40)</f>
        <v>0.9</v>
      </c>
      <c r="S247" s="20">
        <f t="shared" si="1"/>
        <v>1.191500082</v>
      </c>
      <c r="T247" s="20">
        <f t="shared" si="2"/>
        <v>1.844206371</v>
      </c>
      <c r="U247" s="20">
        <f t="shared" si="3"/>
        <v>-42.56304349</v>
      </c>
      <c r="W247" s="20">
        <f>IFERROR(__xludf.DUMMYFUNCTION("iferror(PERCENTRANK.INC(FILTER($S$2:$S$429, $P$2:$P$429&lt;3.75), $S247), 1)"),0.04)</f>
        <v>0.04</v>
      </c>
      <c r="X247" s="20">
        <f>IFERROR(__xludf.DUMMYFUNCTION("iferror(PERCENTRANK.INC(FILTER($S$2:$S$429, $P$2:$P$429&lt;4.5), $S247), 1)"),0.027)</f>
        <v>0.027</v>
      </c>
      <c r="Y247" s="20">
        <f>IFERROR(__xludf.DUMMYFUNCTION("iferror(PERCENTRANK.INC(FILTER($S$2:$S$429, $P$2:$P$429&gt;=4.1), $S247), 0.01)"),0.01)</f>
        <v>0.01</v>
      </c>
    </row>
    <row r="248" ht="14.25" customHeight="1">
      <c r="A248" s="14" t="s">
        <v>1201</v>
      </c>
      <c r="B248" s="14" t="s">
        <v>343</v>
      </c>
      <c r="C248" s="14" t="s">
        <v>955</v>
      </c>
      <c r="D248" s="14" t="s">
        <v>955</v>
      </c>
      <c r="E248" s="14" t="s">
        <v>105</v>
      </c>
      <c r="F248" s="14">
        <v>21.0</v>
      </c>
      <c r="G248" s="14">
        <v>12.0</v>
      </c>
      <c r="H248" s="14">
        <v>180.0</v>
      </c>
      <c r="I248" s="14">
        <v>15.0</v>
      </c>
      <c r="J248" s="14">
        <v>0.0</v>
      </c>
      <c r="K248" s="20">
        <v>5.831864858675411</v>
      </c>
      <c r="L248" s="20">
        <v>41.892627848371575</v>
      </c>
      <c r="M248" s="15"/>
      <c r="N248" s="20">
        <v>5.831864858675411</v>
      </c>
      <c r="O248" s="14">
        <v>0.63</v>
      </c>
      <c r="R248" s="20">
        <f t="array" ref="R248">XLOOKUP(E248, 'Conference Match'!$A$2:$A$40,'Conference Match'!$C$2:$C$40)</f>
        <v>0.9</v>
      </c>
      <c r="S248" s="20">
        <f t="shared" si="1"/>
        <v>1.175735675</v>
      </c>
      <c r="T248" s="20">
        <f t="shared" si="2"/>
        <v>1.533510575</v>
      </c>
      <c r="U248" s="20">
        <f t="shared" si="3"/>
        <v>-40.35911727</v>
      </c>
      <c r="W248" s="20">
        <f>IFERROR(__xludf.DUMMYFUNCTION("iferror(PERCENTRANK.INC(FILTER($S$2:$S$429, $P$2:$P$429&lt;3.75), $S248), 1)"),0.034)</f>
        <v>0.034</v>
      </c>
      <c r="X248" s="20">
        <f>IFERROR(__xludf.DUMMYFUNCTION("iferror(PERCENTRANK.INC(FILTER($S$2:$S$429, $P$2:$P$429&lt;4.5), $S248), 1)"),0.023)</f>
        <v>0.023</v>
      </c>
      <c r="Y248" s="20">
        <f>IFERROR(__xludf.DUMMYFUNCTION("iferror(PERCENTRANK.INC(FILTER($S$2:$S$429, $P$2:$P$429&gt;=4.1), $S248), 0.01)"),0.01)</f>
        <v>0.01</v>
      </c>
    </row>
    <row r="249" ht="14.25" customHeight="1">
      <c r="A249" s="14" t="s">
        <v>1202</v>
      </c>
      <c r="B249" s="14" t="s">
        <v>295</v>
      </c>
      <c r="C249" s="14" t="s">
        <v>955</v>
      </c>
      <c r="D249" s="14" t="s">
        <v>955</v>
      </c>
      <c r="E249" s="14" t="s">
        <v>135</v>
      </c>
      <c r="F249" s="14">
        <v>18.0</v>
      </c>
      <c r="G249" s="14">
        <v>12.0</v>
      </c>
      <c r="H249" s="14">
        <v>164.0</v>
      </c>
      <c r="I249" s="14">
        <v>13.7</v>
      </c>
      <c r="J249" s="14">
        <v>2.0</v>
      </c>
      <c r="K249" s="20">
        <v>5.933331420486033</v>
      </c>
      <c r="L249" s="20">
        <v>42.81551654338262</v>
      </c>
      <c r="M249" s="15"/>
      <c r="N249" s="20">
        <v>5.933331420486033</v>
      </c>
      <c r="O249" s="14">
        <v>0.46</v>
      </c>
      <c r="R249" s="20">
        <f t="array" ref="R249">XLOOKUP(E249, 'Conference Match'!$A$2:$A$40,'Conference Match'!$C$2:$C$40)</f>
        <v>0.9</v>
      </c>
      <c r="S249" s="20">
        <f t="shared" si="1"/>
        <v>1.159999656</v>
      </c>
      <c r="T249" s="20">
        <f t="shared" si="2"/>
        <v>1.223374278</v>
      </c>
      <c r="U249" s="20">
        <f t="shared" si="3"/>
        <v>-41.59214227</v>
      </c>
      <c r="W249" s="20">
        <f>IFERROR(__xludf.DUMMYFUNCTION("iferror(PERCENTRANK.INC(FILTER($S$2:$S$429, $P$2:$P$429&lt;3.75), $S249), 1)"),0.027)</f>
        <v>0.027</v>
      </c>
      <c r="X249" s="20">
        <f>IFERROR(__xludf.DUMMYFUNCTION("iferror(PERCENTRANK.INC(FILTER($S$2:$S$429, $P$2:$P$429&lt;4.5), $S249), 1)"),0.018)</f>
        <v>0.018</v>
      </c>
      <c r="Y249" s="20">
        <f>IFERROR(__xludf.DUMMYFUNCTION("iferror(PERCENTRANK.INC(FILTER($S$2:$S$429, $P$2:$P$429&gt;=4.1), $S249), 0.01)"),0.01)</f>
        <v>0.01</v>
      </c>
    </row>
    <row r="250" ht="14.25" customHeight="1">
      <c r="A250" s="14" t="s">
        <v>1203</v>
      </c>
      <c r="B250" s="14" t="s">
        <v>533</v>
      </c>
      <c r="C250" s="14" t="s">
        <v>955</v>
      </c>
      <c r="D250" s="14" t="s">
        <v>955</v>
      </c>
      <c r="E250" s="14" t="s">
        <v>135</v>
      </c>
      <c r="F250" s="14">
        <v>20.0</v>
      </c>
      <c r="G250" s="14">
        <v>8.0</v>
      </c>
      <c r="H250" s="14">
        <v>130.0</v>
      </c>
      <c r="I250" s="14">
        <v>16.3</v>
      </c>
      <c r="J250" s="14">
        <v>0.0</v>
      </c>
      <c r="K250" s="20">
        <v>5.890582853203199</v>
      </c>
      <c r="L250" s="20">
        <v>42.42669712574157</v>
      </c>
      <c r="M250" s="15"/>
      <c r="N250" s="20">
        <v>5.890582853203199</v>
      </c>
      <c r="O250" s="14">
        <v>0.48</v>
      </c>
      <c r="R250" s="20">
        <f t="array" ref="R250">XLOOKUP(E250, 'Conference Match'!$A$2:$A$40,'Conference Match'!$C$2:$C$40)</f>
        <v>0.9</v>
      </c>
      <c r="S250" s="20">
        <f t="shared" si="1"/>
        <v>1.156304914</v>
      </c>
      <c r="T250" s="20">
        <f t="shared" si="2"/>
        <v>1.150555756</v>
      </c>
      <c r="U250" s="20">
        <f t="shared" si="3"/>
        <v>-41.27614137</v>
      </c>
      <c r="W250" s="20">
        <f>IFERROR(__xludf.DUMMYFUNCTION("iferror(PERCENTRANK.INC(FILTER($S$2:$S$429, $P$2:$P$429&lt;3.75), $S250), 1)"),0.02)</f>
        <v>0.02</v>
      </c>
      <c r="X250" s="20">
        <f>IFERROR(__xludf.DUMMYFUNCTION("iferror(PERCENTRANK.INC(FILTER($S$2:$S$429, $P$2:$P$429&lt;4.5), $S250), 1)"),0.014)</f>
        <v>0.014</v>
      </c>
      <c r="Y250" s="20">
        <f>IFERROR(__xludf.DUMMYFUNCTION("iferror(PERCENTRANK.INC(FILTER($S$2:$S$429, $P$2:$P$429&gt;=4.1), $S250), 0.01)"),0.01)</f>
        <v>0.01</v>
      </c>
    </row>
    <row r="251" ht="14.25" customHeight="1">
      <c r="A251" s="14" t="s">
        <v>1204</v>
      </c>
      <c r="B251" s="14" t="s">
        <v>493</v>
      </c>
      <c r="C251" s="14" t="s">
        <v>955</v>
      </c>
      <c r="D251" s="14" t="s">
        <v>955</v>
      </c>
      <c r="E251" s="14" t="s">
        <v>105</v>
      </c>
      <c r="F251" s="14">
        <v>20.0</v>
      </c>
      <c r="G251" s="14">
        <v>12.0</v>
      </c>
      <c r="H251" s="14">
        <v>182.0</v>
      </c>
      <c r="I251" s="14">
        <v>15.2</v>
      </c>
      <c r="J251" s="14">
        <v>0.0</v>
      </c>
      <c r="K251" s="20">
        <v>5.925582853203197</v>
      </c>
      <c r="L251" s="20">
        <v>42.74503948157769</v>
      </c>
      <c r="M251" s="15"/>
      <c r="N251" s="20">
        <v>5.925582853203197</v>
      </c>
      <c r="O251" s="14">
        <v>0.43</v>
      </c>
      <c r="R251" s="20">
        <f t="array" ref="R251">XLOOKUP(E251, 'Conference Match'!$A$2:$A$40,'Conference Match'!$C$2:$C$40)</f>
        <v>0.9</v>
      </c>
      <c r="S251" s="20">
        <f t="shared" si="1"/>
        <v>1.152604914</v>
      </c>
      <c r="T251" s="20">
        <f t="shared" si="2"/>
        <v>1.077633608</v>
      </c>
      <c r="U251" s="20">
        <f t="shared" si="3"/>
        <v>-41.66740587</v>
      </c>
      <c r="W251" s="20">
        <f>IFERROR(__xludf.DUMMYFUNCTION("iferror(PERCENTRANK.INC(FILTER($S$2:$S$429, $P$2:$P$429&lt;3.75), $S251), 1)"),0.013)</f>
        <v>0.013</v>
      </c>
      <c r="X251" s="20">
        <f>IFERROR(__xludf.DUMMYFUNCTION("iferror(PERCENTRANK.INC(FILTER($S$2:$S$429, $P$2:$P$429&lt;4.5), $S251), 1)"),0.009)</f>
        <v>0.009</v>
      </c>
      <c r="Y251" s="20">
        <f>IFERROR(__xludf.DUMMYFUNCTION("iferror(PERCENTRANK.INC(FILTER($S$2:$S$429, $P$2:$P$429&gt;=4.1), $S251), 0.01)"),0.01)</f>
        <v>0.01</v>
      </c>
    </row>
    <row r="252" ht="14.25" customHeight="1">
      <c r="A252" s="14" t="s">
        <v>1205</v>
      </c>
      <c r="B252" s="14" t="s">
        <v>590</v>
      </c>
      <c r="C252" s="14" t="s">
        <v>955</v>
      </c>
      <c r="D252" s="14" t="s">
        <v>955</v>
      </c>
      <c r="E252" s="14" t="s">
        <v>111</v>
      </c>
      <c r="F252" s="14">
        <v>19.0</v>
      </c>
      <c r="G252" s="14">
        <v>14.0</v>
      </c>
      <c r="H252" s="14">
        <v>192.0</v>
      </c>
      <c r="I252" s="14">
        <v>13.7</v>
      </c>
      <c r="J252" s="14">
        <v>1.0</v>
      </c>
      <c r="K252" s="20">
        <v>5.86824313784916</v>
      </c>
      <c r="L252" s="20">
        <v>42.223506336755456</v>
      </c>
      <c r="M252" s="15"/>
      <c r="N252" s="20">
        <v>5.86824313784916</v>
      </c>
      <c r="O252" s="14">
        <v>0.46</v>
      </c>
      <c r="R252" s="20">
        <f t="array" ref="R252">XLOOKUP(E252, 'Conference Match'!$A$2:$A$40,'Conference Match'!$C$2:$C$40)</f>
        <v>0.9</v>
      </c>
      <c r="S252" s="20">
        <f t="shared" si="1"/>
        <v>1.148283765</v>
      </c>
      <c r="T252" s="20">
        <f t="shared" si="2"/>
        <v>0.9924694318</v>
      </c>
      <c r="U252" s="20">
        <f t="shared" si="3"/>
        <v>-41.2310369</v>
      </c>
      <c r="W252" s="20">
        <f>IFERROR(__xludf.DUMMYFUNCTION("iferror(PERCENTRANK.INC(FILTER($S$2:$S$429, $P$2:$P$429&lt;3.75), $S252), 1)"),0.007)</f>
        <v>0.007</v>
      </c>
      <c r="X252" s="20">
        <f>IFERROR(__xludf.DUMMYFUNCTION("iferror(PERCENTRANK.INC(FILTER($S$2:$S$429, $P$2:$P$429&lt;4.5), $S252), 1)"),0.005)</f>
        <v>0.005</v>
      </c>
      <c r="Y252" s="20">
        <f>IFERROR(__xludf.DUMMYFUNCTION("iferror(PERCENTRANK.INC(FILTER($S$2:$S$429, $P$2:$P$429&gt;=4.1), $S252), 0.01)"),0.01)</f>
        <v>0.01</v>
      </c>
    </row>
    <row r="253" ht="14.25" customHeight="1">
      <c r="A253" s="14" t="s">
        <v>1206</v>
      </c>
      <c r="B253" s="14" t="s">
        <v>527</v>
      </c>
      <c r="C253" s="14">
        <v>14.0</v>
      </c>
      <c r="D253" s="14" t="s">
        <v>955</v>
      </c>
      <c r="E253" s="14" t="s">
        <v>125</v>
      </c>
      <c r="F253" s="14">
        <v>30.0</v>
      </c>
      <c r="G253" s="14">
        <v>17.0</v>
      </c>
      <c r="H253" s="14">
        <v>213.0</v>
      </c>
      <c r="I253" s="14">
        <v>12.5</v>
      </c>
      <c r="J253" s="14">
        <v>1.0</v>
      </c>
      <c r="K253" s="20">
        <v>5.378562188236468</v>
      </c>
      <c r="L253" s="20">
        <v>40.8160853990502</v>
      </c>
      <c r="M253" s="15"/>
      <c r="N253" s="20">
        <v>5.378562188236468</v>
      </c>
      <c r="O253" s="14">
        <v>0.38</v>
      </c>
      <c r="R253" s="20">
        <f t="array" ref="R253">XLOOKUP(E253, 'Conference Match'!$A$2:$A$40,'Conference Match'!$C$2:$C$40)</f>
        <v>0.95</v>
      </c>
      <c r="S253" s="20">
        <f t="shared" si="1"/>
        <v>1.097926816</v>
      </c>
      <c r="T253" s="20">
        <f t="shared" si="2"/>
        <v>0</v>
      </c>
      <c r="U253" s="20">
        <f t="shared" si="3"/>
        <v>-40.8160854</v>
      </c>
      <c r="W253" s="20">
        <f>IFERROR(__xludf.DUMMYFUNCTION("iferror(PERCENTRANK.INC(FILTER($S$2:$S$429, $P$2:$P$429&lt;3.75), $S253), 1)"),0.0)</f>
        <v>0</v>
      </c>
      <c r="X253" s="20">
        <f>IFERROR(__xludf.DUMMYFUNCTION("iferror(PERCENTRANK.INC(FILTER($S$2:$S$429, $P$2:$P$429&lt;4.5), $S253), 1)"),0.0)</f>
        <v>0</v>
      </c>
      <c r="Y253" s="20">
        <f>IFERROR(__xludf.DUMMYFUNCTION("iferror(PERCENTRANK.INC(FILTER($S$2:$S$429, $P$2:$P$429&gt;=4.1), $S253), 0.01)"),0.01)</f>
        <v>0.01</v>
      </c>
    </row>
    <row r="254" ht="14.25" customHeight="1">
      <c r="A254" s="17" t="s">
        <v>1207</v>
      </c>
      <c r="B254" s="17" t="s">
        <v>590</v>
      </c>
      <c r="C254" s="16">
        <v>14.0</v>
      </c>
      <c r="D254" s="17" t="s">
        <v>955</v>
      </c>
      <c r="E254" s="17" t="s">
        <v>111</v>
      </c>
      <c r="F254" s="18">
        <v>21.0</v>
      </c>
      <c r="G254" s="18">
        <v>13.0</v>
      </c>
      <c r="H254" s="18">
        <v>131.0</v>
      </c>
      <c r="I254" s="18">
        <v>10.1</v>
      </c>
      <c r="J254" s="18">
        <v>0.0</v>
      </c>
      <c r="K254" s="18">
        <v>4.39</v>
      </c>
      <c r="L254" s="22">
        <v>28.74</v>
      </c>
      <c r="M254" s="15"/>
      <c r="N254" s="18">
        <v>4.39</v>
      </c>
      <c r="O254" s="16">
        <v>0.99</v>
      </c>
      <c r="P254" s="16">
        <v>3.81</v>
      </c>
      <c r="Q254" s="16">
        <v>0.0</v>
      </c>
      <c r="R254" s="20">
        <f t="array" ref="R254">XLOOKUP(E254, 'Conference Match'!$A$2:$A$40,'Conference Match'!$C$2:$C$40)</f>
        <v>0.9</v>
      </c>
      <c r="S254" s="20">
        <f t="shared" si="1"/>
        <v>2.8932</v>
      </c>
      <c r="T254" s="20">
        <f t="shared" si="2"/>
        <v>35.38248029</v>
      </c>
      <c r="U254" s="20">
        <f t="shared" si="3"/>
        <v>6.64248029</v>
      </c>
      <c r="W254" s="20">
        <f>IFERROR(__xludf.DUMMYFUNCTION("iferror(PERCENTRANK.INC(FILTER($S$2:$S$429, $P$2:$P$429&lt;3.75), $S254), 1)"),0.627)</f>
        <v>0.627</v>
      </c>
      <c r="X254" s="20">
        <f>IFERROR(__xludf.DUMMYFUNCTION("iferror(PERCENTRANK.INC(FILTER($S$2:$S$429, $P$2:$P$429&lt;4.5), $S254), 1)"),0.432)</f>
        <v>0.432</v>
      </c>
      <c r="Y254" s="20">
        <f>IFERROR(__xludf.DUMMYFUNCTION("iferror(PERCENTRANK.INC(FILTER($S$2:$S$429, $P$2:$P$429&gt;=4.1), $S254), 0.01)"),0.01)</f>
        <v>0.01</v>
      </c>
    </row>
    <row r="255" ht="14.25" customHeight="1">
      <c r="A255" s="14" t="s">
        <v>1208</v>
      </c>
      <c r="B255" s="14" t="s">
        <v>140</v>
      </c>
      <c r="C255" s="14" t="s">
        <v>955</v>
      </c>
      <c r="D255" s="14" t="s">
        <v>955</v>
      </c>
      <c r="E255" s="14" t="s">
        <v>141</v>
      </c>
      <c r="F255" s="14">
        <v>31.0</v>
      </c>
      <c r="G255" s="14">
        <v>23.0</v>
      </c>
      <c r="H255" s="14">
        <v>397.0</v>
      </c>
      <c r="I255" s="14">
        <v>17.3</v>
      </c>
      <c r="J255" s="14">
        <v>5.0</v>
      </c>
      <c r="K255" s="20">
        <v>8.004136598237968</v>
      </c>
      <c r="L255" s="20">
        <v>61.65051650804637</v>
      </c>
      <c r="M255" s="15"/>
      <c r="N255" s="20">
        <v>8.004136598237968</v>
      </c>
      <c r="O255" s="14">
        <v>4.5</v>
      </c>
      <c r="R255" s="20">
        <f t="array" ref="R255">XLOOKUP(E255, 'Conference Match'!$A$2:$A$40,'Conference Match'!$C$2:$C$40)</f>
        <v>0.9</v>
      </c>
      <c r="S255" s="20">
        <f t="shared" si="1"/>
        <v>2.340744588</v>
      </c>
      <c r="T255" s="20">
        <f t="shared" si="2"/>
        <v>24.49430856</v>
      </c>
      <c r="U255" s="20">
        <f t="shared" si="3"/>
        <v>-37.15620795</v>
      </c>
      <c r="W255" s="20">
        <f>IFERROR(__xludf.DUMMYFUNCTION("iferror(PERCENTRANK.INC(FILTER($S$2:$S$429, $P$2:$P$429&lt;3.75), $S255), 1)"),0.523)</f>
        <v>0.523</v>
      </c>
      <c r="X255" s="20">
        <f>IFERROR(__xludf.DUMMYFUNCTION("iferror(PERCENTRANK.INC(FILTER($S$2:$S$429, $P$2:$P$429&lt;4.5), $S255), 1)"),0.355)</f>
        <v>0.355</v>
      </c>
      <c r="Y255" s="20">
        <f>IFERROR(__xludf.DUMMYFUNCTION("iferror(PERCENTRANK.INC(FILTER($S$2:$S$429, $P$2:$P$429&gt;=4.1), $S255), 0.01)"),0.01)</f>
        <v>0.01</v>
      </c>
    </row>
    <row r="256" ht="14.25" customHeight="1">
      <c r="A256" s="14" t="s">
        <v>1209</v>
      </c>
      <c r="B256" s="14" t="s">
        <v>202</v>
      </c>
      <c r="C256" s="14" t="s">
        <v>955</v>
      </c>
      <c r="D256" s="14" t="s">
        <v>955</v>
      </c>
      <c r="E256" s="14" t="s">
        <v>141</v>
      </c>
      <c r="F256" s="14">
        <v>29.0</v>
      </c>
      <c r="G256" s="14">
        <v>15.0</v>
      </c>
      <c r="H256" s="14">
        <v>205.0</v>
      </c>
      <c r="I256" s="14">
        <v>13.7</v>
      </c>
      <c r="J256" s="14">
        <v>3.0</v>
      </c>
      <c r="K256" s="20">
        <v>6.051625980133478</v>
      </c>
      <c r="L256" s="20">
        <v>43.891464223404526</v>
      </c>
      <c r="M256" s="15"/>
      <c r="N256" s="20">
        <v>6.051625980133478</v>
      </c>
      <c r="O256" s="14">
        <v>3.74</v>
      </c>
      <c r="R256" s="20">
        <f t="array" ref="R256">XLOOKUP(E256, 'Conference Match'!$A$2:$A$40,'Conference Match'!$C$2:$C$40)</f>
        <v>0.9</v>
      </c>
      <c r="S256" s="20">
        <f t="shared" si="1"/>
        <v>1.837292676</v>
      </c>
      <c r="T256" s="20">
        <f t="shared" si="2"/>
        <v>14.57193157</v>
      </c>
      <c r="U256" s="20">
        <f t="shared" si="3"/>
        <v>-29.31953265</v>
      </c>
      <c r="W256" s="20">
        <f>IFERROR(__xludf.DUMMYFUNCTION("iferror(PERCENTRANK.INC(FILTER($S$2:$S$429, $P$2:$P$429&lt;3.75), $S256), 1)"),0.409)</f>
        <v>0.409</v>
      </c>
      <c r="X256" s="20">
        <f>IFERROR(__xludf.DUMMYFUNCTION("iferror(PERCENTRANK.INC(FILTER($S$2:$S$429, $P$2:$P$429&lt;4.5), $S256), 1)"),0.277)</f>
        <v>0.277</v>
      </c>
      <c r="Y256" s="20">
        <f>IFERROR(__xludf.DUMMYFUNCTION("iferror(PERCENTRANK.INC(FILTER($S$2:$S$429, $P$2:$P$429&gt;=4.1), $S256), 0.01)"),0.01)</f>
        <v>0.01</v>
      </c>
    </row>
    <row r="257" ht="14.25" customHeight="1">
      <c r="A257" s="17" t="s">
        <v>1210</v>
      </c>
      <c r="B257" s="17" t="s">
        <v>145</v>
      </c>
      <c r="C257" s="16">
        <v>86.0</v>
      </c>
      <c r="D257" s="17" t="s">
        <v>955</v>
      </c>
      <c r="E257" s="17" t="s">
        <v>146</v>
      </c>
      <c r="F257" s="18">
        <v>52.0</v>
      </c>
      <c r="G257" s="18">
        <v>30.0</v>
      </c>
      <c r="H257" s="18">
        <v>421.0</v>
      </c>
      <c r="I257" s="18">
        <v>14.0</v>
      </c>
      <c r="J257" s="18">
        <v>3.0</v>
      </c>
      <c r="K257" s="18">
        <v>6.44</v>
      </c>
      <c r="L257" s="22">
        <v>47.46</v>
      </c>
      <c r="M257" s="15"/>
      <c r="N257" s="37">
        <v>6.44</v>
      </c>
      <c r="O257" s="16">
        <v>8.97</v>
      </c>
      <c r="P257" s="16">
        <v>4.13</v>
      </c>
      <c r="Q257" s="16">
        <v>0.0</v>
      </c>
      <c r="R257" s="20">
        <f t="array" ref="R257">XLOOKUP(E257, 'Conference Match'!$A$2:$A$40,'Conference Match'!$C$2:$C$40)</f>
        <v>0.9</v>
      </c>
      <c r="S257" s="20">
        <f t="shared" si="1"/>
        <v>5.0182</v>
      </c>
      <c r="T257" s="20">
        <f t="shared" si="2"/>
        <v>77.26344374</v>
      </c>
      <c r="U257" s="20">
        <f t="shared" si="3"/>
        <v>29.80344374</v>
      </c>
      <c r="W257" s="20">
        <f>IFERROR(__xludf.DUMMYFUNCTION("iferror(PERCENTRANK.INC(FILTER($S$2:$S$429, $P$2:$P$429&lt;3.75), $S257), 1)"),1.0)</f>
        <v>1</v>
      </c>
      <c r="X257" s="20">
        <f>IFERROR(__xludf.DUMMYFUNCTION("iferror(PERCENTRANK.INC(FILTER($S$2:$S$429, $P$2:$P$429&lt;4.5), $S257), 1)"),0.977)</f>
        <v>0.977</v>
      </c>
      <c r="Y257" s="20">
        <f>IFERROR(__xludf.DUMMYFUNCTION("iferror(PERCENTRANK.INC(FILTER($S$2:$S$429, $P$2:$P$429&gt;=4.1), $S257), 0.01)"),0.736)</f>
        <v>0.736</v>
      </c>
    </row>
    <row r="258" ht="14.25" customHeight="1">
      <c r="A258" s="14" t="s">
        <v>1211</v>
      </c>
      <c r="B258" s="14" t="s">
        <v>337</v>
      </c>
      <c r="C258" s="14" t="s">
        <v>955</v>
      </c>
      <c r="D258" s="14" t="s">
        <v>955</v>
      </c>
      <c r="E258" s="14" t="s">
        <v>141</v>
      </c>
      <c r="F258" s="14">
        <v>32.0</v>
      </c>
      <c r="G258" s="14">
        <v>22.0</v>
      </c>
      <c r="H258" s="14">
        <v>297.0</v>
      </c>
      <c r="I258" s="14">
        <v>13.5</v>
      </c>
      <c r="J258" s="14">
        <v>2.0</v>
      </c>
      <c r="K258" s="20">
        <v>6.098777646513268</v>
      </c>
      <c r="L258" s="20">
        <v>44.32033201074573</v>
      </c>
      <c r="M258" s="15"/>
      <c r="N258" s="20">
        <v>6.098777646513268</v>
      </c>
      <c r="O258" s="14">
        <v>1.94</v>
      </c>
      <c r="R258" s="20">
        <f t="array" ref="R258">XLOOKUP(E258, 'Conference Match'!$A$2:$A$40,'Conference Match'!$C$2:$C$40)</f>
        <v>0.9</v>
      </c>
      <c r="S258" s="20">
        <f t="shared" si="1"/>
        <v>1.485779976</v>
      </c>
      <c r="T258" s="20">
        <f t="shared" si="2"/>
        <v>7.644077197</v>
      </c>
      <c r="U258" s="20">
        <f t="shared" si="3"/>
        <v>-36.67625481</v>
      </c>
      <c r="W258" s="20">
        <f>IFERROR(__xludf.DUMMYFUNCTION("iferror(PERCENTRANK.INC(FILTER($S$2:$S$429, $P$2:$P$429&lt;3.75), $S258), 1)"),0.188)</f>
        <v>0.188</v>
      </c>
      <c r="X258" s="20">
        <f>IFERROR(__xludf.DUMMYFUNCTION("iferror(PERCENTRANK.INC(FILTER($S$2:$S$429, $P$2:$P$429&lt;4.5), $S258), 1)"),0.127)</f>
        <v>0.127</v>
      </c>
      <c r="Y258" s="20">
        <f>IFERROR(__xludf.DUMMYFUNCTION("iferror(PERCENTRANK.INC(FILTER($S$2:$S$429, $P$2:$P$429&gt;=4.1), $S258), 0.01)"),0.01)</f>
        <v>0.01</v>
      </c>
    </row>
    <row r="259" ht="14.25" customHeight="1">
      <c r="A259" s="14" t="s">
        <v>1212</v>
      </c>
      <c r="B259" s="14" t="s">
        <v>471</v>
      </c>
      <c r="C259" s="14" t="s">
        <v>955</v>
      </c>
      <c r="D259" s="14" t="s">
        <v>955</v>
      </c>
      <c r="E259" s="14" t="s">
        <v>209</v>
      </c>
      <c r="F259" s="14">
        <v>56.0</v>
      </c>
      <c r="G259" s="14">
        <v>39.0</v>
      </c>
      <c r="H259" s="14">
        <v>464.0</v>
      </c>
      <c r="I259" s="14">
        <v>11.9</v>
      </c>
      <c r="J259" s="14">
        <v>2.0</v>
      </c>
      <c r="K259" s="20">
        <v>5.7927465151706645</v>
      </c>
      <c r="L259" s="20">
        <v>41.536827116151336</v>
      </c>
      <c r="M259" s="15"/>
      <c r="N259" s="20">
        <v>5.7927465151706645</v>
      </c>
      <c r="O259" s="14">
        <v>2.75</v>
      </c>
      <c r="R259" s="20">
        <f t="array" ref="R259">XLOOKUP(E259, 'Conference Match'!$A$2:$A$40,'Conference Match'!$C$2:$C$40)</f>
        <v>0.9</v>
      </c>
      <c r="S259" s="20">
        <f t="shared" si="1"/>
        <v>1.592694373</v>
      </c>
      <c r="T259" s="20">
        <f t="shared" si="2"/>
        <v>9.751219751</v>
      </c>
      <c r="U259" s="20">
        <f t="shared" si="3"/>
        <v>-31.78560737</v>
      </c>
      <c r="W259" s="20">
        <f>IFERROR(__xludf.DUMMYFUNCTION("iferror(PERCENTRANK.INC(FILTER($S$2:$S$429, $P$2:$P$429&lt;3.75), $S259), 1)"),0.248)</f>
        <v>0.248</v>
      </c>
      <c r="X259" s="20">
        <f>IFERROR(__xludf.DUMMYFUNCTION("iferror(PERCENTRANK.INC(FILTER($S$2:$S$429, $P$2:$P$429&lt;4.5), $S259), 1)"),0.168)</f>
        <v>0.168</v>
      </c>
      <c r="Y259" s="20">
        <f>IFERROR(__xludf.DUMMYFUNCTION("iferror(PERCENTRANK.INC(FILTER($S$2:$S$429, $P$2:$P$429&gt;=4.1), $S259), 0.01)"),0.01)</f>
        <v>0.01</v>
      </c>
    </row>
    <row r="260" ht="14.25" customHeight="1">
      <c r="A260" s="17" t="s">
        <v>1213</v>
      </c>
      <c r="B260" s="17" t="s">
        <v>711</v>
      </c>
      <c r="C260" s="18">
        <v>3.0</v>
      </c>
      <c r="D260" s="17" t="s">
        <v>955</v>
      </c>
      <c r="E260" s="17" t="s">
        <v>152</v>
      </c>
      <c r="F260" s="18">
        <v>56.0</v>
      </c>
      <c r="G260" s="18">
        <v>32.0</v>
      </c>
      <c r="H260" s="18">
        <v>477.0</v>
      </c>
      <c r="I260" s="18">
        <v>14.9</v>
      </c>
      <c r="J260" s="18">
        <v>3.0</v>
      </c>
      <c r="K260" s="22">
        <v>6.73</v>
      </c>
      <c r="L260" s="22">
        <v>57.02</v>
      </c>
      <c r="M260" s="15"/>
      <c r="N260" s="37">
        <v>6.73</v>
      </c>
      <c r="O260" s="16">
        <v>3.06</v>
      </c>
      <c r="P260" s="16">
        <v>5.04</v>
      </c>
      <c r="Q260" s="16">
        <v>-2.5</v>
      </c>
      <c r="R260" s="20">
        <f t="array" ref="R260">XLOOKUP(E260, 'Conference Match'!$A$2:$A$40,'Conference Match'!$C$2:$C$40)</f>
        <v>0.95</v>
      </c>
      <c r="S260" s="20">
        <f t="shared" si="1"/>
        <v>4.1607</v>
      </c>
      <c r="T260" s="20">
        <f t="shared" si="2"/>
        <v>60.3632432</v>
      </c>
      <c r="U260" s="20">
        <f t="shared" si="3"/>
        <v>3.343243196</v>
      </c>
      <c r="W260" s="20">
        <f>IFERROR(__xludf.DUMMYFUNCTION("iferror(PERCENTRANK.INC(FILTER($S$2:$S$429, $P$2:$P$429&lt;3.75), $S260), 1)"),0.964)</f>
        <v>0.964</v>
      </c>
      <c r="X260" s="20">
        <f>IFERROR(__xludf.DUMMYFUNCTION("iferror(PERCENTRANK.INC(FILTER($S$2:$S$429, $P$2:$P$429&lt;4.5), $S260), 1)"),0.866)</f>
        <v>0.866</v>
      </c>
      <c r="Y260" s="20">
        <f>IFERROR(__xludf.DUMMYFUNCTION("iferror(PERCENTRANK.INC(FILTER($S$2:$S$429, $P$2:$P$429&gt;=4.1), $S260), 0.01)"),0.319)</f>
        <v>0.319</v>
      </c>
    </row>
    <row r="261" ht="14.25" customHeight="1">
      <c r="A261" s="26" t="s">
        <v>1214</v>
      </c>
      <c r="B261" s="26" t="s">
        <v>497</v>
      </c>
      <c r="C261" s="26">
        <v>11.0</v>
      </c>
      <c r="D261" s="26" t="s">
        <v>955</v>
      </c>
      <c r="E261" s="26" t="s">
        <v>179</v>
      </c>
      <c r="F261" s="26">
        <v>15.0</v>
      </c>
      <c r="G261" s="26">
        <v>11.0</v>
      </c>
      <c r="H261" s="26">
        <v>107.0</v>
      </c>
      <c r="I261" s="26">
        <v>9.7</v>
      </c>
      <c r="J261" s="26">
        <v>1.0</v>
      </c>
      <c r="K261" s="45">
        <v>4.49</v>
      </c>
      <c r="L261" s="45">
        <v>25.44</v>
      </c>
      <c r="M261" s="15"/>
      <c r="N261" s="37">
        <v>4.49</v>
      </c>
      <c r="O261" s="37">
        <v>2.05</v>
      </c>
      <c r="P261" s="16">
        <v>5.2</v>
      </c>
      <c r="Q261" s="37">
        <v>-1.5</v>
      </c>
      <c r="R261" s="20">
        <f t="array" ref="R261">XLOOKUP(E261, 'Conference Match'!$A$2:$A$40,'Conference Match'!$C$2:$C$40)</f>
        <v>1</v>
      </c>
      <c r="S261" s="20">
        <f t="shared" si="1"/>
        <v>3.758</v>
      </c>
      <c r="T261" s="20">
        <f t="shared" si="2"/>
        <v>52.42655426</v>
      </c>
      <c r="U261" s="20">
        <f t="shared" si="3"/>
        <v>26.98655426</v>
      </c>
      <c r="W261" s="20">
        <f>IFERROR(__xludf.DUMMYFUNCTION("iferror(PERCENTRANK.INC(FILTER($S$2:$S$429, $P$2:$P$429&lt;3.75), $S261), 1)"),0.881)</f>
        <v>0.881</v>
      </c>
      <c r="X261" s="20">
        <f>IFERROR(__xludf.DUMMYFUNCTION("iferror(PERCENTRANK.INC(FILTER($S$2:$S$429, $P$2:$P$429&lt;4.5), $S261), 1)"),0.715)</f>
        <v>0.715</v>
      </c>
      <c r="Y261" s="20">
        <f>IFERROR(__xludf.DUMMYFUNCTION("iferror(PERCENTRANK.INC(FILTER($S$2:$S$429, $P$2:$P$429&gt;=4.1), $S261), 0.01)"),0.153)</f>
        <v>0.153</v>
      </c>
    </row>
    <row r="262" ht="14.25" customHeight="1">
      <c r="A262" s="14" t="s">
        <v>1215</v>
      </c>
      <c r="B262" s="14" t="s">
        <v>682</v>
      </c>
      <c r="C262" s="14" t="s">
        <v>955</v>
      </c>
      <c r="E262" s="14" t="s">
        <v>111</v>
      </c>
      <c r="F262" s="14">
        <v>35.0</v>
      </c>
      <c r="G262" s="14">
        <v>24.0</v>
      </c>
      <c r="H262" s="14">
        <v>230.0</v>
      </c>
      <c r="I262" s="14">
        <v>9.6</v>
      </c>
      <c r="J262" s="14">
        <v>1.0</v>
      </c>
      <c r="K262" s="20">
        <v>4.682803057031068</v>
      </c>
      <c r="L262" s="20">
        <v>31.441340964463524</v>
      </c>
      <c r="M262" s="15"/>
      <c r="N262" s="20">
        <v>4.68</v>
      </c>
      <c r="O262" s="20">
        <v>4.682803057031068</v>
      </c>
      <c r="P262" s="14">
        <v>0.61</v>
      </c>
      <c r="Q262" s="20">
        <v>4.04</v>
      </c>
      <c r="R262" s="20">
        <f t="array" ref="R262">XLOOKUP(E262, 'Conference Match'!$A$2:$A$40,'Conference Match'!$C$2:$C$40)</f>
        <v>0.9</v>
      </c>
      <c r="S262" s="20">
        <f t="shared" si="1"/>
        <v>2.487960611</v>
      </c>
      <c r="T262" s="20">
        <f t="shared" si="2"/>
        <v>27.39574334</v>
      </c>
      <c r="U262" s="20">
        <f t="shared" si="3"/>
        <v>-4.045597627</v>
      </c>
      <c r="W262" s="20">
        <f>IFERROR(__xludf.DUMMYFUNCTION("iferror(PERCENTRANK.INC(FILTER($S$2:$S$429, $P$2:$P$429&lt;3.75), $S262), 1)"),0.537)</f>
        <v>0.537</v>
      </c>
      <c r="X262" s="20">
        <f>IFERROR(__xludf.DUMMYFUNCTION("iferror(PERCENTRANK.INC(FILTER($S$2:$S$429, $P$2:$P$429&lt;4.5), $S262), 1)"),0.364)</f>
        <v>0.364</v>
      </c>
      <c r="Y262" s="20">
        <f>IFERROR(__xludf.DUMMYFUNCTION("iferror(PERCENTRANK.INC(FILTER($S$2:$S$429, $P$2:$P$429&gt;=4.1), $S262), 0.01)"),0.01)</f>
        <v>0.01</v>
      </c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</sheetData>
  <autoFilter ref="$A$1:$Z$262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1216</v>
      </c>
      <c r="Q1" s="20" t="s">
        <v>86</v>
      </c>
      <c r="R1" s="14" t="s">
        <v>88</v>
      </c>
      <c r="S1" s="14" t="s">
        <v>89</v>
      </c>
      <c r="T1" s="14" t="s">
        <v>951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1217</v>
      </c>
      <c r="B2" s="14" t="s">
        <v>386</v>
      </c>
      <c r="C2" s="14">
        <v>80.0</v>
      </c>
      <c r="D2" s="14" t="s">
        <v>1218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1217</v>
      </c>
      <c r="O2" s="14" t="s">
        <v>1219</v>
      </c>
      <c r="P2" s="14" t="s">
        <v>1220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7" si="1">IFERROR((S2*0.7+R2*0.15+U2*Q2*0.15),0)</f>
        <v>5.024731073</v>
      </c>
      <c r="W2" s="20">
        <f t="shared" ref="W2:W37" si="2">100*(V2-MIN($V$2:$V$568))/(MAX($V$2:$V$568) - MIN($V$2:$V$568))</f>
        <v>100</v>
      </c>
      <c r="X2" s="20">
        <f t="shared" ref="X2:X37" si="3">W2-L2</f>
        <v>30.43371568</v>
      </c>
      <c r="Z2" s="20">
        <f>IFERROR(__xludf.DUMMYFUNCTION("iferror(PERCENTRANK.INC(FILTER($V$2:$V$425, $S$2:$S$425&lt;3.75), $V2), 1)"),1.0)</f>
        <v>1</v>
      </c>
      <c r="AA2" s="20">
        <f>IFERROR(__xludf.DUMMYFUNCTION("iferror(PERCENTRANK.INC(FILTER($V$2:$V$425, $S$2:$S$425&lt;4.5), $V2), 1)"),1.0)</f>
        <v>1</v>
      </c>
      <c r="AB2" s="20">
        <f>IFERROR(__xludf.DUMMYFUNCTION("iferror(PERCENTRANK.INC(FILTER($V$2:$V$425, $S$2:$S$425&gt;=4.1), $V2), 0.01)"),1.0)</f>
        <v>1</v>
      </c>
    </row>
    <row r="3" ht="14.25" customHeight="1">
      <c r="A3" s="14" t="s">
        <v>1221</v>
      </c>
      <c r="B3" s="14" t="s">
        <v>243</v>
      </c>
      <c r="C3" s="14">
        <v>8.0</v>
      </c>
      <c r="D3" s="14" t="s">
        <v>1218</v>
      </c>
      <c r="E3" s="14" t="s">
        <v>152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1221</v>
      </c>
      <c r="O3" s="14" t="s">
        <v>1222</v>
      </c>
      <c r="P3" s="14" t="s">
        <v>1220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IFERROR(__xludf.DUMMYFUNCTION("iferror(PERCENTRANK.INC(FILTER($V$2:$V$425, $S$2:$S$425&lt;3.75), $V3), 1)"),1.0)</f>
        <v>1</v>
      </c>
      <c r="AA3" s="20">
        <f>IFERROR(__xludf.DUMMYFUNCTION("iferror(PERCENTRANK.INC(FILTER($V$2:$V$425, $S$2:$S$425&lt;4.5), $V3), 1)"),1.0)</f>
        <v>1</v>
      </c>
      <c r="AB3" s="20">
        <f>IFERROR(__xludf.DUMMYFUNCTION("iferror(PERCENTRANK.INC(FILTER($V$2:$V$425, $S$2:$S$425&gt;=4.1), $V3), 0.01)"),0.857)</f>
        <v>0.857</v>
      </c>
    </row>
    <row r="4" ht="14.25" customHeight="1">
      <c r="A4" s="14" t="s">
        <v>1223</v>
      </c>
      <c r="B4" s="14" t="s">
        <v>655</v>
      </c>
      <c r="C4" s="16">
        <v>85.0</v>
      </c>
      <c r="D4" s="14" t="s">
        <v>1218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1223</v>
      </c>
      <c r="O4" s="14" t="s">
        <v>1224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IFERROR(__xludf.DUMMYFUNCTION("iferror(PERCENTRANK.INC(FILTER($V$2:$V$425, $S$2:$S$425&lt;3.75), $V4), 1)"),1.0)</f>
        <v>1</v>
      </c>
      <c r="AA4" s="20">
        <f>IFERROR(__xludf.DUMMYFUNCTION("iferror(PERCENTRANK.INC(FILTER($V$2:$V$425, $S$2:$S$425&lt;4.5), $V4), 1)"),0.97)</f>
        <v>0.97</v>
      </c>
      <c r="AB4" s="20">
        <f>IFERROR(__xludf.DUMMYFUNCTION("iferror(PERCENTRANK.INC(FILTER($V$2:$V$425, $S$2:$S$425&gt;=4.1), $V4), 0.01)"),0.714)</f>
        <v>0.714</v>
      </c>
    </row>
    <row r="5" ht="14.25" customHeight="1">
      <c r="A5" s="14" t="s">
        <v>1225</v>
      </c>
      <c r="B5" s="14" t="s">
        <v>579</v>
      </c>
      <c r="C5" s="14">
        <v>88.0</v>
      </c>
      <c r="D5" s="14" t="s">
        <v>1218</v>
      </c>
      <c r="E5" s="14" t="s">
        <v>152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1225</v>
      </c>
      <c r="O5" s="14" t="s">
        <v>1226</v>
      </c>
      <c r="P5" s="14" t="s">
        <v>1220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IFERROR(__xludf.DUMMYFUNCTION("iferror(PERCENTRANK.INC(FILTER($V$2:$V$425, $S$2:$S$425&lt;3.75), $V5), 1)"),1.0)</f>
        <v>1</v>
      </c>
      <c r="AA5" s="20">
        <f>IFERROR(__xludf.DUMMYFUNCTION("iferror(PERCENTRANK.INC(FILTER($V$2:$V$425, $S$2:$S$425&lt;4.5), $V5), 1)"),0.939)</f>
        <v>0.939</v>
      </c>
      <c r="AB5" s="20">
        <f>IFERROR(__xludf.DUMMYFUNCTION("iferror(PERCENTRANK.INC(FILTER($V$2:$V$425, $S$2:$S$425&gt;=4.1), $V5), 0.01)"),0.649)</f>
        <v>0.649</v>
      </c>
    </row>
    <row r="6" ht="14.25" customHeight="1">
      <c r="A6" s="17" t="s">
        <v>1227</v>
      </c>
      <c r="B6" s="17" t="s">
        <v>173</v>
      </c>
      <c r="D6" s="17" t="s">
        <v>1218</v>
      </c>
      <c r="E6" s="17" t="s">
        <v>135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1227</v>
      </c>
      <c r="O6" s="16" t="s">
        <v>1228</v>
      </c>
      <c r="P6" s="16" t="s">
        <v>135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IFERROR(__xludf.DUMMYFUNCTION("iferror(PERCENTRANK.INC(FILTER($V$2:$V$425, $S$2:$S$425&lt;3.75), $V6), 1)"),1.0)</f>
        <v>1</v>
      </c>
      <c r="AA6" s="20">
        <f>IFERROR(__xludf.DUMMYFUNCTION("iferror(PERCENTRANK.INC(FILTER($V$2:$V$425, $S$2:$S$425&lt;4.5), $V6), 1)"),0.909)</f>
        <v>0.909</v>
      </c>
      <c r="AB6" s="20">
        <f>IFERROR(__xludf.DUMMYFUNCTION("iferror(PERCENTRANK.INC(FILTER($V$2:$V$425, $S$2:$S$425&gt;=4.1), $V6), 0.01)"),0.571)</f>
        <v>0.571</v>
      </c>
    </row>
    <row r="7" ht="14.25" customHeight="1">
      <c r="A7" s="14" t="s">
        <v>1229</v>
      </c>
      <c r="B7" s="14" t="s">
        <v>285</v>
      </c>
      <c r="C7" s="16">
        <v>15.0</v>
      </c>
      <c r="D7" s="14" t="s">
        <v>1218</v>
      </c>
      <c r="E7" s="14" t="s">
        <v>108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1229</v>
      </c>
      <c r="O7" s="14" t="s">
        <v>1230</v>
      </c>
      <c r="P7" s="14" t="s">
        <v>108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IFERROR(__xludf.DUMMYFUNCTION("iferror(PERCENTRANK.INC(FILTER($V$2:$V$425, $S$2:$S$425&lt;3.75), $V7), 1)"),1.0)</f>
        <v>1</v>
      </c>
      <c r="AA7" s="20">
        <f>IFERROR(__xludf.DUMMYFUNCTION("iferror(PERCENTRANK.INC(FILTER($V$2:$V$425, $S$2:$S$425&lt;4.5), $V7), 1)"),0.879)</f>
        <v>0.879</v>
      </c>
      <c r="AB7" s="20">
        <f>IFERROR(__xludf.DUMMYFUNCTION("iferror(PERCENTRANK.INC(FILTER($V$2:$V$425, $S$2:$S$425&gt;=4.1), $V7), 0.01)"),0.429)</f>
        <v>0.429</v>
      </c>
    </row>
    <row r="8" ht="14.25" customHeight="1">
      <c r="A8" s="17" t="s">
        <v>1231</v>
      </c>
      <c r="B8" s="17" t="s">
        <v>724</v>
      </c>
      <c r="C8" s="18">
        <v>85.0</v>
      </c>
      <c r="D8" s="17" t="s">
        <v>1218</v>
      </c>
      <c r="E8" s="17" t="s">
        <v>125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1231</v>
      </c>
      <c r="O8" s="17" t="s">
        <v>1232</v>
      </c>
      <c r="P8" s="17" t="s">
        <v>1233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IFERROR(__xludf.DUMMYFUNCTION("iferror(PERCENTRANK.INC(FILTER($V$2:$V$425, $S$2:$S$425&lt;3.75), $V8), 1)"),1.0)</f>
        <v>1</v>
      </c>
      <c r="AA8" s="20">
        <f>IFERROR(__xludf.DUMMYFUNCTION("iferror(PERCENTRANK.INC(FILTER($V$2:$V$425, $S$2:$S$425&lt;4.5), $V8), 1)"),0.856)</f>
        <v>0.856</v>
      </c>
      <c r="AB8" s="20">
        <f>IFERROR(__xludf.DUMMYFUNCTION("iferror(PERCENTRANK.INC(FILTER($V$2:$V$425, $S$2:$S$425&gt;=4.1), $V8), 0.01)"),0.286)</f>
        <v>0.286</v>
      </c>
    </row>
    <row r="9" ht="14.25" customHeight="1">
      <c r="A9" s="14" t="s">
        <v>1234</v>
      </c>
      <c r="B9" s="14" t="s">
        <v>505</v>
      </c>
      <c r="C9" s="16">
        <v>86.0</v>
      </c>
      <c r="D9" s="14" t="s">
        <v>1218</v>
      </c>
      <c r="E9" s="14" t="s">
        <v>188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1234</v>
      </c>
      <c r="O9" s="14" t="s">
        <v>1235</v>
      </c>
      <c r="P9" s="14" t="s">
        <v>188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IFERROR(__xludf.DUMMYFUNCTION("iferror(PERCENTRANK.INC(FILTER($V$2:$V$425, $S$2:$S$425&lt;3.75), $V9), 1)"),1.0)</f>
        <v>1</v>
      </c>
      <c r="AA9" s="20">
        <f>IFERROR(__xludf.DUMMYFUNCTION("iferror(PERCENTRANK.INC(FILTER($V$2:$V$425, $S$2:$S$425&lt;4.5), $V9), 1)"),0.848)</f>
        <v>0.848</v>
      </c>
      <c r="AB9" s="20">
        <f>IFERROR(__xludf.DUMMYFUNCTION("iferror(PERCENTRANK.INC(FILTER($V$2:$V$425, $S$2:$S$425&gt;=4.1), $V9), 0.01)"),0.152)</f>
        <v>0.152</v>
      </c>
    </row>
    <row r="10" ht="14.25" customHeight="1">
      <c r="A10" s="14" t="s">
        <v>1236</v>
      </c>
      <c r="B10" s="14" t="s">
        <v>375</v>
      </c>
      <c r="D10" s="14" t="s">
        <v>1218</v>
      </c>
      <c r="E10" s="14" t="s">
        <v>105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1236</v>
      </c>
      <c r="O10" s="14" t="s">
        <v>1237</v>
      </c>
      <c r="P10" s="14" t="s">
        <v>1238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IFERROR(__xludf.DUMMYFUNCTION("iferror(PERCENTRANK.INC(FILTER($V$2:$V$425, $S$2:$S$425&lt;3.75), $V10), 1)"),1.0)</f>
        <v>1</v>
      </c>
      <c r="AA10" s="20">
        <f>IFERROR(__xludf.DUMMYFUNCTION("iferror(PERCENTRANK.INC(FILTER($V$2:$V$425, $S$2:$S$425&lt;4.5), $V10), 1)"),0.818)</f>
        <v>0.818</v>
      </c>
      <c r="AB10" s="20">
        <f>IFERROR(__xludf.DUMMYFUNCTION("iferror(PERCENTRANK.INC(FILTER($V$2:$V$425, $S$2:$S$425&gt;=4.1), $V10), 0.01)"),0.143)</f>
        <v>0.143</v>
      </c>
    </row>
    <row r="11" ht="14.25" customHeight="1">
      <c r="A11" s="14" t="s">
        <v>1239</v>
      </c>
      <c r="B11" s="14" t="s">
        <v>455</v>
      </c>
      <c r="D11" s="14" t="s">
        <v>1218</v>
      </c>
      <c r="E11" s="14" t="s">
        <v>100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1239</v>
      </c>
      <c r="O11" s="14" t="s">
        <v>1240</v>
      </c>
      <c r="P11" s="14" t="s">
        <v>100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IFERROR(__xludf.DUMMYFUNCTION("iferror(PERCENTRANK.INC(FILTER($V$2:$V$425, $S$2:$S$425&lt;3.75), $V11), 1)"),1.0)</f>
        <v>1</v>
      </c>
      <c r="AA11" s="20">
        <f>IFERROR(__xludf.DUMMYFUNCTION("iferror(PERCENTRANK.INC(FILTER($V$2:$V$425, $S$2:$S$425&lt;4.5), $V11), 1)"),0.788)</f>
        <v>0.788</v>
      </c>
      <c r="AB11" s="20">
        <f>IFERROR(__xludf.DUMMYFUNCTION("iferror(PERCENTRANK.INC(FILTER($V$2:$V$425, $S$2:$S$425&gt;=4.1), $V11), 0.01)"),0.011)</f>
        <v>0.011</v>
      </c>
    </row>
    <row r="12" ht="14.25" customHeight="1">
      <c r="A12" s="14" t="s">
        <v>1241</v>
      </c>
      <c r="B12" s="14" t="s">
        <v>515</v>
      </c>
      <c r="C12" s="16">
        <v>81.0</v>
      </c>
      <c r="D12" s="14" t="s">
        <v>1218</v>
      </c>
      <c r="E12" s="14" t="s">
        <v>120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1241</v>
      </c>
      <c r="O12" s="14" t="s">
        <v>1242</v>
      </c>
      <c r="P12" s="14" t="s">
        <v>1243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IFERROR(__xludf.DUMMYFUNCTION("iferror(PERCENTRANK.INC(FILTER($V$2:$V$425, $S$2:$S$425&lt;3.75), $V12), 1)"),1.0)</f>
        <v>1</v>
      </c>
      <c r="AA12" s="20">
        <f>IFERROR(__xludf.DUMMYFUNCTION("iferror(PERCENTRANK.INC(FILTER($V$2:$V$425, $S$2:$S$425&lt;4.5), $V12), 1)"),0.636)</f>
        <v>0.636</v>
      </c>
      <c r="AB12" s="20">
        <f>IFERROR(__xludf.DUMMYFUNCTION("iferror(PERCENTRANK.INC(FILTER($V$2:$V$425, $S$2:$S$425&gt;=4.1), $V12), 0.01)"),0.01)</f>
        <v>0.01</v>
      </c>
    </row>
    <row r="13" ht="14.25" customHeight="1">
      <c r="A13" s="14" t="s">
        <v>1244</v>
      </c>
      <c r="B13" s="14" t="s">
        <v>134</v>
      </c>
      <c r="D13" s="14" t="s">
        <v>1218</v>
      </c>
      <c r="E13" s="14" t="s">
        <v>135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1244</v>
      </c>
      <c r="O13" s="14" t="s">
        <v>1245</v>
      </c>
      <c r="P13" s="14" t="s">
        <v>135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IFERROR(__xludf.DUMMYFUNCTION("iferror(PERCENTRANK.INC(FILTER($V$2:$V$425, $S$2:$S$425&lt;3.75), $V13), 1)"),1.0)</f>
        <v>1</v>
      </c>
      <c r="AA13" s="20">
        <f>IFERROR(__xludf.DUMMYFUNCTION("iferror(PERCENTRANK.INC(FILTER($V$2:$V$425, $S$2:$S$425&lt;4.5), $V13), 1)"),0.727)</f>
        <v>0.727</v>
      </c>
      <c r="AB13" s="20">
        <f>IFERROR(__xludf.DUMMYFUNCTION("iferror(PERCENTRANK.INC(FILTER($V$2:$V$425, $S$2:$S$425&gt;=4.1), $V13), 0.01)"),0.01)</f>
        <v>0.01</v>
      </c>
    </row>
    <row r="14" ht="14.25" customHeight="1">
      <c r="A14" s="14" t="s">
        <v>1246</v>
      </c>
      <c r="B14" s="14" t="s">
        <v>291</v>
      </c>
      <c r="C14" s="14">
        <v>81.0</v>
      </c>
      <c r="D14" s="14" t="s">
        <v>1218</v>
      </c>
      <c r="E14" s="14" t="s">
        <v>108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1246</v>
      </c>
      <c r="O14" s="14" t="s">
        <v>1247</v>
      </c>
      <c r="P14" s="14" t="s">
        <v>108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IFERROR(__xludf.DUMMYFUNCTION("iferror(PERCENTRANK.INC(FILTER($V$2:$V$425, $S$2:$S$425&lt;3.75), $V14), 1)"),0.999)</f>
        <v>0.999</v>
      </c>
      <c r="AA14" s="20">
        <f>IFERROR(__xludf.DUMMYFUNCTION("iferror(PERCENTRANK.INC(FILTER($V$2:$V$425, $S$2:$S$425&lt;4.5), $V14), 1)"),0.515)</f>
        <v>0.515</v>
      </c>
      <c r="AB14" s="20">
        <f>IFERROR(__xludf.DUMMYFUNCTION("iferror(PERCENTRANK.INC(FILTER($V$2:$V$425, $S$2:$S$425&gt;=4.1), $V14), 0.01)"),0.01)</f>
        <v>0.01</v>
      </c>
    </row>
    <row r="15" ht="14.25" customHeight="1">
      <c r="A15" s="14" t="s">
        <v>1248</v>
      </c>
      <c r="B15" s="14" t="s">
        <v>473</v>
      </c>
      <c r="C15" s="16">
        <v>7.0</v>
      </c>
      <c r="D15" s="14" t="s">
        <v>1218</v>
      </c>
      <c r="E15" s="14" t="s">
        <v>100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1248</v>
      </c>
      <c r="O15" s="14" t="s">
        <v>1249</v>
      </c>
      <c r="P15" s="14" t="s">
        <v>100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IFERROR(__xludf.DUMMYFUNCTION("iferror(PERCENTRANK.INC(FILTER($V$2:$V$425, $S$2:$S$425&lt;3.75), $V15), 1)"),1.0)</f>
        <v>1</v>
      </c>
      <c r="AA15" s="20">
        <f>IFERROR(__xludf.DUMMYFUNCTION("iferror(PERCENTRANK.INC(FILTER($V$2:$V$425, $S$2:$S$425&lt;4.5), $V15), 1)"),0.667)</f>
        <v>0.667</v>
      </c>
      <c r="AB15" s="20">
        <f>IFERROR(__xludf.DUMMYFUNCTION("iferror(PERCENTRANK.INC(FILTER($V$2:$V$425, $S$2:$S$425&gt;=4.1), $V15), 0.01)"),0.01)</f>
        <v>0.01</v>
      </c>
    </row>
    <row r="16" ht="14.25" customHeight="1">
      <c r="A16" s="14" t="s">
        <v>1250</v>
      </c>
      <c r="B16" s="14" t="s">
        <v>98</v>
      </c>
      <c r="C16" s="16">
        <v>5.0</v>
      </c>
      <c r="D16" s="14" t="s">
        <v>1218</v>
      </c>
      <c r="E16" s="14" t="s">
        <v>100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1250</v>
      </c>
      <c r="O16" s="14" t="s">
        <v>1251</v>
      </c>
      <c r="P16" s="14" t="s">
        <v>100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IFERROR(__xludf.DUMMYFUNCTION("iferror(PERCENTRANK.INC(FILTER($V$2:$V$425, $S$2:$S$425&lt;3.75), $V16), 1)"),1.0)</f>
        <v>1</v>
      </c>
      <c r="AA16" s="20">
        <f>IFERROR(__xludf.DUMMYFUNCTION("iferror(PERCENTRANK.INC(FILTER($V$2:$V$425, $S$2:$S$425&lt;4.5), $V16), 1)"),0.576)</f>
        <v>0.576</v>
      </c>
      <c r="AB16" s="20">
        <f>IFERROR(__xludf.DUMMYFUNCTION("iferror(PERCENTRANK.INC(FILTER($V$2:$V$425, $S$2:$S$425&gt;=4.1), $V16), 0.01)"),0.01)</f>
        <v>0.01</v>
      </c>
    </row>
    <row r="17" ht="14.25" customHeight="1">
      <c r="A17" s="14" t="s">
        <v>1252</v>
      </c>
      <c r="B17" s="14" t="s">
        <v>1133</v>
      </c>
      <c r="D17" s="14" t="s">
        <v>1218</v>
      </c>
      <c r="E17" s="14" t="s">
        <v>209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1252</v>
      </c>
      <c r="O17" s="14" t="s">
        <v>1253</v>
      </c>
      <c r="P17" s="14" t="s">
        <v>209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IFERROR(__xludf.DUMMYFUNCTION("iferror(PERCENTRANK.INC(FILTER($V$2:$V$425, $S$2:$S$425&lt;3.75), $V17), 1)"),1.0)</f>
        <v>1</v>
      </c>
      <c r="AA17" s="20">
        <f>IFERROR(__xludf.DUMMYFUNCTION("iferror(PERCENTRANK.INC(FILTER($V$2:$V$425, $S$2:$S$425&lt;4.5), $V17), 1)"),0.606)</f>
        <v>0.606</v>
      </c>
      <c r="AB17" s="20">
        <f>IFERROR(__xludf.DUMMYFUNCTION("iferror(PERCENTRANK.INC(FILTER($V$2:$V$425, $S$2:$S$425&gt;=4.1), $V17), 0.01)"),0.01)</f>
        <v>0.01</v>
      </c>
    </row>
    <row r="18" ht="14.25" customHeight="1">
      <c r="A18" s="14" t="s">
        <v>1254</v>
      </c>
      <c r="B18" s="14" t="s">
        <v>247</v>
      </c>
      <c r="D18" s="14" t="s">
        <v>1218</v>
      </c>
      <c r="E18" s="14" t="s">
        <v>188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1254</v>
      </c>
      <c r="O18" s="14" t="s">
        <v>1255</v>
      </c>
      <c r="P18" s="14" t="s">
        <v>188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IFERROR(__xludf.DUMMYFUNCTION("iferror(PERCENTRANK.INC(FILTER($V$2:$V$425, $S$2:$S$425&lt;3.75), $V18), 1)"),1.0)</f>
        <v>1</v>
      </c>
      <c r="AA18" s="20">
        <f>IFERROR(__xludf.DUMMYFUNCTION("iferror(PERCENTRANK.INC(FILTER($V$2:$V$425, $S$2:$S$425&lt;4.5), $V18), 1)"),0.545)</f>
        <v>0.545</v>
      </c>
      <c r="AB18" s="20">
        <f>IFERROR(__xludf.DUMMYFUNCTION("iferror(PERCENTRANK.INC(FILTER($V$2:$V$425, $S$2:$S$425&gt;=4.1), $V18), 0.01)"),0.01)</f>
        <v>0.01</v>
      </c>
    </row>
    <row r="19" ht="14.25" customHeight="1">
      <c r="A19" s="14" t="s">
        <v>1256</v>
      </c>
      <c r="B19" s="14" t="s">
        <v>479</v>
      </c>
      <c r="D19" s="14" t="s">
        <v>1218</v>
      </c>
      <c r="E19" s="14" t="s">
        <v>176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1256</v>
      </c>
      <c r="O19" s="14" t="s">
        <v>1257</v>
      </c>
      <c r="P19" s="14" t="s">
        <v>176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IFERROR(__xludf.DUMMYFUNCTION("iferror(PERCENTRANK.INC(FILTER($V$2:$V$425, $S$2:$S$425&lt;3.75), $V19), 1)"),0.929)</f>
        <v>0.929</v>
      </c>
      <c r="AA19" s="20">
        <f>IFERROR(__xludf.DUMMYFUNCTION("iferror(PERCENTRANK.INC(FILTER($V$2:$V$425, $S$2:$S$425&lt;4.5), $V19), 1)"),0.424)</f>
        <v>0.424</v>
      </c>
      <c r="AB19" s="20">
        <f>IFERROR(__xludf.DUMMYFUNCTION("iferror(PERCENTRANK.INC(FILTER($V$2:$V$425, $S$2:$S$425&gt;=4.1), $V19), 0.01)"),0.01)</f>
        <v>0.01</v>
      </c>
    </row>
    <row r="20" ht="14.25" customHeight="1">
      <c r="A20" s="14" t="s">
        <v>1258</v>
      </c>
      <c r="B20" s="14" t="s">
        <v>261</v>
      </c>
      <c r="D20" s="14" t="s">
        <v>1218</v>
      </c>
      <c r="E20" s="14" t="s">
        <v>176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1258</v>
      </c>
      <c r="O20" s="14" t="s">
        <v>1259</v>
      </c>
      <c r="P20" s="14" t="s">
        <v>176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IFERROR(__xludf.DUMMYFUNCTION("iferror(PERCENTRANK.INC(FILTER($V$2:$V$425, $S$2:$S$425&lt;3.75), $V20), 1)"),0.857)</f>
        <v>0.857</v>
      </c>
      <c r="AA20" s="20">
        <f>IFERROR(__xludf.DUMMYFUNCTION("iferror(PERCENTRANK.INC(FILTER($V$2:$V$425, $S$2:$S$425&lt;4.5), $V20), 1)"),0.394)</f>
        <v>0.394</v>
      </c>
      <c r="AB20" s="20">
        <f>IFERROR(__xludf.DUMMYFUNCTION("iferror(PERCENTRANK.INC(FILTER($V$2:$V$425, $S$2:$S$425&gt;=4.1), $V20), 0.01)"),0.01)</f>
        <v>0.01</v>
      </c>
    </row>
    <row r="21" ht="14.25" customHeight="1">
      <c r="A21" s="14" t="s">
        <v>1260</v>
      </c>
      <c r="B21" s="14" t="s">
        <v>309</v>
      </c>
      <c r="D21" s="14" t="s">
        <v>1218</v>
      </c>
      <c r="E21" s="14" t="s">
        <v>176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1260</v>
      </c>
      <c r="O21" s="14" t="s">
        <v>1261</v>
      </c>
      <c r="P21" s="14" t="s">
        <v>176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IFERROR(__xludf.DUMMYFUNCTION("iferror(PERCENTRANK.INC(FILTER($V$2:$V$425, $S$2:$S$425&lt;3.75), $V21), 1)"),0.786)</f>
        <v>0.786</v>
      </c>
      <c r="AA21" s="20">
        <f>IFERROR(__xludf.DUMMYFUNCTION("iferror(PERCENTRANK.INC(FILTER($V$2:$V$425, $S$2:$S$425&lt;4.5), $V21), 1)"),0.364)</f>
        <v>0.364</v>
      </c>
      <c r="AB21" s="20">
        <f>IFERROR(__xludf.DUMMYFUNCTION("iferror(PERCENTRANK.INC(FILTER($V$2:$V$425, $S$2:$S$425&gt;=4.1), $V21), 0.01)"),0.01)</f>
        <v>0.01</v>
      </c>
    </row>
    <row r="22" ht="14.25" customHeight="1">
      <c r="A22" s="14" t="s">
        <v>1262</v>
      </c>
      <c r="B22" s="14" t="s">
        <v>489</v>
      </c>
      <c r="D22" s="14" t="s">
        <v>1218</v>
      </c>
      <c r="E22" s="14" t="s">
        <v>100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1262</v>
      </c>
      <c r="O22" s="14" t="s">
        <v>1263</v>
      </c>
      <c r="P22" s="14" t="s">
        <v>100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IFERROR(__xludf.DUMMYFUNCTION("iferror(PERCENTRANK.INC(FILTER($V$2:$V$425, $S$2:$S$425&lt;3.75), $V22), 1)"),0.714)</f>
        <v>0.714</v>
      </c>
      <c r="AA22" s="20">
        <f>IFERROR(__xludf.DUMMYFUNCTION("iferror(PERCENTRANK.INC(FILTER($V$2:$V$425, $S$2:$S$425&lt;4.5), $V22), 1)"),0.333)</f>
        <v>0.333</v>
      </c>
      <c r="AB22" s="20">
        <f>IFERROR(__xludf.DUMMYFUNCTION("iferror(PERCENTRANK.INC(FILTER($V$2:$V$425, $S$2:$S$425&gt;=4.1), $V22), 0.01)"),0.01)</f>
        <v>0.01</v>
      </c>
    </row>
    <row r="23" ht="14.25" customHeight="1">
      <c r="A23" s="14" t="s">
        <v>1264</v>
      </c>
      <c r="B23" s="14" t="s">
        <v>572</v>
      </c>
      <c r="C23" s="14">
        <v>2.0</v>
      </c>
      <c r="D23" s="14" t="s">
        <v>1218</v>
      </c>
      <c r="E23" s="14" t="s">
        <v>120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1264</v>
      </c>
      <c r="O23" s="14" t="s">
        <v>1265</v>
      </c>
      <c r="P23" s="14" t="s">
        <v>1243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IFERROR(__xludf.DUMMYFUNCTION("iferror(PERCENTRANK.INC(FILTER($V$2:$V$425, $S$2:$S$425&lt;3.75), $V23), 1)"),0.643)</f>
        <v>0.643</v>
      </c>
      <c r="AA23" s="20">
        <f>IFERROR(__xludf.DUMMYFUNCTION("iferror(PERCENTRANK.INC(FILTER($V$2:$V$425, $S$2:$S$425&lt;4.5), $V23), 1)"),0.303)</f>
        <v>0.303</v>
      </c>
      <c r="AB23" s="20">
        <f>IFERROR(__xludf.DUMMYFUNCTION("iferror(PERCENTRANK.INC(FILTER($V$2:$V$425, $S$2:$S$425&gt;=4.1), $V23), 0.01)"),0.01)</f>
        <v>0.01</v>
      </c>
    </row>
    <row r="24" ht="14.25" customHeight="1">
      <c r="A24" s="14" t="s">
        <v>1266</v>
      </c>
      <c r="B24" s="14" t="s">
        <v>531</v>
      </c>
      <c r="C24" s="14">
        <v>84.0</v>
      </c>
      <c r="D24" s="14" t="s">
        <v>1218</v>
      </c>
      <c r="E24" s="14" t="s">
        <v>120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1266</v>
      </c>
      <c r="O24" s="14" t="s">
        <v>1267</v>
      </c>
      <c r="P24" s="14" t="s">
        <v>1243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IFERROR(__xludf.DUMMYFUNCTION("iferror(PERCENTRANK.INC(FILTER($V$2:$V$425, $S$2:$S$425&lt;3.75), $V24), 1)"),0.571)</f>
        <v>0.571</v>
      </c>
      <c r="AA24" s="20">
        <f>IFERROR(__xludf.DUMMYFUNCTION("iferror(PERCENTRANK.INC(FILTER($V$2:$V$425, $S$2:$S$425&lt;4.5), $V24), 1)"),0.273)</f>
        <v>0.273</v>
      </c>
      <c r="AB24" s="20">
        <f>IFERROR(__xludf.DUMMYFUNCTION("iferror(PERCENTRANK.INC(FILTER($V$2:$V$425, $S$2:$S$425&gt;=4.1), $V24), 0.01)"),0.01)</f>
        <v>0.01</v>
      </c>
    </row>
    <row r="25" ht="14.25" customHeight="1">
      <c r="A25" s="14" t="s">
        <v>1268</v>
      </c>
      <c r="B25" s="14" t="s">
        <v>593</v>
      </c>
      <c r="D25" s="14" t="s">
        <v>1218</v>
      </c>
      <c r="E25" s="14" t="s">
        <v>117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1268</v>
      </c>
      <c r="O25" s="14" t="s">
        <v>1269</v>
      </c>
      <c r="P25" s="14" t="s">
        <v>117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IFERROR(__xludf.DUMMYFUNCTION("iferror(PERCENTRANK.INC(FILTER($V$2:$V$425, $S$2:$S$425&lt;3.75), $V25), 1)"),0.552)</f>
        <v>0.552</v>
      </c>
      <c r="AA25" s="20">
        <f>IFERROR(__xludf.DUMMYFUNCTION("iferror(PERCENTRANK.INC(FILTER($V$2:$V$425, $S$2:$S$425&lt;4.5), $V25), 1)"),0.242)</f>
        <v>0.242</v>
      </c>
      <c r="AB25" s="20">
        <f>IFERROR(__xludf.DUMMYFUNCTION("iferror(PERCENTRANK.INC(FILTER($V$2:$V$425, $S$2:$S$425&gt;=4.1), $V25), 0.01)"),0.01)</f>
        <v>0.01</v>
      </c>
    </row>
    <row r="26" ht="14.25" customHeight="1">
      <c r="A26" s="14" t="s">
        <v>1270</v>
      </c>
      <c r="B26" s="14" t="s">
        <v>339</v>
      </c>
      <c r="D26" s="14" t="s">
        <v>1218</v>
      </c>
      <c r="E26" s="14" t="s">
        <v>105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1270</v>
      </c>
      <c r="O26" s="14" t="s">
        <v>1271</v>
      </c>
      <c r="P26" s="14" t="s">
        <v>1238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IFERROR(__xludf.DUMMYFUNCTION("iferror(PERCENTRANK.INC(FILTER($V$2:$V$425, $S$2:$S$425&lt;3.75), $V26), 1)"),0.5)</f>
        <v>0.5</v>
      </c>
      <c r="AA26" s="20">
        <f>IFERROR(__xludf.DUMMYFUNCTION("iferror(PERCENTRANK.INC(FILTER($V$2:$V$425, $S$2:$S$425&lt;4.5), $V26), 1)"),0.212)</f>
        <v>0.212</v>
      </c>
      <c r="AB26" s="20">
        <f>IFERROR(__xludf.DUMMYFUNCTION("iferror(PERCENTRANK.INC(FILTER($V$2:$V$425, $S$2:$S$425&gt;=4.1), $V26), 0.01)"),0.01)</f>
        <v>0.01</v>
      </c>
    </row>
    <row r="27" ht="14.25" customHeight="1">
      <c r="A27" s="14" t="s">
        <v>1272</v>
      </c>
      <c r="B27" s="14" t="s">
        <v>333</v>
      </c>
      <c r="C27" s="14">
        <v>87.0</v>
      </c>
      <c r="D27" s="14" t="s">
        <v>1218</v>
      </c>
      <c r="E27" s="14" t="s">
        <v>149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1272</v>
      </c>
      <c r="O27" s="14" t="s">
        <v>1273</v>
      </c>
      <c r="P27" s="14" t="s">
        <v>1274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IFERROR(__xludf.DUMMYFUNCTION("iferror(PERCENTRANK.INC(FILTER($V$2:$V$425, $S$2:$S$425&lt;3.75), $V27), 1)"),0.429)</f>
        <v>0.429</v>
      </c>
      <c r="AA27" s="20">
        <f>IFERROR(__xludf.DUMMYFUNCTION("iferror(PERCENTRANK.INC(FILTER($V$2:$V$425, $S$2:$S$425&lt;4.5), $V27), 1)"),0.182)</f>
        <v>0.182</v>
      </c>
      <c r="AB27" s="20">
        <f>IFERROR(__xludf.DUMMYFUNCTION("iferror(PERCENTRANK.INC(FILTER($V$2:$V$425, $S$2:$S$425&gt;=4.1), $V27), 0.01)"),0.01)</f>
        <v>0.01</v>
      </c>
    </row>
    <row r="28" ht="14.25" customHeight="1">
      <c r="A28" s="14" t="s">
        <v>1275</v>
      </c>
      <c r="B28" s="14" t="s">
        <v>824</v>
      </c>
      <c r="C28" s="14">
        <v>88.0</v>
      </c>
      <c r="D28" s="14" t="s">
        <v>1218</v>
      </c>
      <c r="E28" s="14" t="s">
        <v>125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1275</v>
      </c>
      <c r="O28" s="14" t="s">
        <v>1276</v>
      </c>
      <c r="P28" s="14" t="s">
        <v>1233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IFERROR(__xludf.DUMMYFUNCTION("iferror(PERCENTRANK.INC(FILTER($V$2:$V$425, $S$2:$S$425&lt;3.75), $V28), 1)"),0.357)</f>
        <v>0.357</v>
      </c>
      <c r="AA28" s="20">
        <f>IFERROR(__xludf.DUMMYFUNCTION("iferror(PERCENTRANK.INC(FILTER($V$2:$V$425, $S$2:$S$425&lt;4.5), $V28), 1)"),0.152)</f>
        <v>0.152</v>
      </c>
      <c r="AB28" s="20">
        <f>IFERROR(__xludf.DUMMYFUNCTION("iferror(PERCENTRANK.INC(FILTER($V$2:$V$425, $S$2:$S$425&gt;=4.1), $V28), 0.01)"),0.01)</f>
        <v>0.01</v>
      </c>
    </row>
    <row r="29" ht="14.25" customHeight="1">
      <c r="A29" s="14" t="s">
        <v>1277</v>
      </c>
      <c r="B29" s="14" t="s">
        <v>717</v>
      </c>
      <c r="C29" s="14">
        <v>88.0</v>
      </c>
      <c r="D29" s="14" t="s">
        <v>1218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1277</v>
      </c>
      <c r="O29" s="14" t="s">
        <v>1278</v>
      </c>
      <c r="P29" s="14" t="s">
        <v>1274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IFERROR(__xludf.DUMMYFUNCTION("iferror(PERCENTRANK.INC(FILTER($V$2:$V$425, $S$2:$S$425&lt;3.75), $V29), 1)"),0.961)</f>
        <v>0.961</v>
      </c>
      <c r="AA29" s="20">
        <f>IFERROR(__xludf.DUMMYFUNCTION("iferror(PERCENTRANK.INC(FILTER($V$2:$V$425, $S$2:$S$425&lt;4.5), $V29), 1)"),0.485)</f>
        <v>0.485</v>
      </c>
      <c r="AB29" s="20">
        <f>IFERROR(__xludf.DUMMYFUNCTION("iferror(PERCENTRANK.INC(FILTER($V$2:$V$425, $S$2:$S$425&gt;=4.1), $V29), 0.01)"),0.01)</f>
        <v>0.01</v>
      </c>
    </row>
    <row r="30" ht="14.25" customHeight="1">
      <c r="A30" s="14" t="s">
        <v>1279</v>
      </c>
      <c r="B30" s="14" t="s">
        <v>151</v>
      </c>
      <c r="C30" s="14">
        <v>0.0</v>
      </c>
      <c r="D30" s="14" t="s">
        <v>1218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1279</v>
      </c>
      <c r="O30" s="14" t="s">
        <v>151</v>
      </c>
      <c r="P30" s="14" t="s">
        <v>1220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IFERROR(__xludf.DUMMYFUNCTION("iferror(PERCENTRANK.INC(FILTER($V$2:$V$425, $S$2:$S$425&lt;3.75), $V30), 1)"),0.286)</f>
        <v>0.286</v>
      </c>
      <c r="AA30" s="20">
        <f>IFERROR(__xludf.DUMMYFUNCTION("iferror(PERCENTRANK.INC(FILTER($V$2:$V$425, $S$2:$S$425&lt;4.5), $V30), 1)"),0.121)</f>
        <v>0.121</v>
      </c>
      <c r="AB30" s="20">
        <f>IFERROR(__xludf.DUMMYFUNCTION("iferror(PERCENTRANK.INC(FILTER($V$2:$V$425, $S$2:$S$425&gt;=4.1), $V30), 0.01)"),0.01)</f>
        <v>0.01</v>
      </c>
    </row>
    <row r="31" ht="14.25" customHeight="1">
      <c r="A31" s="14" t="s">
        <v>1280</v>
      </c>
      <c r="B31" s="14" t="s">
        <v>243</v>
      </c>
      <c r="C31" s="14">
        <v>6.0</v>
      </c>
      <c r="D31" s="14" t="s">
        <v>1218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1280</v>
      </c>
      <c r="O31" s="14" t="s">
        <v>1222</v>
      </c>
      <c r="P31" s="14" t="s">
        <v>1220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IFERROR(__xludf.DUMMYFUNCTION("iferror(PERCENTRANK.INC(FILTER($V$2:$V$425, $S$2:$S$425&lt;3.75), $V31), 1)"),0.214)</f>
        <v>0.214</v>
      </c>
      <c r="AA31" s="20">
        <f>IFERROR(__xludf.DUMMYFUNCTION("iferror(PERCENTRANK.INC(FILTER($V$2:$V$425, $S$2:$S$425&lt;4.5), $V31), 1)"),0.091)</f>
        <v>0.091</v>
      </c>
      <c r="AB31" s="20">
        <f>IFERROR(__xludf.DUMMYFUNCTION("iferror(PERCENTRANK.INC(FILTER($V$2:$V$425, $S$2:$S$425&gt;=4.1), $V31), 0.01)"),0.01)</f>
        <v>0.01</v>
      </c>
    </row>
    <row r="32" ht="14.25" customHeight="1">
      <c r="A32" s="14" t="s">
        <v>1281</v>
      </c>
      <c r="B32" s="14" t="s">
        <v>303</v>
      </c>
      <c r="C32" s="14">
        <v>85.0</v>
      </c>
      <c r="D32" s="14" t="s">
        <v>1218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1281</v>
      </c>
      <c r="O32" s="14" t="s">
        <v>1282</v>
      </c>
      <c r="P32" s="14" t="s">
        <v>1233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IFERROR(__xludf.DUMMYFUNCTION("iferror(PERCENTRANK.INC(FILTER($V$2:$V$425, $S$2:$S$425&lt;3.75), $V32), 1)"),0.143)</f>
        <v>0.143</v>
      </c>
      <c r="AA32" s="20">
        <f>IFERROR(__xludf.DUMMYFUNCTION("iferror(PERCENTRANK.INC(FILTER($V$2:$V$425, $S$2:$S$425&lt;4.5), $V32), 1)"),0.061)</f>
        <v>0.061</v>
      </c>
      <c r="AB32" s="20">
        <f>IFERROR(__xludf.DUMMYFUNCTION("iferror(PERCENTRANK.INC(FILTER($V$2:$V$425, $S$2:$S$425&gt;=4.1), $V32), 0.01)"),0.01)</f>
        <v>0.01</v>
      </c>
    </row>
    <row r="33" ht="14.25" customHeight="1">
      <c r="A33" s="14" t="s">
        <v>1283</v>
      </c>
      <c r="B33" s="14" t="s">
        <v>388</v>
      </c>
      <c r="C33" s="14">
        <v>88.0</v>
      </c>
      <c r="D33" s="14" t="s">
        <v>1218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1283</v>
      </c>
      <c r="O33" s="14" t="s">
        <v>1284</v>
      </c>
      <c r="P33" s="14" t="s">
        <v>1233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IFERROR(__xludf.DUMMYFUNCTION("iferror(PERCENTRANK.INC(FILTER($V$2:$V$425, $S$2:$S$425&lt;3.75), $V33), 1)"),0.071)</f>
        <v>0.071</v>
      </c>
      <c r="AA33" s="20">
        <f>IFERROR(__xludf.DUMMYFUNCTION("iferror(PERCENTRANK.INC(FILTER($V$2:$V$425, $S$2:$S$425&lt;4.5), $V33), 1)"),0.03)</f>
        <v>0.03</v>
      </c>
      <c r="AB33" s="20">
        <f>IFERROR(__xludf.DUMMYFUNCTION("iferror(PERCENTRANK.INC(FILTER($V$2:$V$425, $S$2:$S$425&gt;=4.1), $V33), 0.01)"),0.01)</f>
        <v>0.01</v>
      </c>
    </row>
    <row r="34" ht="14.25" customHeight="1">
      <c r="A34" s="14" t="s">
        <v>1285</v>
      </c>
      <c r="B34" s="14" t="s">
        <v>741</v>
      </c>
      <c r="C34" s="16">
        <v>80.0</v>
      </c>
      <c r="D34" s="14" t="s">
        <v>1218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1285</v>
      </c>
      <c r="O34" s="14" t="s">
        <v>1286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IFERROR(__xludf.DUMMYFUNCTION("iferror(PERCENTRANK.INC(FILTER($V$2:$V$425, $S$2:$S$425&lt;3.75), $V34), 1)"),1.0)</f>
        <v>1</v>
      </c>
      <c r="AA34" s="20">
        <f>IFERROR(__xludf.DUMMYFUNCTION("iferror(PERCENTRANK.INC(FILTER($V$2:$V$425, $S$2:$S$425&lt;4.5), $V34), 1)"),0.697)</f>
        <v>0.697</v>
      </c>
      <c r="AB34" s="20">
        <f>IFERROR(__xludf.DUMMYFUNCTION("iferror(PERCENTRANK.INC(FILTER($V$2:$V$425, $S$2:$S$425&gt;=4.1), $V34), 0.01)"),0.01)</f>
        <v>0.01</v>
      </c>
    </row>
    <row r="35" ht="14.25" customHeight="1">
      <c r="A35" s="14" t="s">
        <v>1287</v>
      </c>
      <c r="B35" s="14" t="s">
        <v>345</v>
      </c>
      <c r="C35" s="14">
        <v>82.0</v>
      </c>
      <c r="D35" s="14" t="s">
        <v>1218</v>
      </c>
      <c r="E35" s="14" t="s">
        <v>120</v>
      </c>
      <c r="F35" s="14">
        <v>32.0</v>
      </c>
      <c r="G35" s="14">
        <v>25.0</v>
      </c>
      <c r="H35" s="14">
        <v>248.0</v>
      </c>
      <c r="I35" s="14">
        <v>9.9</v>
      </c>
      <c r="J35" s="14">
        <v>2.0</v>
      </c>
      <c r="K35" s="20">
        <v>5.069090146513268</v>
      </c>
      <c r="L35" s="20">
        <v>37.11734277934916</v>
      </c>
      <c r="M35" s="15"/>
      <c r="N35" s="14" t="s">
        <v>1287</v>
      </c>
      <c r="O35" s="14" t="s">
        <v>1288</v>
      </c>
      <c r="P35" s="14" t="s">
        <v>1243</v>
      </c>
      <c r="Q35" s="20">
        <v>5.069090146513268</v>
      </c>
      <c r="R35" s="14">
        <v>0.56</v>
      </c>
      <c r="S35" s="14">
        <v>3.96</v>
      </c>
      <c r="T35" s="14">
        <v>-6.2</v>
      </c>
      <c r="U35" s="14">
        <f t="array" ref="U35">XLOOKUP(E35, 'Conference Match'!$A$2:$A$40,'Conference Match'!$C$2:$C$40)</f>
        <v>0.95</v>
      </c>
      <c r="V35" s="20">
        <f t="shared" si="1"/>
        <v>3.578345346</v>
      </c>
      <c r="W35" s="20">
        <f t="shared" si="2"/>
        <v>66.01924508</v>
      </c>
      <c r="X35" s="20">
        <f t="shared" si="3"/>
        <v>28.9019023</v>
      </c>
      <c r="Z35" s="20">
        <f>IFERROR(__xludf.DUMMYFUNCTION("iferror(PERCENTRANK.INC(FILTER($V$2:$V$425, $S$2:$S$425&lt;3.75), $V35), 1)"),0.946)</f>
        <v>0.946</v>
      </c>
      <c r="AA35" s="20">
        <f>IFERROR(__xludf.DUMMYFUNCTION("iferror(PERCENTRANK.INC(FILTER($V$2:$V$425, $S$2:$S$425&lt;4.5), $V35), 1)"),0.455)</f>
        <v>0.455</v>
      </c>
      <c r="AB35" s="20">
        <f>IFERROR(__xludf.DUMMYFUNCTION("iferror(PERCENTRANK.INC(FILTER($V$2:$V$425, $S$2:$S$425&gt;=4.1), $V35), 0.01)"),0.01)</f>
        <v>0.01</v>
      </c>
    </row>
    <row r="36" ht="14.25" customHeight="1">
      <c r="A36" s="14" t="s">
        <v>1289</v>
      </c>
      <c r="B36" s="14" t="s">
        <v>183</v>
      </c>
      <c r="C36" s="14">
        <v>8.0</v>
      </c>
      <c r="D36" s="14" t="s">
        <v>1218</v>
      </c>
      <c r="E36" s="14" t="s">
        <v>152</v>
      </c>
      <c r="F36" s="14">
        <v>21.0</v>
      </c>
      <c r="G36" s="14">
        <v>15.0</v>
      </c>
      <c r="H36" s="14">
        <v>146.0</v>
      </c>
      <c r="I36" s="14">
        <v>9.7</v>
      </c>
      <c r="J36" s="14">
        <v>1.0</v>
      </c>
      <c r="K36" s="20">
        <v>4.5806743824849345</v>
      </c>
      <c r="L36" s="20">
        <v>31.279903660498952</v>
      </c>
      <c r="M36" s="15"/>
      <c r="N36" s="14" t="s">
        <v>1289</v>
      </c>
      <c r="O36" s="14" t="s">
        <v>1290</v>
      </c>
      <c r="P36" s="14" t="s">
        <v>1220</v>
      </c>
      <c r="Q36" s="20">
        <v>4.5806743824849345</v>
      </c>
      <c r="R36" s="14">
        <v>0.77</v>
      </c>
      <c r="U36" s="14">
        <f t="array" ref="U36">XLOOKUP(E36, 'Conference Match'!$A$2:$A$40,'Conference Match'!$C$2:$C$40)</f>
        <v>0.95</v>
      </c>
      <c r="V36" s="20">
        <f t="shared" si="1"/>
        <v>0.7682460995</v>
      </c>
      <c r="W36" s="20">
        <f t="shared" si="2"/>
        <v>0</v>
      </c>
      <c r="X36" s="20">
        <f t="shared" si="3"/>
        <v>-31.27990366</v>
      </c>
      <c r="Z36" s="20">
        <f>IFERROR(__xludf.DUMMYFUNCTION("iferror(PERCENTRANK.INC(FILTER($V$2:$V$425, $S$2:$S$425&lt;3.75), $V36), 1)"),0.0)</f>
        <v>0</v>
      </c>
      <c r="AA36" s="20">
        <f>IFERROR(__xludf.DUMMYFUNCTION("iferror(PERCENTRANK.INC(FILTER($V$2:$V$425, $S$2:$S$425&lt;4.5), $V36), 1)"),0.0)</f>
        <v>0</v>
      </c>
      <c r="AB36" s="20">
        <f>IFERROR(__xludf.DUMMYFUNCTION("iferror(PERCENTRANK.INC(FILTER($V$2:$V$425, $S$2:$S$425&gt;=4.1), $V36), 0.01)"),0.01)</f>
        <v>0.01</v>
      </c>
    </row>
    <row r="37" ht="14.25" customHeight="1">
      <c r="A37" s="14" t="s">
        <v>1291</v>
      </c>
      <c r="B37" s="14" t="s">
        <v>441</v>
      </c>
      <c r="C37" s="14">
        <v>85.0</v>
      </c>
      <c r="D37" s="14" t="s">
        <v>1218</v>
      </c>
      <c r="E37" s="14" t="s">
        <v>149</v>
      </c>
      <c r="F37" s="14">
        <v>24.0</v>
      </c>
      <c r="G37" s="14">
        <v>20.0</v>
      </c>
      <c r="H37" s="14">
        <v>211.0</v>
      </c>
      <c r="I37" s="14">
        <v>10.6</v>
      </c>
      <c r="J37" s="14">
        <v>2.0</v>
      </c>
      <c r="K37" s="20">
        <v>5.26410653870387</v>
      </c>
      <c r="L37" s="20">
        <v>39.44813633769223</v>
      </c>
      <c r="M37" s="15"/>
      <c r="N37" s="14" t="s">
        <v>1291</v>
      </c>
      <c r="O37" s="14" t="s">
        <v>1292</v>
      </c>
      <c r="P37" s="14" t="s">
        <v>1274</v>
      </c>
      <c r="Q37" s="20">
        <v>5.26410653870387</v>
      </c>
      <c r="R37" s="14">
        <v>1.37</v>
      </c>
      <c r="S37" s="16">
        <v>4.23</v>
      </c>
      <c r="T37" s="16">
        <v>-8.7</v>
      </c>
      <c r="U37" s="14">
        <f t="array" ref="U37">XLOOKUP(E37, 'Conference Match'!$A$2:$A$40,'Conference Match'!$C$2:$C$40)</f>
        <v>0.95</v>
      </c>
      <c r="V37" s="20">
        <f t="shared" si="1"/>
        <v>3.916635182</v>
      </c>
      <c r="W37" s="20">
        <f t="shared" si="2"/>
        <v>73.96687882</v>
      </c>
      <c r="X37" s="20">
        <f t="shared" si="3"/>
        <v>34.51874248</v>
      </c>
      <c r="Z37" s="20">
        <f>IFERROR(__xludf.DUMMYFUNCTION("iferror(PERCENTRANK.INC(FILTER($V$2:$V$425, $S$2:$S$425&lt;3.75), $V37), 1)"),1.0)</f>
        <v>1</v>
      </c>
      <c r="AA37" s="20">
        <f>IFERROR(__xludf.DUMMYFUNCTION("iferror(PERCENTRANK.INC(FILTER($V$2:$V$425, $S$2:$S$425&lt;4.5), $V37), 1)"),0.758)</f>
        <v>0.758</v>
      </c>
      <c r="AB37" s="20">
        <f>IFERROR(__xludf.DUMMYFUNCTION("iferror(PERCENTRANK.INC(FILTER($V$2:$V$425, $S$2:$S$425&gt;=4.1), $V37), 0.01)"),0.0)</f>
        <v>0</v>
      </c>
    </row>
    <row r="38">
      <c r="M38" s="15"/>
    </row>
    <row r="39" ht="14.25" customHeight="1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</sheetData>
  <autoFilter ref="$A$1:$AB$37">
    <sortState ref="A1:AB37">
      <sortCondition descending="1" ref="AB1:AB37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1293</v>
      </c>
    </row>
    <row r="2" ht="14.25" customHeight="1">
      <c r="A2" s="14" t="s">
        <v>71</v>
      </c>
      <c r="B2" s="14" t="s">
        <v>1294</v>
      </c>
      <c r="C2" s="14" t="s">
        <v>1295</v>
      </c>
      <c r="D2" s="14" t="s">
        <v>1296</v>
      </c>
      <c r="E2" s="14" t="s">
        <v>1216</v>
      </c>
      <c r="F2" s="14" t="s">
        <v>1297</v>
      </c>
      <c r="G2" s="14" t="s">
        <v>1298</v>
      </c>
      <c r="H2" s="14" t="s">
        <v>1299</v>
      </c>
      <c r="I2" s="14" t="s">
        <v>1300</v>
      </c>
      <c r="J2" s="14" t="s">
        <v>1301</v>
      </c>
      <c r="K2" s="14" t="s">
        <v>1302</v>
      </c>
      <c r="L2" s="14" t="s">
        <v>1303</v>
      </c>
      <c r="M2" s="14" t="s">
        <v>1304</v>
      </c>
      <c r="N2" s="20" t="s">
        <v>1305</v>
      </c>
      <c r="Q2" s="14" t="s">
        <v>89</v>
      </c>
      <c r="R2" s="14" t="s">
        <v>1306</v>
      </c>
      <c r="S2" s="20" t="s">
        <v>1307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1308</v>
      </c>
      <c r="B3" s="14" t="s">
        <v>1309</v>
      </c>
      <c r="C3" s="14">
        <v>74.0</v>
      </c>
      <c r="D3" s="14" t="s">
        <v>1310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$Q$2:$Q$425&lt;4.25), $R3), 1)"),1.0)</f>
        <v>1</v>
      </c>
      <c r="X3" s="20">
        <f>IFERROR(__xludf.DUMMYFUNCTION("iferror(PERCENTRANK.INC(FILTER($R$3:$R$425, $Q$3:$Q$425&gt;=4.1), $R3), 0.01)"),1.0)</f>
        <v>1</v>
      </c>
    </row>
    <row r="4" ht="14.25" customHeight="1">
      <c r="A4" s="14" t="s">
        <v>1311</v>
      </c>
      <c r="B4" s="14" t="s">
        <v>1312</v>
      </c>
      <c r="C4" s="14">
        <v>64.0</v>
      </c>
      <c r="D4" s="14" t="s">
        <v>1310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$Q$2:$Q$425&lt;4.25), $R4), 1)"),1.0)</f>
        <v>1</v>
      </c>
      <c r="X4" s="20">
        <f>IFERROR(__xludf.DUMMYFUNCTION("iferror(PERCENTRANK.INC(FILTER($R$3:$R$425, $Q$3:$Q$425&gt;=4.1), $R4), 0.01)"),0.958)</f>
        <v>0.958</v>
      </c>
    </row>
    <row r="5" ht="14.25" customHeight="1">
      <c r="A5" s="14" t="s">
        <v>1313</v>
      </c>
      <c r="B5" s="14" t="s">
        <v>1314</v>
      </c>
      <c r="C5" s="14">
        <v>74.0</v>
      </c>
      <c r="D5" s="14" t="s">
        <v>1310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$Q$2:$Q$425&lt;4.25), $R5), 1)"),1.0)</f>
        <v>1</v>
      </c>
      <c r="X5" s="20">
        <f>IFERROR(__xludf.DUMMYFUNCTION("iferror(PERCENTRANK.INC(FILTER($R$3:$R$425, $Q$3:$Q$425&gt;=4.1), $R5), 0.01)"),0.917)</f>
        <v>0.917</v>
      </c>
    </row>
    <row r="6" ht="14.25" customHeight="1">
      <c r="A6" s="14" t="s">
        <v>1315</v>
      </c>
      <c r="B6" s="14" t="s">
        <v>1267</v>
      </c>
      <c r="C6" s="14">
        <v>72.0</v>
      </c>
      <c r="D6" s="14" t="s">
        <v>1310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$Q$2:$Q$425&lt;4.25), $R6), 1)"),1.0)</f>
        <v>1</v>
      </c>
      <c r="X6" s="20">
        <f>IFERROR(__xludf.DUMMYFUNCTION("iferror(PERCENTRANK.INC(FILTER($R$3:$R$425, $Q$3:$Q$425&gt;=4.1), $R6), 0.01)"),0.875)</f>
        <v>0.875</v>
      </c>
    </row>
    <row r="7" ht="14.25" customHeight="1">
      <c r="A7" s="14" t="s">
        <v>1316</v>
      </c>
      <c r="B7" s="14" t="s">
        <v>1284</v>
      </c>
      <c r="C7" s="14">
        <v>77.0</v>
      </c>
      <c r="D7" s="14" t="s">
        <v>1310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$Q$2:$Q$425&lt;4.25), $R7), 1)"),1.0)</f>
        <v>1</v>
      </c>
      <c r="X7" s="20">
        <f>IFERROR(__xludf.DUMMYFUNCTION("iferror(PERCENTRANK.INC(FILTER($R$3:$R$425, $Q$3:$Q$425&gt;=4.1), $R7), 0.01)"),0.833)</f>
        <v>0.833</v>
      </c>
    </row>
    <row r="8" ht="14.25" customHeight="1">
      <c r="A8" s="14" t="s">
        <v>1317</v>
      </c>
      <c r="B8" s="14" t="s">
        <v>1276</v>
      </c>
      <c r="C8" s="14">
        <v>76.0</v>
      </c>
      <c r="D8" s="14" t="s">
        <v>1310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$Q$2:$Q$425&lt;4.25), $R8), 1)"),1.0)</f>
        <v>1</v>
      </c>
      <c r="X8" s="20">
        <f>IFERROR(__xludf.DUMMYFUNCTION("iferror(PERCENTRANK.INC(FILTER($R$3:$R$425, $Q$3:$Q$425&gt;=4.1), $R8), 0.01)"),0.75)</f>
        <v>0.75</v>
      </c>
    </row>
    <row r="9" ht="14.25" customHeight="1">
      <c r="A9" s="14" t="s">
        <v>1318</v>
      </c>
      <c r="B9" s="14" t="s">
        <v>151</v>
      </c>
      <c r="C9" s="14">
        <v>70.0</v>
      </c>
      <c r="D9" s="14" t="s">
        <v>1310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$Q$2:$Q$425&lt;4.25), $R9), 1)"),1.0)</f>
        <v>1</v>
      </c>
      <c r="X9" s="20">
        <f>IFERROR(__xludf.DUMMYFUNCTION("iferror(PERCENTRANK.INC(FILTER($R$3:$R$425, $Q$3:$Q$425&gt;=4.1), $R9), 0.01)"),0.792)</f>
        <v>0.792</v>
      </c>
    </row>
    <row r="10" ht="14.25" customHeight="1">
      <c r="A10" s="14" t="s">
        <v>1319</v>
      </c>
      <c r="B10" s="14" t="s">
        <v>1320</v>
      </c>
      <c r="C10" s="14">
        <v>62.0</v>
      </c>
      <c r="D10" s="14" t="s">
        <v>1310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$Q$2:$Q$425&lt;4.25), $R10), 1)"),1.0)</f>
        <v>1</v>
      </c>
      <c r="X10" s="20">
        <f>IFERROR(__xludf.DUMMYFUNCTION("iferror(PERCENTRANK.INC(FILTER($R$3:$R$425, $Q$3:$Q$425&gt;=4.1), $R10), 0.01)"),0.708)</f>
        <v>0.708</v>
      </c>
    </row>
    <row r="11" ht="14.25" customHeight="1">
      <c r="A11" s="14" t="s">
        <v>1321</v>
      </c>
      <c r="B11" s="14" t="s">
        <v>1322</v>
      </c>
      <c r="C11" s="14">
        <v>58.0</v>
      </c>
      <c r="D11" s="14" t="s">
        <v>1310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$Q$2:$Q$425&lt;4.25), $R11), 1)"),1.0)</f>
        <v>1</v>
      </c>
      <c r="X11" s="20">
        <f>IFERROR(__xludf.DUMMYFUNCTION("iferror(PERCENTRANK.INC(FILTER($R$3:$R$425, $Q$3:$Q$425&gt;=4.1), $R11), 0.01)"),0.667)</f>
        <v>0.667</v>
      </c>
    </row>
    <row r="12" ht="14.25" customHeight="1">
      <c r="A12" s="14" t="s">
        <v>1323</v>
      </c>
      <c r="B12" s="14" t="s">
        <v>1324</v>
      </c>
      <c r="C12" s="14">
        <v>67.0</v>
      </c>
      <c r="D12" s="14" t="s">
        <v>1310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$Q$2:$Q$425&lt;4.25), $R12), 1)"),1.0)</f>
        <v>1</v>
      </c>
      <c r="X12" s="20">
        <f>IFERROR(__xludf.DUMMYFUNCTION("iferror(PERCENTRANK.INC(FILTER($R$3:$R$425, $Q$3:$Q$425&gt;=4.1), $R12), 0.01)"),0.625)</f>
        <v>0.625</v>
      </c>
    </row>
    <row r="13" ht="14.25" customHeight="1">
      <c r="A13" s="14" t="s">
        <v>1325</v>
      </c>
      <c r="B13" s="14" t="s">
        <v>1326</v>
      </c>
      <c r="C13" s="14">
        <v>78.0</v>
      </c>
      <c r="D13" s="14" t="s">
        <v>1310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$Q$2:$Q$425&lt;4.25), $R13), 1)"),1.0)</f>
        <v>1</v>
      </c>
      <c r="X13" s="20">
        <f>IFERROR(__xludf.DUMMYFUNCTION("iferror(PERCENTRANK.INC(FILTER($R$3:$R$425, $Q$3:$Q$425&gt;=4.1), $R13), 0.01)"),0.583)</f>
        <v>0.583</v>
      </c>
    </row>
    <row r="14" ht="14.25" customHeight="1">
      <c r="A14" s="14" t="s">
        <v>1327</v>
      </c>
      <c r="B14" s="14" t="s">
        <v>1328</v>
      </c>
      <c r="C14" s="14">
        <v>56.0</v>
      </c>
      <c r="D14" s="14" t="s">
        <v>1310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$Q$2:$Q$425&lt;4.25), $R14), 1)"),1.0)</f>
        <v>1</v>
      </c>
      <c r="X14" s="20">
        <f>IFERROR(__xludf.DUMMYFUNCTION("iferror(PERCENTRANK.INC(FILTER($R$3:$R$425, $Q$3:$Q$425&gt;=4.1), $R14), 0.01)"),0.542)</f>
        <v>0.542</v>
      </c>
    </row>
    <row r="15" ht="14.25" customHeight="1">
      <c r="A15" s="14" t="s">
        <v>1329</v>
      </c>
      <c r="B15" s="14" t="s">
        <v>1330</v>
      </c>
      <c r="C15" s="14">
        <v>54.0</v>
      </c>
      <c r="D15" s="14" t="s">
        <v>1310</v>
      </c>
      <c r="E15" s="14" t="s">
        <v>1331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$Q$2:$Q$425&lt;4.25), $R15), 1)"),1.0)</f>
        <v>1</v>
      </c>
      <c r="X15" s="20">
        <f>IFERROR(__xludf.DUMMYFUNCTION("iferror(PERCENTRANK.INC(FILTER($R$3:$R$425, $Q$3:$Q$425&gt;=4.1), $R15), 0.01)"),0.428)</f>
        <v>0.428</v>
      </c>
    </row>
    <row r="16" ht="14.25" customHeight="1">
      <c r="A16" s="14" t="s">
        <v>1332</v>
      </c>
      <c r="B16" s="14" t="s">
        <v>1333</v>
      </c>
      <c r="C16" s="14">
        <v>73.0</v>
      </c>
      <c r="D16" s="14" t="s">
        <v>1310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$Q$2:$Q$425&lt;4.25), $R16), 1)"),1.0)</f>
        <v>1</v>
      </c>
      <c r="X16" s="20">
        <f>IFERROR(__xludf.DUMMYFUNCTION("iferror(PERCENTRANK.INC(FILTER($R$3:$R$425, $Q$3:$Q$425&gt;=4.1), $R16), 0.01)"),0.458)</f>
        <v>0.458</v>
      </c>
    </row>
    <row r="17" ht="14.25" customHeight="1">
      <c r="A17" s="14" t="s">
        <v>1334</v>
      </c>
      <c r="B17" s="14" t="s">
        <v>1273</v>
      </c>
      <c r="C17" s="14">
        <v>79.0</v>
      </c>
      <c r="D17" s="14" t="s">
        <v>1310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$Q$2:$Q$425&lt;4.25), $R17), 1)"),0.997)</f>
        <v>0.997</v>
      </c>
      <c r="X17" s="20">
        <f>IFERROR(__xludf.DUMMYFUNCTION("iferror(PERCENTRANK.INC(FILTER($R$3:$R$425, $Q$3:$Q$425&gt;=4.1), $R17), 0.01)"),0.375)</f>
        <v>0.375</v>
      </c>
    </row>
    <row r="18" ht="14.25" customHeight="1">
      <c r="A18" s="14" t="s">
        <v>1335</v>
      </c>
      <c r="B18" s="16" t="s">
        <v>1336</v>
      </c>
      <c r="C18" s="14">
        <v>76.0</v>
      </c>
      <c r="D18" s="14" t="s">
        <v>1310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$Q$2:$Q$425&lt;4.25), $R18), 1)"),0.999)</f>
        <v>0.999</v>
      </c>
      <c r="X18" s="20">
        <f>IFERROR(__xludf.DUMMYFUNCTION("iferror(PERCENTRANK.INC(FILTER($R$3:$R$425, $Q$3:$Q$425&gt;=4.1), $R18), 0.01)"),0.417)</f>
        <v>0.417</v>
      </c>
    </row>
    <row r="19" ht="14.25" customHeight="1">
      <c r="A19" s="14" t="s">
        <v>1337</v>
      </c>
      <c r="B19" s="14" t="s">
        <v>607</v>
      </c>
      <c r="C19" s="14">
        <v>72.0</v>
      </c>
      <c r="D19" s="14" t="s">
        <v>1310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$Q$2:$Q$425&lt;4.25), $R19), 1)"),0.976)</f>
        <v>0.976</v>
      </c>
      <c r="X19" s="20">
        <f>IFERROR(__xludf.DUMMYFUNCTION("iferror(PERCENTRANK.INC(FILTER($R$3:$R$425, $Q$3:$Q$425&gt;=4.1), $R19), 0.01)"),0.353)</f>
        <v>0.353</v>
      </c>
    </row>
    <row r="20" ht="14.25" customHeight="1">
      <c r="A20" s="14" t="s">
        <v>1338</v>
      </c>
      <c r="B20" s="14" t="s">
        <v>1339</v>
      </c>
      <c r="C20" s="14">
        <v>78.0</v>
      </c>
      <c r="D20" s="14" t="s">
        <v>1310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1)"),0.997)</f>
        <v>0.997</v>
      </c>
      <c r="W20" s="20">
        <f>IFERROR(__xludf.DUMMYFUNCTION("iferror(PERCENTRANK.INC(FILTER($R$2:$R$425, $Q$2:$Q$425&lt;4.25), $R20), 1)"),0.971)</f>
        <v>0.971</v>
      </c>
      <c r="X20" s="20">
        <f>IFERROR(__xludf.DUMMYFUNCTION("iferror(PERCENTRANK.INC(FILTER($R$3:$R$425, $Q$3:$Q$425&gt;=4.1), $R20), 0.01)"),0.333)</f>
        <v>0.333</v>
      </c>
    </row>
    <row r="21" ht="14.25" customHeight="1">
      <c r="A21" s="14" t="s">
        <v>1340</v>
      </c>
      <c r="B21" s="14" t="s">
        <v>1341</v>
      </c>
      <c r="C21" s="14">
        <v>70.0</v>
      </c>
      <c r="D21" s="14" t="s">
        <v>1310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$Q$2:$Q$425&lt;4.25), $R21), 1)"),0.969)</f>
        <v>0.969</v>
      </c>
      <c r="X21" s="20">
        <f>IFERROR(__xludf.DUMMYFUNCTION("iferror(PERCENTRANK.INC(FILTER($R$3:$R$425, $Q$3:$Q$425&gt;=4.1), $R21), 0.01)"),0.292)</f>
        <v>0.292</v>
      </c>
    </row>
    <row r="22" ht="14.25" customHeight="1">
      <c r="A22" s="14" t="s">
        <v>1342</v>
      </c>
      <c r="B22" s="14" t="s">
        <v>1343</v>
      </c>
      <c r="C22" s="14">
        <v>78.0</v>
      </c>
      <c r="D22" s="14" t="s">
        <v>1310</v>
      </c>
      <c r="E22" s="14" t="s">
        <v>1344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1)"),0.994)</f>
        <v>0.994</v>
      </c>
      <c r="W22" s="20">
        <f>IFERROR(__xludf.DUMMYFUNCTION("iferror(PERCENTRANK.INC(FILTER($R$2:$R$425, $Q$2:$Q$425&lt;4.25), $R22), 1)"),0.964)</f>
        <v>0.964</v>
      </c>
      <c r="X22" s="20">
        <f>IFERROR(__xludf.DUMMYFUNCTION("iferror(PERCENTRANK.INC(FILTER($R$3:$R$425, $Q$3:$Q$425&gt;=4.1), $R22), 0.01)"),0.25)</f>
        <v>0.25</v>
      </c>
    </row>
    <row r="23" ht="14.25" customHeight="1">
      <c r="A23" s="14" t="s">
        <v>1345</v>
      </c>
      <c r="B23" s="14" t="s">
        <v>1346</v>
      </c>
      <c r="C23" s="14">
        <v>75.0</v>
      </c>
      <c r="D23" s="14" t="s">
        <v>1310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$Q$2:$Q$425&lt;4.25), $R23), 1)"),0.952)</f>
        <v>0.952</v>
      </c>
      <c r="X23" s="20">
        <f>IFERROR(__xludf.DUMMYFUNCTION("iferror(PERCENTRANK.INC(FILTER($R$3:$R$425, $Q$3:$Q$425&gt;=4.1), $R23), 0.01)"),0.159)</f>
        <v>0.159</v>
      </c>
    </row>
    <row r="24" ht="14.25" customHeight="1">
      <c r="A24" s="14" t="s">
        <v>1347</v>
      </c>
      <c r="B24" s="14" t="s">
        <v>1348</v>
      </c>
      <c r="C24" s="14">
        <v>67.0</v>
      </c>
      <c r="D24" s="14" t="s">
        <v>1310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1)"),0.991)</f>
        <v>0.991</v>
      </c>
      <c r="W24" s="20">
        <f>IFERROR(__xludf.DUMMYFUNCTION("iferror(PERCENTRANK.INC(FILTER($R$2:$R$425, $Q$2:$Q$425&lt;4.25), $R24), 1)"),0.951)</f>
        <v>0.951</v>
      </c>
      <c r="X24" s="20">
        <f>IFERROR(__xludf.DUMMYFUNCTION("iferror(PERCENTRANK.INC(FILTER($R$3:$R$425, $Q$3:$Q$425&gt;=4.1), $R24), 0.01)"),0.125)</f>
        <v>0.125</v>
      </c>
    </row>
    <row r="25" ht="14.25" customHeight="1">
      <c r="A25" s="14" t="s">
        <v>1349</v>
      </c>
      <c r="B25" s="14" t="s">
        <v>1350</v>
      </c>
      <c r="C25" s="14">
        <v>71.0</v>
      </c>
      <c r="D25" s="14" t="s">
        <v>1310</v>
      </c>
      <c r="E25" s="14" t="s">
        <v>1331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$Q$2:$Q$425&lt;4.25), $R25), 1)"),0.953)</f>
        <v>0.953</v>
      </c>
      <c r="X25" s="20">
        <f>IFERROR(__xludf.DUMMYFUNCTION("iferror(PERCENTRANK.INC(FILTER($R$3:$R$425, $Q$3:$Q$425&gt;=4.1), $R25), 0.01)"),0.167)</f>
        <v>0.167</v>
      </c>
    </row>
    <row r="26" ht="14.25" customHeight="1">
      <c r="A26" s="14" t="s">
        <v>1351</v>
      </c>
      <c r="B26" s="14" t="s">
        <v>1352</v>
      </c>
      <c r="C26" s="14">
        <v>66.0</v>
      </c>
      <c r="D26" s="14" t="s">
        <v>1310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1)"),0.989)</f>
        <v>0.989</v>
      </c>
      <c r="W26" s="20">
        <f>IFERROR(__xludf.DUMMYFUNCTION("iferror(PERCENTRANK.INC(FILTER($R$2:$R$425, $Q$2:$Q$425&lt;4.25), $R26), 1)"),0.935)</f>
        <v>0.935</v>
      </c>
      <c r="X26" s="20">
        <f>IFERROR(__xludf.DUMMYFUNCTION("iferror(PERCENTRANK.INC(FILTER($R$3:$R$425, $Q$3:$Q$425&gt;=4.1), $R26), 0.01)"),0.083)</f>
        <v>0.083</v>
      </c>
    </row>
    <row r="27" ht="14.25" customHeight="1">
      <c r="A27" s="14" t="s">
        <v>1353</v>
      </c>
      <c r="B27" s="14" t="s">
        <v>1354</v>
      </c>
      <c r="C27" s="14">
        <v>54.0</v>
      </c>
      <c r="D27" s="14" t="s">
        <v>1310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1)"),0.988)</f>
        <v>0.988</v>
      </c>
      <c r="W27" s="20">
        <f>IFERROR(__xludf.DUMMYFUNCTION("iferror(PERCENTRANK.INC(FILTER($R$2:$R$425, $Q$2:$Q$425&lt;4.25), $R27), 1)"),0.905)</f>
        <v>0.905</v>
      </c>
      <c r="X27" s="20">
        <f>IFERROR(__xludf.DUMMYFUNCTION("iferror(PERCENTRANK.INC(FILTER($R$3:$R$425, $Q$3:$Q$425&gt;=4.1), $R27), 0.01)"),0.077)</f>
        <v>0.077</v>
      </c>
    </row>
    <row r="28" ht="14.25" customHeight="1">
      <c r="A28" s="14" t="s">
        <v>1355</v>
      </c>
      <c r="B28" s="14" t="s">
        <v>1242</v>
      </c>
      <c r="C28" s="14">
        <v>74.0</v>
      </c>
      <c r="D28" s="14" t="s">
        <v>1310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1)"),0.988)</f>
        <v>0.988</v>
      </c>
      <c r="W28" s="20">
        <f>IFERROR(__xludf.DUMMYFUNCTION("iferror(PERCENTRANK.INC(FILTER($R$2:$R$425, $Q$2:$Q$425&lt;4.25), $R28), 1)"),0.929)</f>
        <v>0.929</v>
      </c>
      <c r="X28" s="20">
        <f>IFERROR(__xludf.DUMMYFUNCTION("iferror(PERCENTRANK.INC(FILTER($R$3:$R$425, $Q$3:$Q$425&gt;=4.1), $R28), 0.01)"),0.078)</f>
        <v>0.078</v>
      </c>
    </row>
    <row r="29" ht="14.25" customHeight="1">
      <c r="A29" s="14" t="s">
        <v>1356</v>
      </c>
      <c r="B29" s="14" t="s">
        <v>1357</v>
      </c>
      <c r="C29" s="14">
        <v>62.0</v>
      </c>
      <c r="D29" s="14" t="s">
        <v>1310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1)"),0.986)</f>
        <v>0.986</v>
      </c>
      <c r="W29" s="20">
        <f>IFERROR(__xludf.DUMMYFUNCTION("iferror(PERCENTRANK.INC(FILTER($R$2:$R$425, $Q$2:$Q$425&lt;4.25), $R29), 1)"),0.881)</f>
        <v>0.881</v>
      </c>
      <c r="X29" s="20">
        <f>IFERROR(__xludf.DUMMYFUNCTION("iferror(PERCENTRANK.INC(FILTER($R$3:$R$425, $Q$3:$Q$425&gt;=4.1), $R29), 0.01)"),0.065)</f>
        <v>0.065</v>
      </c>
    </row>
    <row r="30" ht="14.25" customHeight="1">
      <c r="A30" s="14" t="s">
        <v>1358</v>
      </c>
      <c r="B30" s="14" t="s">
        <v>1226</v>
      </c>
      <c r="C30" s="14">
        <v>71.0</v>
      </c>
      <c r="D30" s="14" t="s">
        <v>1310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1)"),0.985)</f>
        <v>0.985</v>
      </c>
      <c r="W30" s="20">
        <f>IFERROR(__xludf.DUMMYFUNCTION("iferror(PERCENTRANK.INC(FILTER($R$2:$R$425, $Q$2:$Q$425&lt;4.25), $R30), 1)"),0.833)</f>
        <v>0.833</v>
      </c>
      <c r="X30" s="20">
        <f>IFERROR(__xludf.DUMMYFUNCTION("iferror(PERCENTRANK.INC(FILTER($R$3:$R$425, $Q$3:$Q$425&gt;=4.1), $R30), 0.01)"),0.058)</f>
        <v>0.058</v>
      </c>
    </row>
    <row r="31" ht="14.25" customHeight="1">
      <c r="A31" s="14" t="s">
        <v>1359</v>
      </c>
      <c r="B31" s="14" t="s">
        <v>711</v>
      </c>
      <c r="C31" s="14">
        <v>78.0</v>
      </c>
      <c r="D31" s="14" t="s">
        <v>1310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1)"),0.982)</f>
        <v>0.982</v>
      </c>
      <c r="W31" s="20">
        <f>IFERROR(__xludf.DUMMYFUNCTION("iferror(PERCENTRANK.INC(FILTER($R$2:$R$425, $Q$2:$Q$425&lt;4.25), $R31), 1)"),0.81)</f>
        <v>0.81</v>
      </c>
      <c r="X31" s="20">
        <f>IFERROR(__xludf.DUMMYFUNCTION("iferror(PERCENTRANK.INC(FILTER($R$3:$R$425, $Q$3:$Q$425&gt;=4.1), $R31), 0.01)"),0.043)</f>
        <v>0.043</v>
      </c>
    </row>
    <row r="32" ht="14.25" customHeight="1">
      <c r="A32" s="14" t="s">
        <v>1360</v>
      </c>
      <c r="B32" s="14" t="s">
        <v>1361</v>
      </c>
      <c r="C32" s="14">
        <v>78.0</v>
      </c>
      <c r="D32" s="14" t="s">
        <v>1310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1)"),0.982)</f>
        <v>0.982</v>
      </c>
      <c r="W32" s="20">
        <f>IFERROR(__xludf.DUMMYFUNCTION("iferror(PERCENTRANK.INC(FILTER($R$2:$R$425, $Q$2:$Q$425&lt;4.25), $R32), 1)"),0.809)</f>
        <v>0.809</v>
      </c>
      <c r="X32" s="20">
        <f>IFERROR(__xludf.DUMMYFUNCTION("iferror(PERCENTRANK.INC(FILTER($R$3:$R$425, $Q$3:$Q$425&gt;=4.1), $R32), 0.01)"),0.042)</f>
        <v>0.042</v>
      </c>
    </row>
    <row r="33" ht="14.25" customHeight="1">
      <c r="A33" s="14" t="s">
        <v>1362</v>
      </c>
      <c r="B33" s="14" t="s">
        <v>1251</v>
      </c>
      <c r="C33" s="14">
        <v>55.0</v>
      </c>
      <c r="D33" s="14" t="s">
        <v>1310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1)"),0.973)</f>
        <v>0.973</v>
      </c>
      <c r="W33" s="20">
        <f>IFERROR(__xludf.DUMMYFUNCTION("iferror(PERCENTRANK.INC(FILTER($R$2:$R$425, $Q$2:$Q$425&lt;4.25), $R33), 1)"),0.786)</f>
        <v>0.786</v>
      </c>
      <c r="X33" s="20">
        <f>IFERROR(__xludf.DUMMYFUNCTION("iferror(PERCENTRANK.INC(FILTER($R$3:$R$425, $Q$3:$Q$425&gt;=4.1), $R33), 0.01)"),0.004)</f>
        <v>0.004</v>
      </c>
    </row>
    <row r="34" ht="14.25" customHeight="1">
      <c r="A34" s="14" t="s">
        <v>1363</v>
      </c>
      <c r="B34" s="14" t="s">
        <v>1343</v>
      </c>
      <c r="C34" s="14">
        <v>77.0</v>
      </c>
      <c r="D34" s="14" t="s">
        <v>1310</v>
      </c>
      <c r="E34" s="14" t="s">
        <v>1344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1)"),0.973)</f>
        <v>0.973</v>
      </c>
      <c r="W34" s="20">
        <f>IFERROR(__xludf.DUMMYFUNCTION("iferror(PERCENTRANK.INC(FILTER($R$2:$R$425, $Q$2:$Q$425&lt;4.25), $R34), 1)"),0.762)</f>
        <v>0.762</v>
      </c>
      <c r="X34" s="20">
        <f>IFERROR(__xludf.DUMMYFUNCTION("iferror(PERCENTRANK.INC(FILTER($R$3:$R$425, $Q$3:$Q$425&gt;=4.1), $R34), 0.01)"),0.003)</f>
        <v>0.003</v>
      </c>
    </row>
    <row r="35" ht="14.25" customHeight="1">
      <c r="A35" s="14" t="s">
        <v>1364</v>
      </c>
      <c r="B35" s="14" t="s">
        <v>1365</v>
      </c>
      <c r="C35" s="14">
        <v>51.0</v>
      </c>
      <c r="D35" s="14" t="s">
        <v>1310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1)"),0.968)</f>
        <v>0.968</v>
      </c>
      <c r="W35" s="20">
        <f>IFERROR(__xludf.DUMMYFUNCTION("iferror(PERCENTRANK.INC(FILTER($R$2:$R$425, $Q$2:$Q$425&lt;4.25), $R35), 1)"),0.738)</f>
        <v>0.738</v>
      </c>
      <c r="X35" s="20">
        <f>IFERROR(__xludf.DUMMYFUNCTION("iferror(PERCENTRANK.INC(FILTER($R$3:$R$425, $Q$3:$Q$425&gt;=4.1), $R35), 0.01)"),0.01)</f>
        <v>0.01</v>
      </c>
    </row>
    <row r="36" ht="14.25" customHeight="1">
      <c r="A36" s="14" t="s">
        <v>1366</v>
      </c>
      <c r="B36" s="14" t="s">
        <v>1367</v>
      </c>
      <c r="C36" s="14">
        <v>77.0</v>
      </c>
      <c r="D36" s="14" t="s">
        <v>1310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1)"),0.968)</f>
        <v>0.968</v>
      </c>
      <c r="W36" s="20">
        <f>IFERROR(__xludf.DUMMYFUNCTION("iferror(PERCENTRANK.INC(FILTER($R$2:$R$425, $Q$2:$Q$425&lt;4.25), $R36), 1)"),0.714)</f>
        <v>0.714</v>
      </c>
      <c r="X36" s="20">
        <f>IFERROR(__xludf.DUMMYFUNCTION("iferror(PERCENTRANK.INC(FILTER($R$3:$R$425, $Q$3:$Q$425&gt;=4.1), $R36), 0.01)"),0.01)</f>
        <v>0.01</v>
      </c>
    </row>
    <row r="37" ht="14.25" customHeight="1">
      <c r="A37" s="14" t="s">
        <v>1368</v>
      </c>
      <c r="B37" s="14" t="s">
        <v>1369</v>
      </c>
      <c r="C37" s="14">
        <v>76.0</v>
      </c>
      <c r="D37" s="14" t="s">
        <v>1310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1)"),0.966)</f>
        <v>0.966</v>
      </c>
      <c r="W37" s="20">
        <f>IFERROR(__xludf.DUMMYFUNCTION("iferror(PERCENTRANK.INC(FILTER($R$2:$R$425, $Q$2:$Q$425&lt;4.25), $R37), 1)"),0.69)</f>
        <v>0.69</v>
      </c>
      <c r="X37" s="20">
        <f>IFERROR(__xludf.DUMMYFUNCTION("iferror(PERCENTRANK.INC(FILTER($R$3:$R$425, $Q$3:$Q$425&gt;=4.1), $R37), 0.01)"),0.01)</f>
        <v>0.01</v>
      </c>
    </row>
    <row r="38" ht="14.25" customHeight="1">
      <c r="A38" s="14" t="s">
        <v>1370</v>
      </c>
      <c r="B38" s="14" t="s">
        <v>1371</v>
      </c>
      <c r="C38" s="14">
        <v>54.0</v>
      </c>
      <c r="D38" s="14" t="s">
        <v>1310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1)"),0.931)</f>
        <v>0.931</v>
      </c>
      <c r="W38" s="20">
        <f>IFERROR(__xludf.DUMMYFUNCTION("iferror(PERCENTRANK.INC(FILTER($R$2:$R$425, $Q$2:$Q$425&lt;4.25), $R38), 1)"),0.667)</f>
        <v>0.667</v>
      </c>
      <c r="X38" s="20">
        <f>IFERROR(__xludf.DUMMYFUNCTION("iferror(PERCENTRANK.INC(FILTER($R$3:$R$425, $Q$3:$Q$425&gt;=4.1), $R38), 0.01)"),0.01)</f>
        <v>0.01</v>
      </c>
    </row>
    <row r="39" ht="14.25" customHeight="1">
      <c r="A39" s="14" t="s">
        <v>1372</v>
      </c>
      <c r="B39" s="14" t="s">
        <v>1373</v>
      </c>
      <c r="C39" s="14">
        <v>79.0</v>
      </c>
      <c r="D39" s="14" t="s">
        <v>1310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1)"),0.897)</f>
        <v>0.897</v>
      </c>
      <c r="W39" s="20">
        <f>IFERROR(__xludf.DUMMYFUNCTION("iferror(PERCENTRANK.INC(FILTER($R$2:$R$425, $Q$2:$Q$425&lt;4.25), $R39), 1)"),0.643)</f>
        <v>0.643</v>
      </c>
      <c r="X39" s="20">
        <f>IFERROR(__xludf.DUMMYFUNCTION("iferror(PERCENTRANK.INC(FILTER($R$3:$R$425, $Q$3:$Q$425&gt;=4.1), $R39), 0.01)"),0.01)</f>
        <v>0.01</v>
      </c>
    </row>
    <row r="40" ht="14.25" customHeight="1">
      <c r="A40" s="14" t="s">
        <v>1374</v>
      </c>
      <c r="B40" s="14" t="s">
        <v>1326</v>
      </c>
      <c r="C40" s="14">
        <v>51.0</v>
      </c>
      <c r="D40" s="14" t="s">
        <v>1310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1)"),0.888)</f>
        <v>0.888</v>
      </c>
      <c r="W40" s="20">
        <f>IFERROR(__xludf.DUMMYFUNCTION("iferror(PERCENTRANK.INC(FILTER($R$2:$R$425, $Q$2:$Q$425&lt;4.25), $R40), 1)"),0.619)</f>
        <v>0.619</v>
      </c>
      <c r="X40" s="20">
        <f>IFERROR(__xludf.DUMMYFUNCTION("iferror(PERCENTRANK.INC(FILTER($R$3:$R$425, $Q$3:$Q$425&gt;=4.1), $R40), 0.01)"),0.01)</f>
        <v>0.01</v>
      </c>
    </row>
    <row r="41" ht="14.25" customHeight="1">
      <c r="A41" s="14" t="s">
        <v>1375</v>
      </c>
      <c r="B41" s="14" t="s">
        <v>1352</v>
      </c>
      <c r="C41" s="14">
        <v>71.0</v>
      </c>
      <c r="D41" s="14" t="s">
        <v>1310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1)"),0.862)</f>
        <v>0.862</v>
      </c>
      <c r="W41" s="20">
        <f>IFERROR(__xludf.DUMMYFUNCTION("iferror(PERCENTRANK.INC(FILTER($R$2:$R$425, $Q$2:$Q$425&lt;4.25), $R41), 1)"),0.595)</f>
        <v>0.595</v>
      </c>
      <c r="X41" s="20">
        <f>IFERROR(__xludf.DUMMYFUNCTION("iferror(PERCENTRANK.INC(FILTER($R$3:$R$425, $Q$3:$Q$425&gt;=4.1), $R41), 0.01)"),0.01)</f>
        <v>0.01</v>
      </c>
    </row>
    <row r="42" ht="14.25" customHeight="1">
      <c r="A42" s="14" t="s">
        <v>1376</v>
      </c>
      <c r="B42" s="14" t="s">
        <v>1377</v>
      </c>
      <c r="C42" s="14">
        <v>53.0</v>
      </c>
      <c r="D42" s="14" t="s">
        <v>1310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1)"),0.828)</f>
        <v>0.828</v>
      </c>
      <c r="W42" s="20">
        <f>IFERROR(__xludf.DUMMYFUNCTION("iferror(PERCENTRANK.INC(FILTER($R$2:$R$425, $Q$2:$Q$425&lt;4.25), $R42), 1)"),0.571)</f>
        <v>0.571</v>
      </c>
      <c r="X42" s="20">
        <f>IFERROR(__xludf.DUMMYFUNCTION("iferror(PERCENTRANK.INC(FILTER($R$3:$R$425, $Q$3:$Q$425&gt;=4.1), $R42), 0.01)"),0.01)</f>
        <v>0.01</v>
      </c>
    </row>
    <row r="43" ht="14.25" customHeight="1">
      <c r="A43" s="14" t="s">
        <v>1378</v>
      </c>
      <c r="B43" s="14" t="s">
        <v>1346</v>
      </c>
      <c r="C43" s="14">
        <v>56.0</v>
      </c>
      <c r="D43" s="14" t="s">
        <v>1310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1)"),0.793)</f>
        <v>0.793</v>
      </c>
      <c r="W43" s="20">
        <f>IFERROR(__xludf.DUMMYFUNCTION("iferror(PERCENTRANK.INC(FILTER($R$2:$R$425, $Q$2:$Q$425&lt;4.25), $R43), 1)"),0.548)</f>
        <v>0.548</v>
      </c>
      <c r="X43" s="20">
        <f>IFERROR(__xludf.DUMMYFUNCTION("iferror(PERCENTRANK.INC(FILTER($R$3:$R$425, $Q$3:$Q$425&gt;=4.1), $R43), 0.01)"),0.01)</f>
        <v>0.01</v>
      </c>
    </row>
    <row r="44" ht="14.25" customHeight="1">
      <c r="A44" s="14" t="s">
        <v>1379</v>
      </c>
      <c r="B44" s="14" t="s">
        <v>1232</v>
      </c>
      <c r="C44" s="14">
        <v>55.0</v>
      </c>
      <c r="D44" s="14" t="s">
        <v>1310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1)"),0.759)</f>
        <v>0.759</v>
      </c>
      <c r="W44" s="20">
        <f>IFERROR(__xludf.DUMMYFUNCTION("iferror(PERCENTRANK.INC(FILTER($R$2:$R$425, $Q$2:$Q$425&lt;4.25), $R44), 1)"),0.524)</f>
        <v>0.524</v>
      </c>
      <c r="X44" s="20">
        <f>IFERROR(__xludf.DUMMYFUNCTION("iferror(PERCENTRANK.INC(FILTER($R$3:$R$425, $Q$3:$Q$425&gt;=4.1), $R44), 0.01)"),0.01)</f>
        <v>0.01</v>
      </c>
    </row>
    <row r="45" ht="14.25" customHeight="1">
      <c r="A45" s="14" t="s">
        <v>1380</v>
      </c>
      <c r="B45" s="14" t="s">
        <v>585</v>
      </c>
      <c r="C45" s="14">
        <v>66.0</v>
      </c>
      <c r="D45" s="14" t="s">
        <v>1310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Q45" s="16">
        <v>4.06</v>
      </c>
      <c r="R45" s="20">
        <f t="shared" si="6"/>
        <v>2.086923061</v>
      </c>
      <c r="S45" s="20">
        <f t="shared" si="7"/>
        <v>77.35153196</v>
      </c>
      <c r="T45" s="20">
        <f t="shared" si="8"/>
        <v>32.06758689</v>
      </c>
      <c r="V45" s="20">
        <f>IFERROR(__xludf.DUMMYFUNCTION("iferror(PERCENTRANK.INC(FILTER($R$2:$R$425, $Q$2:$Q$425&lt;3.75), $R45), 1)"),0.985)</f>
        <v>0.985</v>
      </c>
      <c r="W45" s="20">
        <f>IFERROR(__xludf.DUMMYFUNCTION("iferror(PERCENTRANK.INC(FILTER($R$2:$R$425, $Q$2:$Q$425&lt;4.25), $R45), 1)"),0.857)</f>
        <v>0.857</v>
      </c>
      <c r="X45" s="20">
        <f>IFERROR(__xludf.DUMMYFUNCTION("iferror(PERCENTRANK.INC(FILTER($R$3:$R$425, $Q$3:$Q$425&gt;=4.1), $R45), 0.01)"),0.063)</f>
        <v>0.063</v>
      </c>
    </row>
    <row r="46" ht="14.25" customHeight="1">
      <c r="A46" s="14" t="s">
        <v>1381</v>
      </c>
      <c r="B46" s="14" t="s">
        <v>1382</v>
      </c>
      <c r="C46" s="14">
        <v>76.0</v>
      </c>
      <c r="D46" s="14" t="s">
        <v>1310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1)"),0.724)</f>
        <v>0.724</v>
      </c>
      <c r="W46" s="20">
        <f>IFERROR(__xludf.DUMMYFUNCTION("iferror(PERCENTRANK.INC(FILTER($R$2:$R$425, $Q$2:$Q$425&lt;4.25), $R46), 1)"),0.5)</f>
        <v>0.5</v>
      </c>
      <c r="X46" s="20">
        <f>IFERROR(__xludf.DUMMYFUNCTION("iferror(PERCENTRANK.INC(FILTER($R$3:$R$425, $Q$3:$Q$425&gt;=4.1), $R46), 0.01)"),0.01)</f>
        <v>0.01</v>
      </c>
    </row>
    <row r="47" ht="14.25" customHeight="1">
      <c r="A47" s="14" t="s">
        <v>1383</v>
      </c>
      <c r="B47" s="14" t="s">
        <v>1384</v>
      </c>
      <c r="C47" s="14">
        <v>68.0</v>
      </c>
      <c r="D47" s="14" t="s">
        <v>1310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1)"),0.69)</f>
        <v>0.69</v>
      </c>
      <c r="W47" s="20">
        <f>IFERROR(__xludf.DUMMYFUNCTION("iferror(PERCENTRANK.INC(FILTER($R$2:$R$425, $Q$2:$Q$425&lt;4.25), $R47), 1)"),0.476)</f>
        <v>0.476</v>
      </c>
      <c r="X47" s="20">
        <f>IFERROR(__xludf.DUMMYFUNCTION("iferror(PERCENTRANK.INC(FILTER($R$3:$R$425, $Q$3:$Q$425&gt;=4.1), $R47), 0.01)"),0.01)</f>
        <v>0.01</v>
      </c>
    </row>
    <row r="48" ht="14.25" customHeight="1">
      <c r="A48" s="14" t="s">
        <v>1385</v>
      </c>
      <c r="B48" s="14" t="s">
        <v>1230</v>
      </c>
      <c r="C48" s="14">
        <v>79.0</v>
      </c>
      <c r="D48" s="14" t="s">
        <v>1310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1)"),0.655)</f>
        <v>0.655</v>
      </c>
      <c r="W48" s="20">
        <f>IFERROR(__xludf.DUMMYFUNCTION("iferror(PERCENTRANK.INC(FILTER($R$2:$R$425, $Q$2:$Q$425&lt;4.25), $R48), 1)"),0.452)</f>
        <v>0.452</v>
      </c>
      <c r="X48" s="20">
        <f>IFERROR(__xludf.DUMMYFUNCTION("iferror(PERCENTRANK.INC(FILTER($R$3:$R$425, $Q$3:$Q$425&gt;=4.1), $R48), 0.01)"),0.01)</f>
        <v>0.01</v>
      </c>
    </row>
    <row r="49" ht="14.25" customHeight="1">
      <c r="A49" s="14" t="s">
        <v>1386</v>
      </c>
      <c r="B49" s="14" t="s">
        <v>1387</v>
      </c>
      <c r="C49" s="14">
        <v>68.0</v>
      </c>
      <c r="D49" s="14" t="s">
        <v>1310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1)"),0.621)</f>
        <v>0.621</v>
      </c>
      <c r="W49" s="20">
        <f>IFERROR(__xludf.DUMMYFUNCTION("iferror(PERCENTRANK.INC(FILTER($R$2:$R$425, $Q$2:$Q$425&lt;4.25), $R49), 1)"),0.429)</f>
        <v>0.429</v>
      </c>
      <c r="X49" s="20">
        <f>IFERROR(__xludf.DUMMYFUNCTION("iferror(PERCENTRANK.INC(FILTER($R$3:$R$425, $Q$3:$Q$425&gt;=4.1), $R49), 0.01)"),0.01)</f>
        <v>0.01</v>
      </c>
    </row>
    <row r="50" ht="14.25" customHeight="1">
      <c r="A50" s="14" t="s">
        <v>1388</v>
      </c>
      <c r="B50" s="14" t="s">
        <v>1389</v>
      </c>
      <c r="C50" s="14">
        <v>70.0</v>
      </c>
      <c r="D50" s="14" t="s">
        <v>1310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1)"),0.586)</f>
        <v>0.586</v>
      </c>
      <c r="W50" s="20">
        <f>IFERROR(__xludf.DUMMYFUNCTION("iferror(PERCENTRANK.INC(FILTER($R$2:$R$425, $Q$2:$Q$425&lt;4.25), $R50), 1)"),0.405)</f>
        <v>0.405</v>
      </c>
      <c r="X50" s="20">
        <f>IFERROR(__xludf.DUMMYFUNCTION("iferror(PERCENTRANK.INC(FILTER($R$3:$R$425, $Q$3:$Q$425&gt;=4.1), $R50), 0.01)"),0.01)</f>
        <v>0.01</v>
      </c>
    </row>
    <row r="51" ht="14.25" customHeight="1">
      <c r="A51" s="14" t="s">
        <v>1390</v>
      </c>
      <c r="B51" s="14" t="s">
        <v>1232</v>
      </c>
      <c r="C51" s="14">
        <v>76.0</v>
      </c>
      <c r="D51" s="14" t="s">
        <v>1310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1)"),0.552)</f>
        <v>0.552</v>
      </c>
      <c r="W51" s="20">
        <f>IFERROR(__xludf.DUMMYFUNCTION("iferror(PERCENTRANK.INC(FILTER($R$2:$R$425, $Q$2:$Q$425&lt;4.25), $R51), 1)"),0.381)</f>
        <v>0.381</v>
      </c>
      <c r="X51" s="20">
        <f>IFERROR(__xludf.DUMMYFUNCTION("iferror(PERCENTRANK.INC(FILTER($R$3:$R$425, $Q$3:$Q$425&gt;=4.1), $R51), 0.01)"),0.01)</f>
        <v>0.01</v>
      </c>
    </row>
    <row r="52" ht="14.25" customHeight="1">
      <c r="A52" s="14" t="s">
        <v>1391</v>
      </c>
      <c r="B52" s="14" t="s">
        <v>1282</v>
      </c>
      <c r="C52" s="14">
        <v>72.0</v>
      </c>
      <c r="D52" s="14" t="s">
        <v>1310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1)"),0.994)</f>
        <v>0.994</v>
      </c>
      <c r="W52" s="20">
        <f>IFERROR(__xludf.DUMMYFUNCTION("iferror(PERCENTRANK.INC(FILTER($R$2:$R$425, $Q$2:$Q$425&lt;4.25), $R52), 1)"),0.961)</f>
        <v>0.961</v>
      </c>
      <c r="X52" s="20">
        <f>IFERROR(__xludf.DUMMYFUNCTION("iferror(PERCENTRANK.INC(FILTER($R$3:$R$425, $Q$3:$Q$425&gt;=4.1), $R52), 0.01)"),0.208)</f>
        <v>0.208</v>
      </c>
    </row>
    <row r="53" ht="14.25" customHeight="1">
      <c r="A53" s="14" t="s">
        <v>1392</v>
      </c>
      <c r="B53" s="14" t="s">
        <v>235</v>
      </c>
      <c r="C53" s="14">
        <v>79.0</v>
      </c>
      <c r="D53" s="14" t="s">
        <v>1310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1)"),0.517)</f>
        <v>0.517</v>
      </c>
      <c r="W53" s="20">
        <f>IFERROR(__xludf.DUMMYFUNCTION("iferror(PERCENTRANK.INC(FILTER($R$2:$R$425, $Q$2:$Q$425&lt;4.25), $R53), 1)"),0.357)</f>
        <v>0.357</v>
      </c>
      <c r="X53" s="20">
        <f>IFERROR(__xludf.DUMMYFUNCTION("iferror(PERCENTRANK.INC(FILTER($R$3:$R$425, $Q$3:$Q$425&gt;=4.1), $R53), 0.01)"),0.01)</f>
        <v>0.01</v>
      </c>
    </row>
    <row r="54" ht="14.25" customHeight="1">
      <c r="A54" s="14" t="s">
        <v>1393</v>
      </c>
      <c r="B54" s="14" t="s">
        <v>1389</v>
      </c>
      <c r="C54" s="14">
        <v>75.0</v>
      </c>
      <c r="D54" s="14" t="s">
        <v>1310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1)"),0.483)</f>
        <v>0.483</v>
      </c>
      <c r="W54" s="20">
        <f>IFERROR(__xludf.DUMMYFUNCTION("iferror(PERCENTRANK.INC(FILTER($R$2:$R$425, $Q$2:$Q$425&lt;4.25), $R54), 1)"),0.333)</f>
        <v>0.333</v>
      </c>
      <c r="X54" s="20">
        <f>IFERROR(__xludf.DUMMYFUNCTION("iferror(PERCENTRANK.INC(FILTER($R$3:$R$425, $Q$3:$Q$425&gt;=4.1), $R54), 0.01)"),0.01)</f>
        <v>0.01</v>
      </c>
    </row>
    <row r="55" ht="14.25" customHeight="1">
      <c r="A55" s="14" t="s">
        <v>1394</v>
      </c>
      <c r="B55" s="14" t="s">
        <v>1395</v>
      </c>
      <c r="C55" s="14">
        <v>79.0</v>
      </c>
      <c r="D55" s="14" t="s">
        <v>1310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1)"),0.414)</f>
        <v>0.414</v>
      </c>
      <c r="W55" s="20">
        <f>IFERROR(__xludf.DUMMYFUNCTION("iferror(PERCENTRANK.INC(FILTER($R$2:$R$425, $Q$2:$Q$425&lt;4.25), $R55), 1)"),0.286)</f>
        <v>0.286</v>
      </c>
      <c r="X55" s="20">
        <f>IFERROR(__xludf.DUMMYFUNCTION("iferror(PERCENTRANK.INC(FILTER($R$3:$R$425, $Q$3:$Q$425&gt;=4.1), $R55), 0.01)"),0.01)</f>
        <v>0.01</v>
      </c>
    </row>
    <row r="56" ht="14.25" customHeight="1">
      <c r="A56" s="14" t="s">
        <v>1396</v>
      </c>
      <c r="B56" s="14" t="s">
        <v>1348</v>
      </c>
      <c r="C56" s="14">
        <v>75.0</v>
      </c>
      <c r="D56" s="14" t="s">
        <v>1310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1)"),0.448)</f>
        <v>0.448</v>
      </c>
      <c r="W56" s="20">
        <f>IFERROR(__xludf.DUMMYFUNCTION("iferror(PERCENTRANK.INC(FILTER($R$2:$R$425, $Q$2:$Q$425&lt;4.25), $R56), 1)"),0.31)</f>
        <v>0.31</v>
      </c>
      <c r="X56" s="20">
        <f>IFERROR(__xludf.DUMMYFUNCTION("iferror(PERCENTRANK.INC(FILTER($R$3:$R$425, $Q$3:$Q$425&gt;=4.1), $R56), 0.01)"),0.01)</f>
        <v>0.01</v>
      </c>
    </row>
    <row r="57" ht="14.25" customHeight="1">
      <c r="A57" s="14" t="s">
        <v>1397</v>
      </c>
      <c r="B57" s="14" t="s">
        <v>1320</v>
      </c>
      <c r="C57" s="14">
        <v>68.0</v>
      </c>
      <c r="D57" s="14" t="s">
        <v>1310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1)"),0.379)</f>
        <v>0.379</v>
      </c>
      <c r="W57" s="20">
        <f>IFERROR(__xludf.DUMMYFUNCTION("iferror(PERCENTRANK.INC(FILTER($R$2:$R$425, $Q$2:$Q$425&lt;4.25), $R57), 1)"),0.262)</f>
        <v>0.262</v>
      </c>
      <c r="X57" s="20">
        <f>IFERROR(__xludf.DUMMYFUNCTION("iferror(PERCENTRANK.INC(FILTER($R$3:$R$425, $Q$3:$Q$425&gt;=4.1), $R57), 0.01)"),0.01)</f>
        <v>0.01</v>
      </c>
    </row>
    <row r="58" ht="14.25" customHeight="1">
      <c r="A58" s="14" t="s">
        <v>1398</v>
      </c>
      <c r="B58" s="14" t="s">
        <v>1369</v>
      </c>
      <c r="C58" s="14">
        <v>70.0</v>
      </c>
      <c r="D58" s="14" t="s">
        <v>1310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1)"),0.345)</f>
        <v>0.345</v>
      </c>
      <c r="W58" s="20">
        <f>IFERROR(__xludf.DUMMYFUNCTION("iferror(PERCENTRANK.INC(FILTER($R$2:$R$425, $Q$2:$Q$425&lt;4.25), $R58), 1)"),0.238)</f>
        <v>0.238</v>
      </c>
      <c r="X58" s="20">
        <f>IFERROR(__xludf.DUMMYFUNCTION("iferror(PERCENTRANK.INC(FILTER($R$3:$R$425, $Q$3:$Q$425&gt;=4.1), $R58), 0.01)"),0.01)</f>
        <v>0.01</v>
      </c>
    </row>
    <row r="59" ht="14.25" customHeight="1">
      <c r="A59" s="14" t="s">
        <v>1399</v>
      </c>
      <c r="B59" s="14" t="s">
        <v>1400</v>
      </c>
      <c r="C59" s="14">
        <v>72.0</v>
      </c>
      <c r="D59" s="14" t="s">
        <v>1310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1)"),0.31)</f>
        <v>0.31</v>
      </c>
      <c r="W59" s="20">
        <f>IFERROR(__xludf.DUMMYFUNCTION("iferror(PERCENTRANK.INC(FILTER($R$2:$R$425, $Q$2:$Q$425&lt;4.25), $R59), 1)"),0.214)</f>
        <v>0.214</v>
      </c>
      <c r="X59" s="20">
        <f>IFERROR(__xludf.DUMMYFUNCTION("iferror(PERCENTRANK.INC(FILTER($R$3:$R$425, $Q$3:$Q$425&gt;=4.1), $R59), 0.01)"),0.01)</f>
        <v>0.01</v>
      </c>
    </row>
    <row r="60" ht="14.25" customHeight="1">
      <c r="A60" s="14" t="s">
        <v>1401</v>
      </c>
      <c r="B60" s="14" t="s">
        <v>235</v>
      </c>
      <c r="C60" s="14">
        <v>72.0</v>
      </c>
      <c r="D60" s="14" t="s">
        <v>1310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1)"),0.241)</f>
        <v>0.241</v>
      </c>
      <c r="W60" s="20">
        <f>IFERROR(__xludf.DUMMYFUNCTION("iferror(PERCENTRANK.INC(FILTER($R$2:$R$425, $Q$2:$Q$425&lt;4.25), $R60), 1)"),0.167)</f>
        <v>0.167</v>
      </c>
      <c r="X60" s="20">
        <f>IFERROR(__xludf.DUMMYFUNCTION("iferror(PERCENTRANK.INC(FILTER($R$3:$R$425, $Q$3:$Q$425&gt;=4.1), $R60), 0.01)"),0.01)</f>
        <v>0.01</v>
      </c>
    </row>
    <row r="61" ht="14.25" customHeight="1">
      <c r="A61" s="14" t="s">
        <v>1402</v>
      </c>
      <c r="B61" s="14" t="s">
        <v>1403</v>
      </c>
      <c r="C61" s="14">
        <v>78.0</v>
      </c>
      <c r="D61" s="14" t="s">
        <v>1310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R61" s="20">
        <f t="shared" si="6"/>
        <v>-0.3156794631</v>
      </c>
      <c r="S61" s="20">
        <f t="shared" si="7"/>
        <v>6.809349651</v>
      </c>
      <c r="T61" s="20">
        <f t="shared" si="8"/>
        <v>-22.28057207</v>
      </c>
      <c r="V61" s="20">
        <f>IFERROR(__xludf.DUMMYFUNCTION("iferror(PERCENTRANK.INC(FILTER($R$2:$R$425, $Q$2:$Q$425&lt;3.75), $R61), 1)"),0.276)</f>
        <v>0.276</v>
      </c>
      <c r="W61" s="20">
        <f>IFERROR(__xludf.DUMMYFUNCTION("iferror(PERCENTRANK.INC(FILTER($R$2:$R$425, $Q$2:$Q$425&lt;4.25), $R61), 1)"),0.19)</f>
        <v>0.19</v>
      </c>
      <c r="X61" s="20">
        <f>IFERROR(__xludf.DUMMYFUNCTION("iferror(PERCENTRANK.INC(FILTER($R$3:$R$425, $Q$3:$Q$425&gt;=4.1), $R61), 0.01)"),0.01)</f>
        <v>0.01</v>
      </c>
    </row>
    <row r="62" ht="14.25" customHeight="1">
      <c r="A62" s="14" t="s">
        <v>1404</v>
      </c>
      <c r="B62" s="14" t="s">
        <v>1292</v>
      </c>
      <c r="C62" s="14">
        <v>55.0</v>
      </c>
      <c r="D62" s="14" t="s">
        <v>1310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1)"),0.172)</f>
        <v>0.172</v>
      </c>
      <c r="W62" s="20">
        <f>IFERROR(__xludf.DUMMYFUNCTION("iferror(PERCENTRANK.INC(FILTER($R$2:$R$425, $Q$2:$Q$425&lt;4.25), $R62), 1)"),0.119)</f>
        <v>0.119</v>
      </c>
      <c r="X62" s="20">
        <f>IFERROR(__xludf.DUMMYFUNCTION("iferror(PERCENTRANK.INC(FILTER($R$3:$R$425, $Q$3:$Q$425&gt;=4.1), $R62), 0.01)"),0.01)</f>
        <v>0.01</v>
      </c>
    </row>
    <row r="63" ht="14.25" customHeight="1">
      <c r="A63" s="14" t="s">
        <v>1405</v>
      </c>
      <c r="B63" s="14" t="s">
        <v>1273</v>
      </c>
      <c r="C63" s="14">
        <v>66.0</v>
      </c>
      <c r="D63" s="14" t="s">
        <v>1310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1)"),0.207)</f>
        <v>0.207</v>
      </c>
      <c r="W63" s="20">
        <f>IFERROR(__xludf.DUMMYFUNCTION("iferror(PERCENTRANK.INC(FILTER($R$2:$R$425, $Q$2:$Q$425&lt;4.25), $R63), 1)"),0.143)</f>
        <v>0.143</v>
      </c>
      <c r="X63" s="20">
        <f>IFERROR(__xludf.DUMMYFUNCTION("iferror(PERCENTRANK.INC(FILTER($R$3:$R$425, $Q$3:$Q$425&gt;=4.1), $R63), 0.01)"),0.01)</f>
        <v>0.01</v>
      </c>
    </row>
    <row r="64" ht="14.25" customHeight="1">
      <c r="A64" s="14" t="s">
        <v>1406</v>
      </c>
      <c r="B64" s="14" t="s">
        <v>711</v>
      </c>
      <c r="C64" s="14">
        <v>57.0</v>
      </c>
      <c r="D64" s="14" t="s">
        <v>1310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1)"),0.138)</f>
        <v>0.138</v>
      </c>
      <c r="W64" s="20">
        <f>IFERROR(__xludf.DUMMYFUNCTION("iferror(PERCENTRANK.INC(FILTER($R$2:$R$425, $Q$2:$Q$425&lt;4.25), $R64), 1)"),0.095)</f>
        <v>0.095</v>
      </c>
      <c r="X64" s="20">
        <f>IFERROR(__xludf.DUMMYFUNCTION("iferror(PERCENTRANK.INC(FILTER($R$3:$R$425, $Q$3:$Q$425&gt;=4.1), $R64), 0.01)"),0.01)</f>
        <v>0.01</v>
      </c>
    </row>
    <row r="65" ht="14.25" customHeight="1">
      <c r="A65" s="14" t="s">
        <v>1407</v>
      </c>
      <c r="B65" s="14" t="s">
        <v>607</v>
      </c>
      <c r="C65" s="14">
        <v>77.0</v>
      </c>
      <c r="D65" s="14" t="s">
        <v>1310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1)"),0.103)</f>
        <v>0.103</v>
      </c>
      <c r="W65" s="20">
        <f>IFERROR(__xludf.DUMMYFUNCTION("iferror(PERCENTRANK.INC(FILTER($R$2:$R$425, $Q$2:$Q$425&lt;4.25), $R65), 1)"),0.071)</f>
        <v>0.071</v>
      </c>
      <c r="X65" s="20">
        <f>IFERROR(__xludf.DUMMYFUNCTION("iferror(PERCENTRANK.INC(FILTER($R$3:$R$425, $Q$3:$Q$425&gt;=4.1), $R65), 0.01)"),0.01)</f>
        <v>0.01</v>
      </c>
    </row>
    <row r="66" ht="14.25" customHeight="1">
      <c r="A66" s="14" t="s">
        <v>1408</v>
      </c>
      <c r="B66" s="14" t="s">
        <v>1219</v>
      </c>
      <c r="C66" s="14">
        <v>77.0</v>
      </c>
      <c r="D66" s="14" t="s">
        <v>1310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1)"),0.034)</f>
        <v>0.034</v>
      </c>
      <c r="W66" s="20">
        <f>IFERROR(__xludf.DUMMYFUNCTION("iferror(PERCENTRANK.INC(FILTER($R$2:$R$425, $Q$2:$Q$425&lt;4.25), $R66), 1)"),0.024)</f>
        <v>0.024</v>
      </c>
      <c r="X66" s="20">
        <f>IFERROR(__xludf.DUMMYFUNCTION("iferror(PERCENTRANK.INC(FILTER($R$3:$R$425, $Q$3:$Q$425&gt;=4.1), $R66), 0.01)"),0.01)</f>
        <v>0.01</v>
      </c>
    </row>
    <row r="67" ht="14.25" customHeight="1">
      <c r="A67" s="14" t="s">
        <v>1409</v>
      </c>
      <c r="B67" s="14" t="s">
        <v>1328</v>
      </c>
      <c r="C67" s="14">
        <v>51.0</v>
      </c>
      <c r="D67" s="14" t="s">
        <v>1310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1)"),0.069)</f>
        <v>0.069</v>
      </c>
      <c r="W67" s="20">
        <f>IFERROR(__xludf.DUMMYFUNCTION("iferror(PERCENTRANK.INC(FILTER($R$2:$R$425, $Q$2:$Q$425&lt;4.25), $R67), 1)"),0.048)</f>
        <v>0.048</v>
      </c>
      <c r="X67" s="20">
        <f>IFERROR(__xludf.DUMMYFUNCTION("iferror(PERCENTRANK.INC(FILTER($R$3:$R$425, $Q$3:$Q$425&gt;=4.1), $R67), 0.01)"),0.01)</f>
        <v>0.01</v>
      </c>
    </row>
    <row r="68" ht="14.25" customHeight="1">
      <c r="A68" s="14" t="s">
        <v>1410</v>
      </c>
      <c r="B68" s="14" t="s">
        <v>1367</v>
      </c>
      <c r="C68" s="14">
        <v>79.0</v>
      </c>
      <c r="D68" s="14" t="s">
        <v>1310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$Q$2:$Q$425&lt;4.25), $R68), 1)"),0.0)</f>
        <v>0</v>
      </c>
      <c r="X68" s="20">
        <f>IFERROR(__xludf.DUMMYFUNCTION("iferror(PERCENTRANK.INC(FILTER($R$3:$R$425, $Q$3:$Q$425&gt;=4.1), $R68), 0.01)"),0.01)</f>
        <v>0.01</v>
      </c>
    </row>
    <row r="69" ht="14.25" customHeight="1">
      <c r="A69" s="16" t="s">
        <v>1411</v>
      </c>
      <c r="B69" s="16" t="s">
        <v>1412</v>
      </c>
      <c r="C69" s="16">
        <v>54.0</v>
      </c>
      <c r="D69" s="16" t="s">
        <v>1310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1)"),0.972)</f>
        <v>0.972</v>
      </c>
      <c r="W69" s="20">
        <f>IFERROR(__xludf.DUMMYFUNCTION("iferror(PERCENTRANK.INC(FILTER($R$2:$R$425, $Q$2:$Q$425&lt;4.25), $R69), 1)"),0.758)</f>
        <v>0.758</v>
      </c>
      <c r="X69" s="20">
        <f>IFERROR(__xludf.DUMMYFUNCTION("iferror(PERCENTRANK.INC(FILTER($R$3:$R$425, $Q$3:$Q$425&gt;=4.1), $R69), 0.01)"),0.0)</f>
        <v>0</v>
      </c>
    </row>
    <row r="70" ht="14.25" customHeight="1">
      <c r="A70" s="16" t="s">
        <v>1413</v>
      </c>
      <c r="B70" s="16" t="s">
        <v>1414</v>
      </c>
      <c r="C70" s="16">
        <v>55.0</v>
      </c>
      <c r="D70" s="16" t="s">
        <v>1310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$Q$2:$Q$425&lt;4.25), $R70), 1)"),1.0)</f>
        <v>1</v>
      </c>
      <c r="X70" s="20">
        <f>IFERROR(__xludf.DUMMYFUNCTION("iferror(PERCENTRANK.INC(FILTER($R$3:$R$425, $Q$3:$Q$425&gt;=4.1), $R70), 0.01)"),0.5)</f>
        <v>0.5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1415</v>
      </c>
    </row>
    <row r="2" ht="14.25" customHeight="1">
      <c r="A2" s="14" t="s">
        <v>71</v>
      </c>
      <c r="B2" s="14" t="s">
        <v>1294</v>
      </c>
      <c r="C2" s="14" t="s">
        <v>1295</v>
      </c>
      <c r="D2" s="14" t="s">
        <v>1296</v>
      </c>
      <c r="E2" s="14" t="s">
        <v>1216</v>
      </c>
      <c r="F2" s="14" t="s">
        <v>1297</v>
      </c>
      <c r="G2" s="14" t="s">
        <v>1298</v>
      </c>
      <c r="H2" s="14" t="s">
        <v>1299</v>
      </c>
      <c r="I2" s="14" t="s">
        <v>1300</v>
      </c>
      <c r="J2" s="14" t="s">
        <v>1301</v>
      </c>
      <c r="K2" s="14" t="s">
        <v>1302</v>
      </c>
      <c r="L2" s="14" t="s">
        <v>1303</v>
      </c>
      <c r="M2" s="14" t="s">
        <v>1304</v>
      </c>
      <c r="N2" s="20" t="s">
        <v>1305</v>
      </c>
      <c r="P2" s="14" t="s">
        <v>89</v>
      </c>
      <c r="Q2" s="14" t="s">
        <v>1306</v>
      </c>
      <c r="R2" s="20" t="s">
        <v>1307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1416</v>
      </c>
      <c r="B3" s="14" t="s">
        <v>1273</v>
      </c>
      <c r="C3" s="14">
        <v>65.0</v>
      </c>
      <c r="D3" s="14" t="s">
        <v>1417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1" si="1">I3*0.6+H3*0.4</f>
        <v>0.4</v>
      </c>
      <c r="K3" s="20">
        <f t="shared" ref="K3:K78" si="2">(F3 - AVERAGE($F$3:$F$81))/_xlfn.STDEV.P($F$3:$F$81)</f>
        <v>-0.3773077407</v>
      </c>
      <c r="L3" s="20">
        <f t="shared" ref="L3:L78" si="3">(J3 - AVERAGE($J$3:$J$81))/_xlfn.STDEV.P($J$3:$J$81)</f>
        <v>4.903830974</v>
      </c>
      <c r="M3" s="20">
        <f t="shared" ref="M3:M78" si="4">K3*0.4+L3*0.6</f>
        <v>2.791375488</v>
      </c>
      <c r="N3" s="20">
        <f t="shared" ref="N3:N78" si="5">100*(M3-MIN($M$3:$M$81))/(MAX($M$3:$M$81) - MIN($M$3:$M$81))</f>
        <v>100</v>
      </c>
      <c r="P3" s="14">
        <v>4.35</v>
      </c>
      <c r="Q3" s="20">
        <f t="shared" ref="Q3:Q81" si="6">P3*0.5+K3*0.3+L3*0.2</f>
        <v>3.042573873</v>
      </c>
      <c r="R3" s="20">
        <f t="shared" ref="R3:R4" si="7">100*(Q3-MIN($Q$3:$Q$80))/(MAX($Q$3:$Q$80) - MIN($Q$3:$Q$80))</f>
        <v>80.8907589</v>
      </c>
      <c r="S3" s="20">
        <f t="shared" ref="S3:S81" si="8">R3-N3</f>
        <v>-19.1092411</v>
      </c>
      <c r="U3" s="20">
        <f>IFERROR(__xludf.DUMMYFUNCTION("iferror(PERCENTRANK.INC(FILTER($Q$3:$Q$426, $P$3:$P$426&lt;3.75), $Q3), 1)"),1.0)</f>
        <v>1</v>
      </c>
      <c r="V3" s="20">
        <f>IFERROR(__xludf.DUMMYFUNCTION("iferror(PERCENTRANK.INC(FILTER($Q$3:$Q$426, $P$3:$P$426&lt;4.25), $Q3), 1)"),1.0)</f>
        <v>1</v>
      </c>
      <c r="W3" s="20">
        <f>IFERROR(__xludf.DUMMYFUNCTION("iferror(PERCENTRANK.INC(FILTER($Q$3:$Q$426, $P$3:$P$426&gt;=4.1), $Q3), 0)"),0.842)</f>
        <v>0.842</v>
      </c>
    </row>
    <row r="4" ht="14.25" customHeight="1">
      <c r="A4" s="14" t="s">
        <v>1418</v>
      </c>
      <c r="B4" s="14" t="s">
        <v>1330</v>
      </c>
      <c r="C4" s="14">
        <v>64.0</v>
      </c>
      <c r="D4" s="14" t="s">
        <v>1417</v>
      </c>
      <c r="E4" s="14" t="s">
        <v>1331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1.770966963</v>
      </c>
      <c r="L4" s="20">
        <f t="shared" si="3"/>
        <v>2.638663982</v>
      </c>
      <c r="M4" s="20">
        <f t="shared" si="4"/>
        <v>2.291585175</v>
      </c>
      <c r="N4" s="20">
        <f t="shared" si="5"/>
        <v>87.40336854</v>
      </c>
      <c r="P4" s="14">
        <v>5.7</v>
      </c>
      <c r="Q4" s="20">
        <f t="shared" si="6"/>
        <v>3.909022885</v>
      </c>
      <c r="R4" s="20">
        <f t="shared" si="7"/>
        <v>100</v>
      </c>
      <c r="S4" s="20">
        <f t="shared" si="8"/>
        <v>12.59663146</v>
      </c>
      <c r="U4" s="20">
        <f>IFERROR(__xludf.DUMMYFUNCTION("iferror(PERCENTRANK.INC(FILTER($Q$3:$Q$426, $P$3:$P$426&lt;3.75), $Q4), 1)"),1.0)</f>
        <v>1</v>
      </c>
      <c r="V4" s="20">
        <f>IFERROR(__xludf.DUMMYFUNCTION("iferror(PERCENTRANK.INC(FILTER($Q$3:$Q$426, $P$3:$P$426&lt;4.25), $Q4), 1)"),1.0)</f>
        <v>1</v>
      </c>
      <c r="W4" s="20">
        <f>IFERROR(__xludf.DUMMYFUNCTION("iferror(PERCENTRANK.INC(FILTER($Q$3:$Q$426, $P$3:$P$426&gt;=4.1), $Q4), 0)"),1.0)</f>
        <v>1</v>
      </c>
    </row>
    <row r="5" ht="14.25" customHeight="1">
      <c r="A5" s="14" t="s">
        <v>1419</v>
      </c>
      <c r="B5" s="14" t="s">
        <v>1324</v>
      </c>
      <c r="C5" s="14">
        <v>54.0</v>
      </c>
      <c r="D5" s="14" t="s">
        <v>1417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0.2940281042</v>
      </c>
      <c r="L5" s="20">
        <f t="shared" si="3"/>
        <v>1.75229429</v>
      </c>
      <c r="M5" s="20">
        <f t="shared" si="4"/>
        <v>1.168987815</v>
      </c>
      <c r="N5" s="20">
        <f t="shared" si="5"/>
        <v>59.1096125</v>
      </c>
      <c r="P5" s="14">
        <v>5.23</v>
      </c>
      <c r="Q5" s="20">
        <f t="shared" si="6"/>
        <v>3.053667289</v>
      </c>
      <c r="R5" s="20">
        <f t="shared" ref="R5:R81" si="9">100*(Q5-MIN($Q$3:$Q$474))/(MAX($Q$3:$Q$474) - MIN($Q$3:$Q$474))</f>
        <v>81.13542047</v>
      </c>
      <c r="S5" s="20">
        <f t="shared" si="8"/>
        <v>22.02580797</v>
      </c>
      <c r="U5" s="20">
        <f>IFERROR(__xludf.DUMMYFUNCTION("iferror(PERCENTRANK.INC(FILTER($Q$3:$Q$426, $P$3:$P$426&lt;3.75), $Q5), 1)"),1.0)</f>
        <v>1</v>
      </c>
      <c r="V5" s="20">
        <f>IFERROR(__xludf.DUMMYFUNCTION("iferror(PERCENTRANK.INC(FILTER($Q$3:$Q$426, $P$3:$P$426&lt;4.25), $Q5), 1)"),1.0)</f>
        <v>1</v>
      </c>
      <c r="W5" s="20">
        <f>IFERROR(__xludf.DUMMYFUNCTION("iferror(PERCENTRANK.INC(FILTER($Q$3:$Q$426, $P$3:$P$426&gt;=4.1), $Q5), 0)"),0.895)</f>
        <v>0.895</v>
      </c>
    </row>
    <row r="6" ht="14.25" customHeight="1">
      <c r="A6" s="14" t="s">
        <v>1420</v>
      </c>
      <c r="B6" s="14" t="s">
        <v>1421</v>
      </c>
      <c r="C6" s="14">
        <v>71.0</v>
      </c>
      <c r="D6" s="14" t="s">
        <v>1417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0.5625624422</v>
      </c>
      <c r="L6" s="20">
        <f t="shared" si="3"/>
        <v>1.555323247</v>
      </c>
      <c r="M6" s="20">
        <f t="shared" si="4"/>
        <v>1.158218925</v>
      </c>
      <c r="N6" s="20">
        <f t="shared" si="5"/>
        <v>58.83819519</v>
      </c>
      <c r="P6" s="14">
        <v>5.19</v>
      </c>
      <c r="Q6" s="20">
        <f t="shared" si="6"/>
        <v>3.074833382</v>
      </c>
      <c r="R6" s="20">
        <f t="shared" si="9"/>
        <v>81.60223151</v>
      </c>
      <c r="S6" s="20">
        <f t="shared" si="8"/>
        <v>22.76403633</v>
      </c>
      <c r="U6" s="20">
        <f>IFERROR(__xludf.DUMMYFUNCTION("iferror(PERCENTRANK.INC(FILTER($Q$3:$Q$426, $P$3:$P$426&lt;3.75), $Q6), 1)"),1.0)</f>
        <v>1</v>
      </c>
      <c r="V6" s="20">
        <f>IFERROR(__xludf.DUMMYFUNCTION("iferror(PERCENTRANK.INC(FILTER($Q$3:$Q$426, $P$3:$P$426&lt;4.25), $Q6), 1)"),1.0)</f>
        <v>1</v>
      </c>
      <c r="W6" s="20">
        <f>IFERROR(__xludf.DUMMYFUNCTION("iferror(PERCENTRANK.INC(FILTER($Q$3:$Q$426, $P$3:$P$426&gt;=4.1), $Q6), 0)"),0.947)</f>
        <v>0.947</v>
      </c>
    </row>
    <row r="7" ht="14.25" customHeight="1">
      <c r="A7" s="14" t="s">
        <v>1422</v>
      </c>
      <c r="B7" s="14" t="s">
        <v>1382</v>
      </c>
      <c r="C7" s="14">
        <v>75.0</v>
      </c>
      <c r="D7" s="14" t="s">
        <v>1417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1.636699794</v>
      </c>
      <c r="L7" s="20">
        <f t="shared" si="3"/>
        <v>0.6689535542</v>
      </c>
      <c r="M7" s="20">
        <f t="shared" si="4"/>
        <v>1.05605205</v>
      </c>
      <c r="N7" s="20">
        <f t="shared" si="5"/>
        <v>56.26319837</v>
      </c>
      <c r="P7" s="14">
        <v>4.45</v>
      </c>
      <c r="Q7" s="20">
        <f t="shared" si="6"/>
        <v>2.849800649</v>
      </c>
      <c r="R7" s="20">
        <f t="shared" si="9"/>
        <v>76.6392104</v>
      </c>
      <c r="S7" s="20">
        <f t="shared" si="8"/>
        <v>20.37601203</v>
      </c>
      <c r="U7" s="20">
        <f>IFERROR(__xludf.DUMMYFUNCTION("iferror(PERCENTRANK.INC(FILTER($Q$3:$Q$426, $P$3:$P$426&lt;3.75), $Q7), 1)"),1.0)</f>
        <v>1</v>
      </c>
      <c r="V7" s="20">
        <f>IFERROR(__xludf.DUMMYFUNCTION("iferror(PERCENTRANK.INC(FILTER($Q$3:$Q$426, $P$3:$P$426&lt;4.25), $Q7), 1)"),1.0)</f>
        <v>1</v>
      </c>
      <c r="W7" s="20">
        <f>IFERROR(__xludf.DUMMYFUNCTION("iferror(PERCENTRANK.INC(FILTER($Q$3:$Q$426, $P$3:$P$426&gt;=4.1), $Q7), 0)"),0.737)</f>
        <v>0.737</v>
      </c>
    </row>
    <row r="8" ht="14.25" customHeight="1">
      <c r="A8" s="14" t="s">
        <v>1423</v>
      </c>
      <c r="B8" s="14" t="s">
        <v>607</v>
      </c>
      <c r="C8" s="14">
        <v>68.0</v>
      </c>
      <c r="D8" s="14" t="s">
        <v>1417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-0.1087734027</v>
      </c>
      <c r="L8" s="20">
        <f t="shared" si="3"/>
        <v>1.732597185</v>
      </c>
      <c r="M8" s="20">
        <f t="shared" si="4"/>
        <v>0.9960489501</v>
      </c>
      <c r="N8" s="20">
        <f t="shared" si="5"/>
        <v>54.75089027</v>
      </c>
      <c r="P8" s="14">
        <v>2.93</v>
      </c>
      <c r="Q8" s="20">
        <f t="shared" si="6"/>
        <v>1.778887416</v>
      </c>
      <c r="R8" s="20">
        <f t="shared" si="9"/>
        <v>53.0205798</v>
      </c>
      <c r="S8" s="20">
        <f t="shared" si="8"/>
        <v>-1.730310469</v>
      </c>
      <c r="U8" s="20">
        <f>IFERROR(__xludf.DUMMYFUNCTION("iferror(PERCENTRANK.INC(FILTER($Q$3:$Q$426, $P$3:$P$426&lt;3.75), $Q8), 1)"),0.891)</f>
        <v>0.891</v>
      </c>
      <c r="V8" s="20">
        <f>IFERROR(__xludf.DUMMYFUNCTION("iferror(PERCENTRANK.INC(FILTER($Q$3:$Q$426, $P$3:$P$426&lt;4.25), $Q8), 1)"),0.778)</f>
        <v>0.778</v>
      </c>
      <c r="W8" s="20">
        <f>IFERROR(__xludf.DUMMYFUNCTION("iferror(PERCENTRANK.INC(FILTER($Q$3:$Q$426, $P$3:$P$426&gt;=4.1), $Q8), 0)"),0.009)</f>
        <v>0.009</v>
      </c>
    </row>
    <row r="9" ht="14.25" customHeight="1">
      <c r="A9" s="14" t="s">
        <v>1424</v>
      </c>
      <c r="B9" s="14" t="s">
        <v>1230</v>
      </c>
      <c r="C9" s="14">
        <v>68.0</v>
      </c>
      <c r="D9" s="14" t="s">
        <v>1417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0.8310967801</v>
      </c>
      <c r="L9" s="20">
        <f t="shared" si="3"/>
        <v>1.043198536</v>
      </c>
      <c r="M9" s="20">
        <f t="shared" si="4"/>
        <v>0.9583578334</v>
      </c>
      <c r="N9" s="20">
        <f t="shared" si="5"/>
        <v>53.80092967</v>
      </c>
      <c r="P9" s="14">
        <v>4.14</v>
      </c>
      <c r="Q9" s="20">
        <f t="shared" si="6"/>
        <v>2.527968741</v>
      </c>
      <c r="R9" s="20">
        <f t="shared" si="9"/>
        <v>69.54131608</v>
      </c>
      <c r="S9" s="20">
        <f t="shared" si="8"/>
        <v>15.74038641</v>
      </c>
      <c r="U9" s="20">
        <f>IFERROR(__xludf.DUMMYFUNCTION("iferror(PERCENTRANK.INC(FILTER($Q$3:$Q$426, $P$3:$P$426&lt;3.75), $Q9), 1)"),1.0)</f>
        <v>1</v>
      </c>
      <c r="V9" s="20">
        <f>IFERROR(__xludf.DUMMYFUNCTION("iferror(PERCENTRANK.INC(FILTER($Q$3:$Q$426, $P$3:$P$426&lt;4.25), $Q9), 1)"),1.0)</f>
        <v>1</v>
      </c>
      <c r="W9" s="20">
        <f>IFERROR(__xludf.DUMMYFUNCTION("iferror(PERCENTRANK.INC(FILTER($Q$3:$Q$426, $P$3:$P$426&gt;=4.1), $Q9), 0)"),0.526)</f>
        <v>0.526</v>
      </c>
    </row>
    <row r="10" ht="14.25" customHeight="1">
      <c r="A10" s="14" t="s">
        <v>1425</v>
      </c>
      <c r="B10" s="14" t="s">
        <v>1389</v>
      </c>
      <c r="C10" s="14">
        <v>61.0</v>
      </c>
      <c r="D10" s="14" t="s">
        <v>1417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0.2940281042</v>
      </c>
      <c r="L10" s="20">
        <f t="shared" si="3"/>
        <v>1.318957995</v>
      </c>
      <c r="M10" s="20">
        <f t="shared" si="4"/>
        <v>0.908986039</v>
      </c>
      <c r="N10" s="20">
        <f t="shared" si="5"/>
        <v>52.55657122</v>
      </c>
      <c r="P10" s="14">
        <v>3.95</v>
      </c>
      <c r="Q10" s="20">
        <f t="shared" si="6"/>
        <v>2.32700003</v>
      </c>
      <c r="R10" s="20">
        <f t="shared" si="9"/>
        <v>65.10901886</v>
      </c>
      <c r="S10" s="20">
        <f t="shared" si="8"/>
        <v>12.55244764</v>
      </c>
      <c r="U10" s="20">
        <f>IFERROR(__xludf.DUMMYFUNCTION("iferror(PERCENTRANK.INC(FILTER($Q$3:$Q$426, $P$3:$P$426&lt;3.75), $Q10), 1)"),1.0)</f>
        <v>1</v>
      </c>
      <c r="V10" s="20">
        <f>IFERROR(__xludf.DUMMYFUNCTION("iferror(PERCENTRANK.INC(FILTER($Q$3:$Q$426, $P$3:$P$426&lt;4.25), $Q10), 1)"),0.952)</f>
        <v>0.952</v>
      </c>
      <c r="W10" s="20">
        <f>IFERROR(__xludf.DUMMYFUNCTION("iferror(PERCENTRANK.INC(FILTER($Q$3:$Q$426, $P$3:$P$426&gt;=4.1), $Q10), 0)"),0.213)</f>
        <v>0.213</v>
      </c>
    </row>
    <row r="11" ht="14.25" customHeight="1">
      <c r="A11" s="14" t="s">
        <v>1426</v>
      </c>
      <c r="B11" s="14" t="s">
        <v>711</v>
      </c>
      <c r="C11" s="14">
        <v>53.0</v>
      </c>
      <c r="D11" s="14" t="s">
        <v>1417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1.905234132</v>
      </c>
      <c r="L11" s="20">
        <f t="shared" si="3"/>
        <v>0.07804042582</v>
      </c>
      <c r="M11" s="20">
        <f t="shared" si="4"/>
        <v>0.8089179083</v>
      </c>
      <c r="N11" s="20">
        <f t="shared" si="5"/>
        <v>50.0344708</v>
      </c>
      <c r="Q11" s="20">
        <f t="shared" si="6"/>
        <v>0.5871783247</v>
      </c>
      <c r="R11" s="20">
        <f t="shared" si="9"/>
        <v>26.73783723</v>
      </c>
      <c r="S11" s="20">
        <f t="shared" si="8"/>
        <v>-23.29663356</v>
      </c>
      <c r="U11" s="20">
        <f>IFERROR(__xludf.DUMMYFUNCTION("iferror(PERCENTRANK.INC(FILTER($Q$3:$Q$426, $P$3:$P$426&lt;3.75), $Q11), 1)"),0.855)</f>
        <v>0.855</v>
      </c>
      <c r="V11" s="20">
        <f>IFERROR(__xludf.DUMMYFUNCTION("iferror(PERCENTRANK.INC(FILTER($Q$3:$Q$426, $P$3:$P$426&lt;4.25), $Q11), 1)"),0.746)</f>
        <v>0.746</v>
      </c>
      <c r="W11" s="20">
        <f>IFERROR(__xludf.DUMMYFUNCTION("iferror(PERCENTRANK.INC(FILTER($Q$3:$Q$426, $P$3:$P$426&gt;=4.1), $Q11), 0)"),0.0)</f>
        <v>0</v>
      </c>
    </row>
    <row r="12" ht="14.25" customHeight="1">
      <c r="A12" s="14" t="s">
        <v>1427</v>
      </c>
      <c r="B12" s="14" t="s">
        <v>1312</v>
      </c>
      <c r="C12" s="14">
        <v>75.0</v>
      </c>
      <c r="D12" s="14" t="s">
        <v>1417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1.099631118</v>
      </c>
      <c r="L12" s="20">
        <f t="shared" si="3"/>
        <v>0.37349699</v>
      </c>
      <c r="M12" s="20">
        <f t="shared" si="4"/>
        <v>0.6639506412</v>
      </c>
      <c r="N12" s="20">
        <f t="shared" si="5"/>
        <v>46.38074005</v>
      </c>
      <c r="P12" s="14">
        <v>4.66</v>
      </c>
      <c r="Q12" s="20">
        <f t="shared" si="6"/>
        <v>2.734588733</v>
      </c>
      <c r="R12" s="20">
        <f t="shared" si="9"/>
        <v>74.09825041</v>
      </c>
      <c r="S12" s="20">
        <f t="shared" si="8"/>
        <v>27.71751036</v>
      </c>
      <c r="U12" s="20">
        <f>IFERROR(__xludf.DUMMYFUNCTION("iferror(PERCENTRANK.INC(FILTER($Q$3:$Q$426, $P$3:$P$426&lt;3.75), $Q12), 1)"),1.0)</f>
        <v>1</v>
      </c>
      <c r="V12" s="20">
        <f>IFERROR(__xludf.DUMMYFUNCTION("iferror(PERCENTRANK.INC(FILTER($Q$3:$Q$426, $P$3:$P$426&lt;4.25), $Q12), 1)"),1.0)</f>
        <v>1</v>
      </c>
      <c r="W12" s="20">
        <f>IFERROR(__xludf.DUMMYFUNCTION("iferror(PERCENTRANK.INC(FILTER($Q$3:$Q$426, $P$3:$P$426&gt;=4.1), $Q12), 0)"),0.579)</f>
        <v>0.579</v>
      </c>
    </row>
    <row r="13" ht="14.25" customHeight="1">
      <c r="A13" s="14" t="s">
        <v>1428</v>
      </c>
      <c r="B13" s="14" t="s">
        <v>1377</v>
      </c>
      <c r="C13" s="14">
        <v>56.0</v>
      </c>
      <c r="D13" s="14" t="s">
        <v>1417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1.502432625</v>
      </c>
      <c r="L13" s="20">
        <f t="shared" si="3"/>
        <v>0.07804042582</v>
      </c>
      <c r="M13" s="20">
        <f t="shared" si="4"/>
        <v>0.6477973055</v>
      </c>
      <c r="N13" s="20">
        <f t="shared" si="5"/>
        <v>45.97361408</v>
      </c>
      <c r="P13" s="14">
        <v>3.6</v>
      </c>
      <c r="Q13" s="20">
        <f t="shared" si="6"/>
        <v>2.266337873</v>
      </c>
      <c r="R13" s="20">
        <f t="shared" si="9"/>
        <v>63.77113541</v>
      </c>
      <c r="S13" s="20">
        <f t="shared" si="8"/>
        <v>17.79752133</v>
      </c>
      <c r="U13" s="20">
        <f>IFERROR(__xludf.DUMMYFUNCTION("iferror(PERCENTRANK.INC(FILTER($Q$3:$Q$426, $P$3:$P$426&lt;3.75), $Q13), 1)"),1.0)</f>
        <v>1</v>
      </c>
      <c r="V13" s="20">
        <f>IFERROR(__xludf.DUMMYFUNCTION("iferror(PERCENTRANK.INC(FILTER($Q$3:$Q$426, $P$3:$P$426&lt;4.25), $Q13), 1)"),0.905)</f>
        <v>0.905</v>
      </c>
      <c r="W13" s="20">
        <f>IFERROR(__xludf.DUMMYFUNCTION("iferror(PERCENTRANK.INC(FILTER($Q$3:$Q$426, $P$3:$P$426&gt;=4.1), $Q13), 0)"),0.098)</f>
        <v>0.098</v>
      </c>
    </row>
    <row r="14" ht="14.25" customHeight="1">
      <c r="A14" s="14" t="s">
        <v>1429</v>
      </c>
      <c r="B14" s="14" t="s">
        <v>1230</v>
      </c>
      <c r="C14" s="14">
        <v>60.0</v>
      </c>
      <c r="D14" s="14" t="s">
        <v>1417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-0.1087734027</v>
      </c>
      <c r="L14" s="20">
        <f t="shared" si="3"/>
        <v>1.141684057</v>
      </c>
      <c r="M14" s="20">
        <f t="shared" si="4"/>
        <v>0.6415010731</v>
      </c>
      <c r="N14" s="20">
        <f t="shared" si="5"/>
        <v>45.81492489</v>
      </c>
      <c r="Q14" s="20">
        <f t="shared" si="6"/>
        <v>0.1957047906</v>
      </c>
      <c r="R14" s="20">
        <f t="shared" si="9"/>
        <v>18.10402031</v>
      </c>
      <c r="S14" s="20">
        <f t="shared" si="8"/>
        <v>-27.71090458</v>
      </c>
      <c r="U14" s="20">
        <f>IFERROR(__xludf.DUMMYFUNCTION("iferror(PERCENTRANK.INC(FILTER($Q$3:$Q$426, $P$3:$P$426&lt;3.75), $Q14), 1)"),0.745)</f>
        <v>0.745</v>
      </c>
      <c r="V14" s="20">
        <f>IFERROR(__xludf.DUMMYFUNCTION("iferror(PERCENTRANK.INC(FILTER($Q$3:$Q$426, $P$3:$P$426&lt;4.25), $Q14), 1)"),0.651)</f>
        <v>0.651</v>
      </c>
      <c r="W14" s="20">
        <f>IFERROR(__xludf.DUMMYFUNCTION("iferror(PERCENTRANK.INC(FILTER($Q$3:$Q$426, $P$3:$P$426&gt;=4.1), $Q14), 0)"),0.0)</f>
        <v>0</v>
      </c>
    </row>
    <row r="15" ht="14.25" customHeight="1">
      <c r="A15" s="14" t="s">
        <v>1430</v>
      </c>
      <c r="B15" s="14" t="s">
        <v>1328</v>
      </c>
      <c r="C15" s="14">
        <v>60.0</v>
      </c>
      <c r="D15" s="14" t="s">
        <v>1417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0.4282952732</v>
      </c>
      <c r="L15" s="20">
        <f t="shared" si="3"/>
        <v>0.7280448671</v>
      </c>
      <c r="M15" s="20">
        <f t="shared" si="4"/>
        <v>0.6081450295</v>
      </c>
      <c r="N15" s="20">
        <f t="shared" si="5"/>
        <v>44.97422475</v>
      </c>
      <c r="P15" s="14">
        <v>5.23</v>
      </c>
      <c r="Q15" s="20">
        <f t="shared" si="6"/>
        <v>2.889097555</v>
      </c>
      <c r="R15" s="20">
        <f t="shared" si="9"/>
        <v>77.50589043</v>
      </c>
      <c r="S15" s="20">
        <f t="shared" si="8"/>
        <v>32.53166568</v>
      </c>
      <c r="U15" s="20">
        <f>IFERROR(__xludf.DUMMYFUNCTION("iferror(PERCENTRANK.INC(FILTER($Q$3:$Q$426, $P$3:$P$426&lt;3.75), $Q15), 1)"),1.0)</f>
        <v>1</v>
      </c>
      <c r="V15" s="20">
        <f>IFERROR(__xludf.DUMMYFUNCTION("iferror(PERCENTRANK.INC(FILTER($Q$3:$Q$426, $P$3:$P$426&lt;4.25), $Q15), 1)"),1.0)</f>
        <v>1</v>
      </c>
      <c r="W15" s="20">
        <f>IFERROR(__xludf.DUMMYFUNCTION("iferror(PERCENTRANK.INC(FILTER($Q$3:$Q$426, $P$3:$P$426&gt;=4.1), $Q15), 0)"),0.789)</f>
        <v>0.789</v>
      </c>
    </row>
    <row r="16" ht="14.25" customHeight="1">
      <c r="A16" s="14" t="s">
        <v>1431</v>
      </c>
      <c r="B16" s="14" t="s">
        <v>1377</v>
      </c>
      <c r="C16" s="14">
        <v>50.0</v>
      </c>
      <c r="D16" s="14" t="s">
        <v>1417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0.5625624422</v>
      </c>
      <c r="L16" s="20">
        <f t="shared" si="3"/>
        <v>0.5310738243</v>
      </c>
      <c r="M16" s="20">
        <f t="shared" si="4"/>
        <v>0.5436692714</v>
      </c>
      <c r="N16" s="20">
        <f t="shared" si="5"/>
        <v>43.34918853</v>
      </c>
      <c r="P16" s="14">
        <v>3.18</v>
      </c>
      <c r="Q16" s="20">
        <f t="shared" si="6"/>
        <v>1.864983498</v>
      </c>
      <c r="R16" s="20">
        <f t="shared" si="9"/>
        <v>54.91939987</v>
      </c>
      <c r="S16" s="20">
        <f t="shared" si="8"/>
        <v>11.57021134</v>
      </c>
      <c r="U16" s="20">
        <f>IFERROR(__xludf.DUMMYFUNCTION("iferror(PERCENTRANK.INC(FILTER($Q$3:$Q$426, $P$3:$P$426&lt;3.75), $Q16), 1)"),0.927)</f>
        <v>0.927</v>
      </c>
      <c r="V16" s="20">
        <f>IFERROR(__xludf.DUMMYFUNCTION("iferror(PERCENTRANK.INC(FILTER($Q$3:$Q$426, $P$3:$P$426&lt;4.25), $Q16), 1)"),0.81)</f>
        <v>0.81</v>
      </c>
      <c r="W16" s="20">
        <f>IFERROR(__xludf.DUMMYFUNCTION("iferror(PERCENTRANK.INC(FILTER($Q$3:$Q$426, $P$3:$P$426&gt;=4.1), $Q16), 0)"),0.021)</f>
        <v>0.021</v>
      </c>
    </row>
    <row r="17" ht="14.25" customHeight="1">
      <c r="A17" s="14" t="s">
        <v>1432</v>
      </c>
      <c r="B17" s="14" t="s">
        <v>1352</v>
      </c>
      <c r="C17" s="14">
        <v>57.0</v>
      </c>
      <c r="D17" s="14" t="s">
        <v>1417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0.6968296112</v>
      </c>
      <c r="L17" s="20">
        <f t="shared" si="3"/>
        <v>0.4325883029</v>
      </c>
      <c r="M17" s="20">
        <f t="shared" si="4"/>
        <v>0.5382848262</v>
      </c>
      <c r="N17" s="20">
        <f t="shared" si="5"/>
        <v>43.21347987</v>
      </c>
      <c r="Q17" s="20">
        <f t="shared" si="6"/>
        <v>0.2955665439</v>
      </c>
      <c r="R17" s="20">
        <f t="shared" si="9"/>
        <v>20.30643764</v>
      </c>
      <c r="S17" s="20">
        <f t="shared" si="8"/>
        <v>-22.90704223</v>
      </c>
      <c r="U17" s="20">
        <f>IFERROR(__xludf.DUMMYFUNCTION("iferror(PERCENTRANK.INC(FILTER($Q$3:$Q$426, $P$3:$P$426&lt;3.75), $Q17), 1)"),0.818)</f>
        <v>0.818</v>
      </c>
      <c r="V17" s="20">
        <f>IFERROR(__xludf.DUMMYFUNCTION("iferror(PERCENTRANK.INC(FILTER($Q$3:$Q$426, $P$3:$P$426&lt;4.25), $Q17), 1)"),0.714)</f>
        <v>0.714</v>
      </c>
      <c r="W17" s="20">
        <f>IFERROR(__xludf.DUMMYFUNCTION("iferror(PERCENTRANK.INC(FILTER($Q$3:$Q$426, $P$3:$P$426&gt;=4.1), $Q17), 0)"),0.0)</f>
        <v>0</v>
      </c>
    </row>
    <row r="18" ht="14.25" customHeight="1">
      <c r="A18" s="14" t="s">
        <v>1433</v>
      </c>
      <c r="B18" s="14" t="s">
        <v>1357</v>
      </c>
      <c r="C18" s="14">
        <v>69.0</v>
      </c>
      <c r="D18" s="14" t="s">
        <v>1417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0.2940281042</v>
      </c>
      <c r="L18" s="20">
        <f t="shared" si="3"/>
        <v>0.6689535542</v>
      </c>
      <c r="M18" s="20">
        <f t="shared" si="4"/>
        <v>0.5189833742</v>
      </c>
      <c r="N18" s="20">
        <f t="shared" si="5"/>
        <v>42.7270093</v>
      </c>
      <c r="P18" s="14">
        <v>4.19</v>
      </c>
      <c r="Q18" s="20">
        <f t="shared" si="6"/>
        <v>2.316999142</v>
      </c>
      <c r="R18" s="20">
        <f t="shared" si="9"/>
        <v>64.88845264</v>
      </c>
      <c r="S18" s="20">
        <f t="shared" si="8"/>
        <v>22.16144334</v>
      </c>
      <c r="U18" s="20">
        <f>IFERROR(__xludf.DUMMYFUNCTION("iferror(PERCENTRANK.INC(FILTER($Q$3:$Q$426, $P$3:$P$426&lt;3.75), $Q18), 1)"),1.0)</f>
        <v>1</v>
      </c>
      <c r="V18" s="20">
        <f>IFERROR(__xludf.DUMMYFUNCTION("iferror(PERCENTRANK.INC(FILTER($Q$3:$Q$426, $P$3:$P$426&lt;4.25), $Q18), 1)"),0.937)</f>
        <v>0.937</v>
      </c>
      <c r="W18" s="20">
        <f>IFERROR(__xludf.DUMMYFUNCTION("iferror(PERCENTRANK.INC(FILTER($Q$3:$Q$426, $P$3:$P$426&gt;=4.1), $Q18), 0)"),0.158)</f>
        <v>0.158</v>
      </c>
    </row>
    <row r="19" ht="14.25" customHeight="1">
      <c r="A19" s="14" t="s">
        <v>1434</v>
      </c>
      <c r="B19" s="14" t="s">
        <v>1403</v>
      </c>
      <c r="C19" s="14">
        <v>79.0</v>
      </c>
      <c r="D19" s="14" t="s">
        <v>1417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-1.182910755</v>
      </c>
      <c r="L19" s="20">
        <f t="shared" si="3"/>
        <v>1.61441456</v>
      </c>
      <c r="M19" s="20">
        <f t="shared" si="4"/>
        <v>0.495484434</v>
      </c>
      <c r="N19" s="20">
        <f t="shared" si="5"/>
        <v>42.13474595</v>
      </c>
      <c r="P19" s="14">
        <v>3.24</v>
      </c>
      <c r="Q19" s="20">
        <f t="shared" si="6"/>
        <v>1.588009686</v>
      </c>
      <c r="R19" s="20">
        <f t="shared" si="9"/>
        <v>48.81083575</v>
      </c>
      <c r="S19" s="20">
        <f t="shared" si="8"/>
        <v>6.676089806</v>
      </c>
      <c r="U19" s="20">
        <f>IFERROR(__xludf.DUMMYFUNCTION("iferror(PERCENTRANK.INC(FILTER($Q$3:$Q$426, $P$3:$P$426&lt;3.75), $Q19), 1)"),0.873)</f>
        <v>0.873</v>
      </c>
      <c r="V19" s="20">
        <f>IFERROR(__xludf.DUMMYFUNCTION("iferror(PERCENTRANK.INC(FILTER($Q$3:$Q$426, $P$3:$P$426&lt;4.25), $Q19), 1)"),0.762)</f>
        <v>0.762</v>
      </c>
      <c r="W19" s="20">
        <f>IFERROR(__xludf.DUMMYFUNCTION("iferror(PERCENTRANK.INC(FILTER($Q$3:$Q$426, $P$3:$P$426&gt;=4.1), $Q19), 0)"),0.0)</f>
        <v>0</v>
      </c>
    </row>
    <row r="20" ht="14.25" customHeight="1">
      <c r="A20" s="14" t="s">
        <v>1435</v>
      </c>
      <c r="B20" s="14" t="s">
        <v>1395</v>
      </c>
      <c r="C20" s="14">
        <v>71.0</v>
      </c>
      <c r="D20" s="14" t="s">
        <v>1417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1.636699794</v>
      </c>
      <c r="L20" s="20">
        <f t="shared" si="3"/>
        <v>-0.3355987641</v>
      </c>
      <c r="M20" s="20">
        <f t="shared" si="4"/>
        <v>0.4533206592</v>
      </c>
      <c r="N20" s="20">
        <f t="shared" si="5"/>
        <v>41.07205722</v>
      </c>
      <c r="Q20" s="20">
        <f t="shared" si="6"/>
        <v>0.4238901854</v>
      </c>
      <c r="R20" s="20">
        <f t="shared" si="9"/>
        <v>23.13657233</v>
      </c>
      <c r="S20" s="20">
        <f t="shared" si="8"/>
        <v>-17.93548489</v>
      </c>
      <c r="U20" s="20">
        <f>IFERROR(__xludf.DUMMYFUNCTION("iferror(PERCENTRANK.INC(FILTER($Q$3:$Q$426, $P$3:$P$426&lt;3.75), $Q20), 1)"),0.836)</f>
        <v>0.836</v>
      </c>
      <c r="V20" s="20">
        <f>IFERROR(__xludf.DUMMYFUNCTION("iferror(PERCENTRANK.INC(FILTER($Q$3:$Q$426, $P$3:$P$426&lt;4.25), $Q20), 1)"),0.73)</f>
        <v>0.73</v>
      </c>
      <c r="W20" s="20">
        <f>IFERROR(__xludf.DUMMYFUNCTION("iferror(PERCENTRANK.INC(FILTER($Q$3:$Q$426, $P$3:$P$426&gt;=4.1), $Q20), 0)"),0.0)</f>
        <v>0</v>
      </c>
    </row>
    <row r="21" ht="14.25" customHeight="1">
      <c r="A21" s="14" t="s">
        <v>1436</v>
      </c>
      <c r="B21" s="14" t="s">
        <v>1384</v>
      </c>
      <c r="C21" s="14">
        <v>51.0</v>
      </c>
      <c r="D21" s="14" t="s">
        <v>1417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1.502432625</v>
      </c>
      <c r="L21" s="20">
        <f t="shared" si="3"/>
        <v>-0.2765074512</v>
      </c>
      <c r="M21" s="20">
        <f t="shared" si="4"/>
        <v>0.4350685793</v>
      </c>
      <c r="N21" s="20">
        <f t="shared" si="5"/>
        <v>40.61203485</v>
      </c>
      <c r="P21" s="14">
        <v>4.24</v>
      </c>
      <c r="Q21" s="20">
        <f t="shared" si="6"/>
        <v>2.515428297</v>
      </c>
      <c r="R21" s="20">
        <f t="shared" si="9"/>
        <v>69.26474082</v>
      </c>
      <c r="S21" s="20">
        <f t="shared" si="8"/>
        <v>28.65270597</v>
      </c>
      <c r="U21" s="20">
        <f>IFERROR(__xludf.DUMMYFUNCTION("iferror(PERCENTRANK.INC(FILTER($Q$3:$Q$426, $P$3:$P$426&lt;3.75), $Q21), 1)"),1.0)</f>
        <v>1</v>
      </c>
      <c r="V21" s="20">
        <f>IFERROR(__xludf.DUMMYFUNCTION("iferror(PERCENTRANK.INC(FILTER($Q$3:$Q$426, $P$3:$P$426&lt;4.25), $Q21), 1)"),0.984)</f>
        <v>0.984</v>
      </c>
      <c r="W21" s="20">
        <f>IFERROR(__xludf.DUMMYFUNCTION("iferror(PERCENTRANK.INC(FILTER($Q$3:$Q$426, $P$3:$P$426&gt;=4.1), $Q21), 0)"),0.474)</f>
        <v>0.474</v>
      </c>
    </row>
    <row r="22" ht="14.25" customHeight="1">
      <c r="A22" s="14" t="s">
        <v>1437</v>
      </c>
      <c r="B22" s="14" t="s">
        <v>1341</v>
      </c>
      <c r="C22" s="14">
        <v>78.0</v>
      </c>
      <c r="D22" s="14" t="s">
        <v>1417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0.8310967801</v>
      </c>
      <c r="L22" s="20">
        <f t="shared" si="3"/>
        <v>-0.04014219986</v>
      </c>
      <c r="M22" s="20">
        <f t="shared" si="4"/>
        <v>0.3083533921</v>
      </c>
      <c r="N22" s="20">
        <f t="shared" si="5"/>
        <v>37.41832647</v>
      </c>
      <c r="P22" s="14">
        <v>5.19</v>
      </c>
      <c r="Q22" s="20">
        <f t="shared" si="6"/>
        <v>2.836300594</v>
      </c>
      <c r="R22" s="20">
        <f t="shared" si="9"/>
        <v>76.34147123</v>
      </c>
      <c r="S22" s="20">
        <f t="shared" si="8"/>
        <v>38.92314476</v>
      </c>
      <c r="U22" s="20">
        <f>IFERROR(__xludf.DUMMYFUNCTION("iferror(PERCENTRANK.INC(FILTER($Q$3:$Q$426, $P$3:$P$426&lt;3.75), $Q22), 1)"),1.0)</f>
        <v>1</v>
      </c>
      <c r="V22" s="20">
        <f>IFERROR(__xludf.DUMMYFUNCTION("iferror(PERCENTRANK.INC(FILTER($Q$3:$Q$426, $P$3:$P$426&lt;4.25), $Q22), 1)"),1.0)</f>
        <v>1</v>
      </c>
      <c r="W22" s="20">
        <f>IFERROR(__xludf.DUMMYFUNCTION("iferror(PERCENTRANK.INC(FILTER($Q$3:$Q$426, $P$3:$P$426&gt;=4.1), $Q22), 0)"),0.684)</f>
        <v>0.684</v>
      </c>
    </row>
    <row r="23" ht="14.25" customHeight="1">
      <c r="A23" s="14" t="s">
        <v>1438</v>
      </c>
      <c r="B23" s="14" t="s">
        <v>1242</v>
      </c>
      <c r="C23" s="14">
        <v>60.0</v>
      </c>
      <c r="D23" s="14" t="s">
        <v>1417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0.5625624422</v>
      </c>
      <c r="L23" s="20">
        <f t="shared" si="3"/>
        <v>0.1371317387</v>
      </c>
      <c r="M23" s="20">
        <f t="shared" si="4"/>
        <v>0.3073040201</v>
      </c>
      <c r="N23" s="20">
        <f t="shared" si="5"/>
        <v>37.39187827</v>
      </c>
      <c r="P23" s="14">
        <v>4.19</v>
      </c>
      <c r="Q23" s="20">
        <f t="shared" si="6"/>
        <v>2.29119508</v>
      </c>
      <c r="R23" s="20">
        <f t="shared" si="9"/>
        <v>64.31935275</v>
      </c>
      <c r="S23" s="20">
        <f t="shared" si="8"/>
        <v>26.92747448</v>
      </c>
      <c r="U23" s="20">
        <f>IFERROR(__xludf.DUMMYFUNCTION("iferror(PERCENTRANK.INC(FILTER($Q$3:$Q$426, $P$3:$P$426&lt;3.75), $Q23), 1)"),1.0)</f>
        <v>1</v>
      </c>
      <c r="V23" s="20">
        <f>IFERROR(__xludf.DUMMYFUNCTION("iferror(PERCENTRANK.INC(FILTER($Q$3:$Q$426, $P$3:$P$426&lt;4.25), $Q23), 1)"),0.921)</f>
        <v>0.921</v>
      </c>
      <c r="W23" s="20">
        <f>IFERROR(__xludf.DUMMYFUNCTION("iferror(PERCENTRANK.INC(FILTER($Q$3:$Q$426, $P$3:$P$426&gt;=4.1), $Q23), 0)"),0.105)</f>
        <v>0.105</v>
      </c>
    </row>
    <row r="24" ht="14.25" customHeight="1">
      <c r="A24" s="14" t="s">
        <v>1439</v>
      </c>
      <c r="B24" s="14" t="s">
        <v>1361</v>
      </c>
      <c r="C24" s="14">
        <v>68.0</v>
      </c>
      <c r="D24" s="14" t="s">
        <v>1417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1.233898287</v>
      </c>
      <c r="L24" s="20">
        <f t="shared" si="3"/>
        <v>-0.3552958683</v>
      </c>
      <c r="M24" s="20">
        <f t="shared" si="4"/>
        <v>0.2803817938</v>
      </c>
      <c r="N24" s="20">
        <f t="shared" si="5"/>
        <v>36.71333499</v>
      </c>
      <c r="P24" s="14">
        <v>3.39</v>
      </c>
      <c r="Q24" s="20">
        <f t="shared" si="6"/>
        <v>1.994110312</v>
      </c>
      <c r="R24" s="20">
        <f t="shared" si="9"/>
        <v>57.76724828</v>
      </c>
      <c r="S24" s="20">
        <f t="shared" si="8"/>
        <v>21.05391329</v>
      </c>
      <c r="U24" s="20">
        <f>IFERROR(__xludf.DUMMYFUNCTION("iferror(PERCENTRANK.INC(FILTER($Q$3:$Q$426, $P$3:$P$426&lt;3.75), $Q24), 1)"),0.982)</f>
        <v>0.982</v>
      </c>
      <c r="V24" s="20">
        <f>IFERROR(__xludf.DUMMYFUNCTION("iferror(PERCENTRANK.INC(FILTER($Q$3:$Q$426, $P$3:$P$426&lt;4.25), $Q24), 1)"),0.873)</f>
        <v>0.873</v>
      </c>
      <c r="W24" s="20">
        <f>IFERROR(__xludf.DUMMYFUNCTION("iferror(PERCENTRANK.INC(FILTER($Q$3:$Q$426, $P$3:$P$426&gt;=4.1), $Q24), 0)"),0.038)</f>
        <v>0.038</v>
      </c>
    </row>
    <row r="25" ht="14.25" customHeight="1">
      <c r="A25" s="14" t="s">
        <v>1440</v>
      </c>
      <c r="B25" s="14" t="s">
        <v>1328</v>
      </c>
      <c r="C25" s="14">
        <v>61.0</v>
      </c>
      <c r="D25" s="14" t="s">
        <v>1417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-0.5115749096</v>
      </c>
      <c r="L25" s="20">
        <f t="shared" si="3"/>
        <v>0.7280448671</v>
      </c>
      <c r="M25" s="20">
        <f t="shared" si="4"/>
        <v>0.2321969564</v>
      </c>
      <c r="N25" s="20">
        <f t="shared" si="5"/>
        <v>35.49889241</v>
      </c>
      <c r="P25" s="14">
        <v>5.02</v>
      </c>
      <c r="Q25" s="20">
        <f t="shared" si="6"/>
        <v>2.502136501</v>
      </c>
      <c r="R25" s="20">
        <f t="shared" si="9"/>
        <v>68.97159472</v>
      </c>
      <c r="S25" s="20">
        <f t="shared" si="8"/>
        <v>33.47270231</v>
      </c>
      <c r="U25" s="20">
        <f>IFERROR(__xludf.DUMMYFUNCTION("iferror(PERCENTRANK.INC(FILTER($Q$3:$Q$426, $P$3:$P$426&lt;3.75), $Q25), 1)"),1.0)</f>
        <v>1</v>
      </c>
      <c r="V25" s="20">
        <f>IFERROR(__xludf.DUMMYFUNCTION("iferror(PERCENTRANK.INC(FILTER($Q$3:$Q$426, $P$3:$P$426&lt;4.25), $Q25), 1)"),0.982)</f>
        <v>0.982</v>
      </c>
      <c r="W25" s="20">
        <f>IFERROR(__xludf.DUMMYFUNCTION("iferror(PERCENTRANK.INC(FILTER($Q$3:$Q$426, $P$3:$P$426&gt;=4.1), $Q25), 0)"),0.421)</f>
        <v>0.421</v>
      </c>
    </row>
    <row r="26" ht="14.25" customHeight="1">
      <c r="A26" s="14" t="s">
        <v>1441</v>
      </c>
      <c r="B26" s="14" t="s">
        <v>1400</v>
      </c>
      <c r="C26" s="14">
        <v>55.0</v>
      </c>
      <c r="D26" s="14" t="s">
        <v>1417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-0.9143764166</v>
      </c>
      <c r="L26" s="20">
        <f t="shared" si="3"/>
        <v>0.9644101184</v>
      </c>
      <c r="M26" s="20">
        <f t="shared" si="4"/>
        <v>0.2128955044</v>
      </c>
      <c r="N26" s="20">
        <f t="shared" si="5"/>
        <v>35.01242184</v>
      </c>
      <c r="P26" s="14">
        <v>3.98</v>
      </c>
      <c r="Q26" s="20">
        <f t="shared" si="6"/>
        <v>1.908569099</v>
      </c>
      <c r="R26" s="20">
        <f t="shared" si="9"/>
        <v>55.88066562</v>
      </c>
      <c r="S26" s="20">
        <f t="shared" si="8"/>
        <v>20.86824378</v>
      </c>
      <c r="U26" s="20">
        <f>IFERROR(__xludf.DUMMYFUNCTION("iferror(PERCENTRANK.INC(FILTER($Q$3:$Q$426, $P$3:$P$426&lt;3.75), $Q26), 1)"),0.952)</f>
        <v>0.952</v>
      </c>
      <c r="V26" s="20">
        <f>IFERROR(__xludf.DUMMYFUNCTION("iferror(PERCENTRANK.INC(FILTER($Q$3:$Q$426, $P$3:$P$426&lt;4.25), $Q26), 1)"),0.841)</f>
        <v>0.841</v>
      </c>
      <c r="W26" s="20">
        <f>IFERROR(__xludf.DUMMYFUNCTION("iferror(PERCENTRANK.INC(FILTER($Q$3:$Q$426, $P$3:$P$426&gt;=4.1), $Q26), 0)"),0.026)</f>
        <v>0.026</v>
      </c>
    </row>
    <row r="27" ht="14.25" customHeight="1">
      <c r="A27" s="14" t="s">
        <v>1442</v>
      </c>
      <c r="B27" s="14" t="s">
        <v>1443</v>
      </c>
      <c r="C27" s="14">
        <v>52.0</v>
      </c>
      <c r="D27" s="14" t="s">
        <v>1417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0.1597609352</v>
      </c>
      <c r="L27" s="20">
        <f t="shared" si="3"/>
        <v>0.1765259472</v>
      </c>
      <c r="M27" s="20">
        <f t="shared" si="4"/>
        <v>0.1698199424</v>
      </c>
      <c r="N27" s="20">
        <f t="shared" si="5"/>
        <v>33.92675258</v>
      </c>
      <c r="P27" s="14">
        <v>4.7</v>
      </c>
      <c r="Q27" s="20">
        <f t="shared" si="6"/>
        <v>2.43323347</v>
      </c>
      <c r="R27" s="20">
        <f t="shared" si="9"/>
        <v>67.45196159</v>
      </c>
      <c r="S27" s="20">
        <f t="shared" si="8"/>
        <v>33.52520901</v>
      </c>
      <c r="U27" s="20">
        <f>IFERROR(__xludf.DUMMYFUNCTION("iferror(PERCENTRANK.INC(FILTER($Q$3:$Q$426, $P$3:$P$426&lt;3.75), $Q27), 1)"),1.0)</f>
        <v>1</v>
      </c>
      <c r="V27" s="20">
        <f>IFERROR(__xludf.DUMMYFUNCTION("iferror(PERCENTRANK.INC(FILTER($Q$3:$Q$426, $P$3:$P$426&lt;4.25), $Q27), 1)"),0.971)</f>
        <v>0.971</v>
      </c>
      <c r="W27" s="20">
        <f>IFERROR(__xludf.DUMMYFUNCTION("iferror(PERCENTRANK.INC(FILTER($Q$3:$Q$426, $P$3:$P$426&gt;=4.1), $Q27), 0)"),0.316)</f>
        <v>0.316</v>
      </c>
    </row>
    <row r="28" ht="14.25" customHeight="1">
      <c r="A28" s="14" t="s">
        <v>1444</v>
      </c>
      <c r="B28" s="14" t="s">
        <v>1445</v>
      </c>
      <c r="C28" s="14">
        <v>52.0</v>
      </c>
      <c r="D28" s="14" t="s">
        <v>1417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0.9653639491</v>
      </c>
      <c r="L28" s="20">
        <f t="shared" si="3"/>
        <v>-0.3946900769</v>
      </c>
      <c r="M28" s="20">
        <f t="shared" si="4"/>
        <v>0.1493315335</v>
      </c>
      <c r="N28" s="20">
        <f t="shared" si="5"/>
        <v>33.41036615</v>
      </c>
      <c r="Q28" s="20">
        <f t="shared" si="6"/>
        <v>0.2106711694</v>
      </c>
      <c r="R28" s="20">
        <f t="shared" si="9"/>
        <v>18.43409876</v>
      </c>
      <c r="S28" s="20">
        <f t="shared" si="8"/>
        <v>-14.97626739</v>
      </c>
      <c r="U28" s="20">
        <f>IFERROR(__xludf.DUMMYFUNCTION("iferror(PERCENTRANK.INC(FILTER($Q$3:$Q$426, $P$3:$P$426&lt;3.75), $Q28), 1)"),0.782)</f>
        <v>0.782</v>
      </c>
      <c r="V28" s="20">
        <f>IFERROR(__xludf.DUMMYFUNCTION("iferror(PERCENTRANK.INC(FILTER($Q$3:$Q$426, $P$3:$P$426&lt;4.25), $Q28), 1)"),0.683)</f>
        <v>0.683</v>
      </c>
      <c r="W28" s="20">
        <f>IFERROR(__xludf.DUMMYFUNCTION("iferror(PERCENTRANK.INC(FILTER($Q$3:$Q$426, $P$3:$P$426&gt;=4.1), $Q28), 0)"),0.0)</f>
        <v>0</v>
      </c>
    </row>
    <row r="29" ht="14.25" customHeight="1">
      <c r="A29" s="14" t="s">
        <v>1446</v>
      </c>
      <c r="B29" s="14" t="s">
        <v>1384</v>
      </c>
      <c r="C29" s="14">
        <v>74.0</v>
      </c>
      <c r="D29" s="14" t="s">
        <v>1417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2.17376847</v>
      </c>
      <c r="L29" s="20">
        <f t="shared" si="3"/>
        <v>-1.221968457</v>
      </c>
      <c r="M29" s="20">
        <f t="shared" si="4"/>
        <v>0.136326314</v>
      </c>
      <c r="N29" s="20">
        <f t="shared" si="5"/>
        <v>33.08258477</v>
      </c>
      <c r="P29" s="14">
        <v>4.02</v>
      </c>
      <c r="Q29" s="20">
        <f t="shared" si="6"/>
        <v>2.41773685</v>
      </c>
      <c r="R29" s="20">
        <f t="shared" si="9"/>
        <v>67.11018885</v>
      </c>
      <c r="S29" s="20">
        <f t="shared" si="8"/>
        <v>34.02760408</v>
      </c>
      <c r="U29" s="20">
        <f>IFERROR(__xludf.DUMMYFUNCTION("iferror(PERCENTRANK.INC(FILTER($Q$3:$Q$426, $P$3:$P$426&lt;3.75), $Q29), 1)"),1.0)</f>
        <v>1</v>
      </c>
      <c r="V29" s="20">
        <f>IFERROR(__xludf.DUMMYFUNCTION("iferror(PERCENTRANK.INC(FILTER($Q$3:$Q$426, $P$3:$P$426&lt;4.25), $Q29), 1)"),0.968)</f>
        <v>0.968</v>
      </c>
      <c r="W29" s="20">
        <f>IFERROR(__xludf.DUMMYFUNCTION("iferror(PERCENTRANK.INC(FILTER($Q$3:$Q$426, $P$3:$P$426&gt;=4.1), $Q29), 0)"),0.289)</f>
        <v>0.289</v>
      </c>
    </row>
    <row r="30" ht="14.25" customHeight="1">
      <c r="A30" s="14" t="s">
        <v>1447</v>
      </c>
      <c r="B30" s="14" t="s">
        <v>1330</v>
      </c>
      <c r="C30" s="14">
        <v>78.0</v>
      </c>
      <c r="D30" s="14" t="s">
        <v>1417</v>
      </c>
      <c r="E30" s="14" t="s">
        <v>1331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-0.1087734027</v>
      </c>
      <c r="L30" s="20">
        <f t="shared" si="3"/>
        <v>0.2553143643</v>
      </c>
      <c r="M30" s="20">
        <f t="shared" si="4"/>
        <v>0.1096792575</v>
      </c>
      <c r="N30" s="20">
        <f t="shared" si="5"/>
        <v>32.41097682</v>
      </c>
      <c r="P30" s="14">
        <v>3.72</v>
      </c>
      <c r="Q30" s="20">
        <f t="shared" si="6"/>
        <v>1.878430852</v>
      </c>
      <c r="R30" s="20">
        <f t="shared" si="9"/>
        <v>55.21597674</v>
      </c>
      <c r="S30" s="20">
        <f t="shared" si="8"/>
        <v>22.80499993</v>
      </c>
      <c r="U30" s="20">
        <f>IFERROR(__xludf.DUMMYFUNCTION("iferror(PERCENTRANK.INC(FILTER($Q$3:$Q$426, $P$3:$P$426&lt;3.75), $Q30), 1)"),0.945)</f>
        <v>0.945</v>
      </c>
      <c r="V30" s="20">
        <f>IFERROR(__xludf.DUMMYFUNCTION("iferror(PERCENTRANK.INC(FILTER($Q$3:$Q$426, $P$3:$P$426&lt;4.25), $Q30), 1)"),0.825)</f>
        <v>0.825</v>
      </c>
      <c r="W30" s="20">
        <f>IFERROR(__xludf.DUMMYFUNCTION("iferror(PERCENTRANK.INC(FILTER($Q$3:$Q$426, $P$3:$P$426&gt;=4.1), $Q30), 0)"),0.022)</f>
        <v>0.022</v>
      </c>
    </row>
    <row r="31" ht="14.25" customHeight="1">
      <c r="A31" s="14" t="s">
        <v>1448</v>
      </c>
      <c r="B31" s="14" t="s">
        <v>1226</v>
      </c>
      <c r="C31" s="14">
        <v>54.0</v>
      </c>
      <c r="D31" s="14" t="s">
        <v>1417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1.099631118</v>
      </c>
      <c r="L31" s="20">
        <f t="shared" si="3"/>
        <v>-0.5719640154</v>
      </c>
      <c r="M31" s="20">
        <f t="shared" si="4"/>
        <v>0.09667403798</v>
      </c>
      <c r="N31" s="20">
        <f t="shared" si="5"/>
        <v>32.08319544</v>
      </c>
      <c r="Q31" s="20">
        <f t="shared" si="6"/>
        <v>0.2154965323</v>
      </c>
      <c r="R31" s="20">
        <f t="shared" si="9"/>
        <v>18.54052051</v>
      </c>
      <c r="S31" s="20">
        <f t="shared" si="8"/>
        <v>-13.54267493</v>
      </c>
      <c r="U31" s="20">
        <f>IFERROR(__xludf.DUMMYFUNCTION("iferror(PERCENTRANK.INC(FILTER($Q$3:$Q$426, $P$3:$P$426&lt;3.75), $Q31), 1)"),0.8)</f>
        <v>0.8</v>
      </c>
      <c r="V31" s="20">
        <f>IFERROR(__xludf.DUMMYFUNCTION("iferror(PERCENTRANK.INC(FILTER($Q$3:$Q$426, $P$3:$P$426&lt;4.25), $Q31), 1)"),0.698)</f>
        <v>0.698</v>
      </c>
      <c r="W31" s="20">
        <f>IFERROR(__xludf.DUMMYFUNCTION("iferror(PERCENTRANK.INC(FILTER($Q$3:$Q$426, $P$3:$P$426&gt;=4.1), $Q31), 0)"),0.0)</f>
        <v>0</v>
      </c>
    </row>
    <row r="32" ht="14.25" customHeight="1">
      <c r="A32" s="14" t="s">
        <v>1449</v>
      </c>
      <c r="B32" s="14" t="s">
        <v>585</v>
      </c>
      <c r="C32" s="14">
        <v>69.0</v>
      </c>
      <c r="D32" s="14" t="s">
        <v>1417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1.368165456</v>
      </c>
      <c r="L32" s="20">
        <f t="shared" si="3"/>
        <v>-0.7886321625</v>
      </c>
      <c r="M32" s="20">
        <f t="shared" si="4"/>
        <v>0.07408688491</v>
      </c>
      <c r="N32" s="20">
        <f t="shared" si="5"/>
        <v>31.51391261</v>
      </c>
      <c r="P32" s="14">
        <v>4.3</v>
      </c>
      <c r="Q32" s="20">
        <f t="shared" si="6"/>
        <v>2.402723204</v>
      </c>
      <c r="R32" s="20">
        <f t="shared" si="9"/>
        <v>66.77906796</v>
      </c>
      <c r="S32" s="20">
        <f t="shared" si="8"/>
        <v>35.26515534</v>
      </c>
      <c r="U32" s="20">
        <f>IFERROR(__xludf.DUMMYFUNCTION("iferror(PERCENTRANK.INC(FILTER($Q$3:$Q$426, $P$3:$P$426&lt;3.75), $Q32), 1)"),1.0)</f>
        <v>1</v>
      </c>
      <c r="V32" s="20">
        <f>IFERROR(__xludf.DUMMYFUNCTION("iferror(PERCENTRANK.INC(FILTER($Q$3:$Q$426, $P$3:$P$426&lt;4.25), $Q32), 1)"),0.966)</f>
        <v>0.966</v>
      </c>
      <c r="W32" s="20">
        <f>IFERROR(__xludf.DUMMYFUNCTION("iferror(PERCENTRANK.INC(FILTER($Q$3:$Q$426, $P$3:$P$426&gt;=4.1), $Q32), 0)"),0.263)</f>
        <v>0.263</v>
      </c>
    </row>
    <row r="33" ht="14.25" customHeight="1">
      <c r="A33" s="14" t="s">
        <v>1450</v>
      </c>
      <c r="B33" s="14" t="s">
        <v>1451</v>
      </c>
      <c r="C33" s="14">
        <v>57.0</v>
      </c>
      <c r="D33" s="14" t="s">
        <v>1417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-0.1087734027</v>
      </c>
      <c r="L33" s="20">
        <f t="shared" si="3"/>
        <v>0.1962230515</v>
      </c>
      <c r="M33" s="20">
        <f t="shared" si="4"/>
        <v>0.07422446981</v>
      </c>
      <c r="N33" s="20">
        <f t="shared" si="5"/>
        <v>31.51738028</v>
      </c>
      <c r="P33" s="14">
        <v>4.19</v>
      </c>
      <c r="Q33" s="20">
        <f t="shared" si="6"/>
        <v>2.101612589</v>
      </c>
      <c r="R33" s="20">
        <f t="shared" si="9"/>
        <v>60.13817478</v>
      </c>
      <c r="S33" s="20">
        <f t="shared" si="8"/>
        <v>28.6207945</v>
      </c>
      <c r="U33" s="20">
        <f>IFERROR(__xludf.DUMMYFUNCTION("iferror(PERCENTRANK.INC(FILTER($Q$3:$Q$426, $P$3:$P$426&lt;3.75), $Q33), 1)"),0.989)</f>
        <v>0.989</v>
      </c>
      <c r="V33" s="20">
        <f>IFERROR(__xludf.DUMMYFUNCTION("iferror(PERCENTRANK.INC(FILTER($Q$3:$Q$426, $P$3:$P$426&lt;4.25), $Q33), 1)"),0.889)</f>
        <v>0.889</v>
      </c>
      <c r="W33" s="20">
        <f>IFERROR(__xludf.DUMMYFUNCTION("iferror(PERCENTRANK.INC(FILTER($Q$3:$Q$426, $P$3:$P$426&gt;=4.1), $Q33), 0)"),0.053)</f>
        <v>0.053</v>
      </c>
    </row>
    <row r="34" ht="14.25" customHeight="1">
      <c r="A34" s="14" t="s">
        <v>1452</v>
      </c>
      <c r="B34" s="14" t="s">
        <v>1361</v>
      </c>
      <c r="C34" s="14">
        <v>52.0</v>
      </c>
      <c r="D34" s="14" t="s">
        <v>1417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0.2940281042</v>
      </c>
      <c r="L34" s="20">
        <f t="shared" si="3"/>
        <v>-0.0992335127</v>
      </c>
      <c r="M34" s="20">
        <f t="shared" si="4"/>
        <v>0.05807113407</v>
      </c>
      <c r="N34" s="20">
        <f t="shared" si="5"/>
        <v>31.11025431</v>
      </c>
      <c r="Q34" s="20">
        <f t="shared" si="6"/>
        <v>0.06836172872</v>
      </c>
      <c r="R34" s="20">
        <f t="shared" si="9"/>
        <v>15.29551198</v>
      </c>
      <c r="S34" s="20">
        <f t="shared" si="8"/>
        <v>-15.81474233</v>
      </c>
      <c r="U34" s="20">
        <f>IFERROR(__xludf.DUMMYFUNCTION("iferror(PERCENTRANK.INC(FILTER($Q$3:$Q$426, $P$3:$P$426&lt;3.75), $Q34), 1)"),0.691)</f>
        <v>0.691</v>
      </c>
      <c r="V34" s="20">
        <f>IFERROR(__xludf.DUMMYFUNCTION("iferror(PERCENTRANK.INC(FILTER($Q$3:$Q$426, $P$3:$P$426&lt;4.25), $Q34), 1)"),0.603)</f>
        <v>0.603</v>
      </c>
      <c r="W34" s="20">
        <f>IFERROR(__xludf.DUMMYFUNCTION("iferror(PERCENTRANK.INC(FILTER($Q$3:$Q$426, $P$3:$P$426&gt;=4.1), $Q34), 0)"),0.0)</f>
        <v>0</v>
      </c>
    </row>
    <row r="35" ht="14.25" customHeight="1">
      <c r="A35" s="14" t="s">
        <v>1453</v>
      </c>
      <c r="B35" s="14" t="s">
        <v>1282</v>
      </c>
      <c r="C35" s="14">
        <v>75.0</v>
      </c>
      <c r="D35" s="14" t="s">
        <v>1417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0.4282952732</v>
      </c>
      <c r="L35" s="20">
        <f t="shared" si="3"/>
        <v>-0.2174161384</v>
      </c>
      <c r="M35" s="20">
        <f t="shared" si="4"/>
        <v>0.04086842625</v>
      </c>
      <c r="N35" s="20">
        <f t="shared" si="5"/>
        <v>30.67668014</v>
      </c>
      <c r="P35" s="14">
        <v>3.51</v>
      </c>
      <c r="Q35" s="20">
        <f t="shared" si="6"/>
        <v>1.840005354</v>
      </c>
      <c r="R35" s="20">
        <f t="shared" si="9"/>
        <v>54.36851534</v>
      </c>
      <c r="S35" s="20">
        <f t="shared" si="8"/>
        <v>23.6918352</v>
      </c>
      <c r="U35" s="20">
        <f>IFERROR(__xludf.DUMMYFUNCTION("iferror(PERCENTRANK.INC(FILTER($Q$3:$Q$426, $P$3:$P$426&lt;3.75), $Q35), 1)"),0.909)</f>
        <v>0.909</v>
      </c>
      <c r="V35" s="20">
        <f>IFERROR(__xludf.DUMMYFUNCTION("iferror(PERCENTRANK.INC(FILTER($Q$3:$Q$426, $P$3:$P$426&lt;4.25), $Q35), 1)"),0.794)</f>
        <v>0.794</v>
      </c>
      <c r="W35" s="20">
        <f>IFERROR(__xludf.DUMMYFUNCTION("iferror(PERCENTRANK.INC(FILTER($Q$3:$Q$426, $P$3:$P$426&gt;=4.1), $Q35), 0)"),0.017)</f>
        <v>0.017</v>
      </c>
    </row>
    <row r="36" ht="14.25" customHeight="1">
      <c r="A36" s="14" t="s">
        <v>1454</v>
      </c>
      <c r="B36" s="14" t="s">
        <v>1226</v>
      </c>
      <c r="C36" s="14">
        <v>57.0</v>
      </c>
      <c r="D36" s="14" t="s">
        <v>1417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-0.1087734027</v>
      </c>
      <c r="L36" s="20">
        <f t="shared" si="3"/>
        <v>0.1371317387</v>
      </c>
      <c r="M36" s="20">
        <f t="shared" si="4"/>
        <v>0.03876968211</v>
      </c>
      <c r="N36" s="20">
        <f t="shared" si="5"/>
        <v>30.62378374</v>
      </c>
      <c r="Q36" s="20">
        <f t="shared" si="6"/>
        <v>-0.005205673083</v>
      </c>
      <c r="R36" s="20">
        <f t="shared" si="9"/>
        <v>13.67300772</v>
      </c>
      <c r="S36" s="20">
        <f t="shared" si="8"/>
        <v>-16.95077603</v>
      </c>
      <c r="U36" s="20">
        <f>IFERROR(__xludf.DUMMYFUNCTION("iferror(PERCENTRANK.INC(FILTER($Q$3:$Q$426, $P$3:$P$426&lt;3.75), $Q36), 1)"),0.636)</f>
        <v>0.636</v>
      </c>
      <c r="V36" s="20">
        <f>IFERROR(__xludf.DUMMYFUNCTION("iferror(PERCENTRANK.INC(FILTER($Q$3:$Q$426, $P$3:$P$426&lt;4.25), $Q36), 1)"),0.556)</f>
        <v>0.556</v>
      </c>
      <c r="W36" s="20">
        <f>IFERROR(__xludf.DUMMYFUNCTION("iferror(PERCENTRANK.INC(FILTER($Q$3:$Q$426, $P$3:$P$426&gt;=4.1), $Q36), 0)"),0.0)</f>
        <v>0</v>
      </c>
    </row>
    <row r="37" ht="14.25" customHeight="1">
      <c r="A37" s="14" t="s">
        <v>1455</v>
      </c>
      <c r="B37" s="14" t="s">
        <v>1456</v>
      </c>
      <c r="C37" s="14">
        <v>55.0</v>
      </c>
      <c r="D37" s="14" t="s">
        <v>1417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-0.5115749096</v>
      </c>
      <c r="L37" s="20">
        <f t="shared" si="3"/>
        <v>0.37349699</v>
      </c>
      <c r="M37" s="20">
        <f t="shared" si="4"/>
        <v>0.01946823015</v>
      </c>
      <c r="N37" s="20">
        <f t="shared" si="5"/>
        <v>30.13731318</v>
      </c>
      <c r="Q37" s="20">
        <f t="shared" si="6"/>
        <v>-0.07877307489</v>
      </c>
      <c r="R37" s="20">
        <f t="shared" si="9"/>
        <v>12.05050345</v>
      </c>
      <c r="S37" s="20">
        <f t="shared" si="8"/>
        <v>-18.08680972</v>
      </c>
      <c r="U37" s="20">
        <f>IFERROR(__xludf.DUMMYFUNCTION("iferror(PERCENTRANK.INC(FILTER($Q$3:$Q$426, $P$3:$P$426&lt;3.75), $Q37), 1)"),0.545)</f>
        <v>0.545</v>
      </c>
      <c r="V37" s="20">
        <f>IFERROR(__xludf.DUMMYFUNCTION("iferror(PERCENTRANK.INC(FILTER($Q$3:$Q$426, $P$3:$P$426&lt;4.25), $Q37), 1)"),0.476)</f>
        <v>0.476</v>
      </c>
      <c r="W37" s="20">
        <f>IFERROR(__xludf.DUMMYFUNCTION("iferror(PERCENTRANK.INC(FILTER($Q$3:$Q$426, $P$3:$P$426&gt;=4.1), $Q37), 0)"),0.0)</f>
        <v>0</v>
      </c>
    </row>
    <row r="38" ht="14.25" customHeight="1">
      <c r="A38" s="14" t="s">
        <v>1457</v>
      </c>
      <c r="B38" s="14" t="s">
        <v>1389</v>
      </c>
      <c r="C38" s="14">
        <v>62.0</v>
      </c>
      <c r="D38" s="14" t="s">
        <v>1417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0.5625624422</v>
      </c>
      <c r="L38" s="20">
        <f t="shared" si="3"/>
        <v>-0.3552958683</v>
      </c>
      <c r="M38" s="20">
        <f t="shared" si="4"/>
        <v>0.01184745586</v>
      </c>
      <c r="N38" s="20">
        <f t="shared" si="5"/>
        <v>29.94524046</v>
      </c>
      <c r="P38" s="14">
        <v>4.45</v>
      </c>
      <c r="Q38" s="20">
        <f t="shared" si="6"/>
        <v>2.322709559</v>
      </c>
      <c r="R38" s="20">
        <f t="shared" si="9"/>
        <v>65.01439396</v>
      </c>
      <c r="S38" s="20">
        <f t="shared" si="8"/>
        <v>35.06915351</v>
      </c>
      <c r="U38" s="20">
        <f>IFERROR(__xludf.DUMMYFUNCTION("iferror(PERCENTRANK.INC(FILTER($Q$3:$Q$426, $P$3:$P$426&lt;3.75), $Q38), 1)"),1.0)</f>
        <v>1</v>
      </c>
      <c r="V38" s="20">
        <f>IFERROR(__xludf.DUMMYFUNCTION("iferror(PERCENTRANK.INC(FILTER($Q$3:$Q$426, $P$3:$P$426&lt;4.25), $Q38), 1)"),0.946)</f>
        <v>0.946</v>
      </c>
      <c r="W38" s="20">
        <f>IFERROR(__xludf.DUMMYFUNCTION("iferror(PERCENTRANK.INC(FILTER($Q$3:$Q$426, $P$3:$P$426&gt;=4.1), $Q38), 0)"),0.211)</f>
        <v>0.211</v>
      </c>
    </row>
    <row r="39" ht="14.25" customHeight="1">
      <c r="A39" s="14" t="s">
        <v>1458</v>
      </c>
      <c r="B39" s="14" t="s">
        <v>1230</v>
      </c>
      <c r="C39" s="14">
        <v>52.0</v>
      </c>
      <c r="D39" s="14" t="s">
        <v>1417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0.9653639491</v>
      </c>
      <c r="L39" s="20">
        <f t="shared" si="3"/>
        <v>-0.6310553283</v>
      </c>
      <c r="M39" s="20">
        <f t="shared" si="4"/>
        <v>0.007512382683</v>
      </c>
      <c r="N39" s="20">
        <f t="shared" si="5"/>
        <v>29.83598</v>
      </c>
      <c r="P39" s="14">
        <v>3.61</v>
      </c>
      <c r="Q39" s="20">
        <f t="shared" si="6"/>
        <v>1.968398119</v>
      </c>
      <c r="R39" s="20">
        <f t="shared" si="9"/>
        <v>57.20017451</v>
      </c>
      <c r="S39" s="20">
        <f t="shared" si="8"/>
        <v>27.36419451</v>
      </c>
      <c r="U39" s="20">
        <f>IFERROR(__xludf.DUMMYFUNCTION("iferror(PERCENTRANK.INC(FILTER($Q$3:$Q$426, $P$3:$P$426&lt;3.75), $Q39), 1)"),0.964)</f>
        <v>0.964</v>
      </c>
      <c r="V39" s="20">
        <f>IFERROR(__xludf.DUMMYFUNCTION("iferror(PERCENTRANK.INC(FILTER($Q$3:$Q$426, $P$3:$P$426&lt;4.25), $Q39), 1)"),0.857)</f>
        <v>0.857</v>
      </c>
      <c r="W39" s="20">
        <f>IFERROR(__xludf.DUMMYFUNCTION("iferror(PERCENTRANK.INC(FILTER($Q$3:$Q$426, $P$3:$P$426&gt;=4.1), $Q39), 0)"),0.035)</f>
        <v>0.035</v>
      </c>
    </row>
    <row r="40" ht="14.25" customHeight="1">
      <c r="A40" s="14" t="s">
        <v>1459</v>
      </c>
      <c r="B40" s="14" t="s">
        <v>1339</v>
      </c>
      <c r="C40" s="14">
        <v>56.0</v>
      </c>
      <c r="D40" s="14" t="s">
        <v>1417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1.233898287</v>
      </c>
      <c r="L40" s="20">
        <f t="shared" si="3"/>
        <v>-0.8674205796</v>
      </c>
      <c r="M40" s="20">
        <f t="shared" si="4"/>
        <v>-0.02689303295</v>
      </c>
      <c r="N40" s="20">
        <f t="shared" si="5"/>
        <v>28.96883166</v>
      </c>
      <c r="Q40" s="20">
        <f t="shared" si="6"/>
        <v>0.1966853702</v>
      </c>
      <c r="R40" s="20">
        <f t="shared" si="9"/>
        <v>18.12564667</v>
      </c>
      <c r="S40" s="20">
        <f t="shared" si="8"/>
        <v>-10.84318499</v>
      </c>
      <c r="U40" s="20">
        <f>IFERROR(__xludf.DUMMYFUNCTION("iferror(PERCENTRANK.INC(FILTER($Q$3:$Q$426, $P$3:$P$426&lt;3.75), $Q40), 1)"),0.764)</f>
        <v>0.764</v>
      </c>
      <c r="V40" s="20">
        <f>IFERROR(__xludf.DUMMYFUNCTION("iferror(PERCENTRANK.INC(FILTER($Q$3:$Q$426, $P$3:$P$426&lt;4.25), $Q40), 1)"),0.667)</f>
        <v>0.667</v>
      </c>
      <c r="W40" s="20">
        <f>IFERROR(__xludf.DUMMYFUNCTION("iferror(PERCENTRANK.INC(FILTER($Q$3:$Q$426, $P$3:$P$426&gt;=4.1), $Q40), 0)"),0.0)</f>
        <v>0</v>
      </c>
    </row>
    <row r="41" ht="14.25" customHeight="1">
      <c r="A41" s="14" t="s">
        <v>1460</v>
      </c>
      <c r="B41" s="14" t="s">
        <v>1382</v>
      </c>
      <c r="C41" s="14">
        <v>58.0</v>
      </c>
      <c r="D41" s="14" t="s">
        <v>1417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1.099631118</v>
      </c>
      <c r="L41" s="20">
        <f t="shared" si="3"/>
        <v>-0.7886321625</v>
      </c>
      <c r="M41" s="20">
        <f t="shared" si="4"/>
        <v>-0.03332685027</v>
      </c>
      <c r="N41" s="20">
        <f t="shared" si="5"/>
        <v>28.8066748</v>
      </c>
      <c r="Q41" s="20">
        <f t="shared" si="6"/>
        <v>0.1721629029</v>
      </c>
      <c r="R41" s="20">
        <f t="shared" si="9"/>
        <v>17.58481191</v>
      </c>
      <c r="S41" s="20">
        <f t="shared" si="8"/>
        <v>-11.22186289</v>
      </c>
      <c r="U41" s="20">
        <f>IFERROR(__xludf.DUMMYFUNCTION("iferror(PERCENTRANK.INC(FILTER($Q$3:$Q$426, $P$3:$P$426&lt;3.75), $Q41), 1)"),0.727)</f>
        <v>0.727</v>
      </c>
      <c r="V41" s="20">
        <f>IFERROR(__xludf.DUMMYFUNCTION("iferror(PERCENTRANK.INC(FILTER($Q$3:$Q$426, $P$3:$P$426&lt;4.25), $Q41), 1)"),0.635)</f>
        <v>0.635</v>
      </c>
      <c r="W41" s="20">
        <f>IFERROR(__xludf.DUMMYFUNCTION("iferror(PERCENTRANK.INC(FILTER($Q$3:$Q$426, $P$3:$P$426&gt;=4.1), $Q41), 0)"),0.0)</f>
        <v>0</v>
      </c>
    </row>
    <row r="42" ht="14.25" customHeight="1">
      <c r="A42" s="14" t="s">
        <v>1461</v>
      </c>
      <c r="B42" s="14" t="s">
        <v>151</v>
      </c>
      <c r="C42" s="14">
        <v>74.0</v>
      </c>
      <c r="D42" s="14" t="s">
        <v>1417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1.099631118</v>
      </c>
      <c r="L42" s="20">
        <f t="shared" si="3"/>
        <v>-0.8674205796</v>
      </c>
      <c r="M42" s="20">
        <f t="shared" si="4"/>
        <v>-0.08059990054</v>
      </c>
      <c r="N42" s="20">
        <f t="shared" si="5"/>
        <v>27.61521275</v>
      </c>
      <c r="Q42" s="20">
        <f t="shared" si="6"/>
        <v>0.1564052195</v>
      </c>
      <c r="R42" s="20">
        <f t="shared" si="9"/>
        <v>17.23728151</v>
      </c>
      <c r="S42" s="20">
        <f t="shared" si="8"/>
        <v>-10.37793124</v>
      </c>
      <c r="U42" s="20">
        <f>IFERROR(__xludf.DUMMYFUNCTION("iferror(PERCENTRANK.INC(FILTER($Q$3:$Q$426, $P$3:$P$426&lt;3.75), $Q42), 1)"),0.709)</f>
        <v>0.709</v>
      </c>
      <c r="V42" s="20">
        <f>IFERROR(__xludf.DUMMYFUNCTION("iferror(PERCENTRANK.INC(FILTER($Q$3:$Q$426, $P$3:$P$426&lt;4.25), $Q42), 1)"),0.619)</f>
        <v>0.619</v>
      </c>
      <c r="W42" s="20">
        <f>IFERROR(__xludf.DUMMYFUNCTION("iferror(PERCENTRANK.INC(FILTER($Q$3:$Q$426, $P$3:$P$426&gt;=4.1), $Q42), 0)"),0.0)</f>
        <v>0</v>
      </c>
    </row>
    <row r="43" ht="14.25" customHeight="1">
      <c r="A43" s="14" t="s">
        <v>1462</v>
      </c>
      <c r="B43" s="14" t="s">
        <v>1354</v>
      </c>
      <c r="C43" s="14">
        <v>63.0</v>
      </c>
      <c r="D43" s="14" t="s">
        <v>1417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0.4282952732</v>
      </c>
      <c r="L43" s="20">
        <f t="shared" si="3"/>
        <v>-0.4537813897</v>
      </c>
      <c r="M43" s="20">
        <f t="shared" si="4"/>
        <v>-0.1009507246</v>
      </c>
      <c r="N43" s="20">
        <f t="shared" si="5"/>
        <v>27.10229399</v>
      </c>
      <c r="Q43" s="20">
        <f t="shared" si="6"/>
        <v>0.03773230401</v>
      </c>
      <c r="R43" s="20">
        <f t="shared" si="9"/>
        <v>14.61999034</v>
      </c>
      <c r="S43" s="20">
        <f t="shared" si="8"/>
        <v>-12.48230365</v>
      </c>
      <c r="U43" s="20">
        <f>IFERROR(__xludf.DUMMYFUNCTION("iferror(PERCENTRANK.INC(FILTER($Q$3:$Q$426, $P$3:$P$426&lt;3.75), $Q43), 1)"),0.673)</f>
        <v>0.673</v>
      </c>
      <c r="V43" s="20">
        <f>IFERROR(__xludf.DUMMYFUNCTION("iferror(PERCENTRANK.INC(FILTER($Q$3:$Q$426, $P$3:$P$426&lt;4.25), $Q43), 1)"),0.587)</f>
        <v>0.587</v>
      </c>
      <c r="W43" s="20">
        <f>IFERROR(__xludf.DUMMYFUNCTION("iferror(PERCENTRANK.INC(FILTER($Q$3:$Q$426, $P$3:$P$426&gt;=4.1), $Q43), 0)"),0.0)</f>
        <v>0</v>
      </c>
    </row>
    <row r="44" ht="14.25" customHeight="1">
      <c r="A44" s="14" t="s">
        <v>1463</v>
      </c>
      <c r="B44" s="14" t="s">
        <v>151</v>
      </c>
      <c r="C44" s="14">
        <v>57.0</v>
      </c>
      <c r="D44" s="14" t="s">
        <v>1417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-0.1087734027</v>
      </c>
      <c r="L44" s="20">
        <f t="shared" si="3"/>
        <v>-0.1583248255</v>
      </c>
      <c r="M44" s="20">
        <f t="shared" si="4"/>
        <v>-0.1385042564</v>
      </c>
      <c r="N44" s="20">
        <f t="shared" si="5"/>
        <v>26.15580105</v>
      </c>
      <c r="Q44" s="20">
        <f t="shared" si="6"/>
        <v>-0.06429698592</v>
      </c>
      <c r="R44" s="20">
        <f t="shared" si="9"/>
        <v>12.36976872</v>
      </c>
      <c r="S44" s="20">
        <f t="shared" si="8"/>
        <v>-13.78603233</v>
      </c>
      <c r="U44" s="20">
        <f>IFERROR(__xludf.DUMMYFUNCTION("iferror(PERCENTRANK.INC(FILTER($Q$3:$Q$426, $P$3:$P$426&lt;3.75), $Q44), 1)"),0.618)</f>
        <v>0.618</v>
      </c>
      <c r="V44" s="20">
        <f>IFERROR(__xludf.DUMMYFUNCTION("iferror(PERCENTRANK.INC(FILTER($Q$3:$Q$426, $P$3:$P$426&lt;4.25), $Q44), 1)"),0.54)</f>
        <v>0.54</v>
      </c>
      <c r="W44" s="20">
        <f>IFERROR(__xludf.DUMMYFUNCTION("iferror(PERCENTRANK.INC(FILTER($Q$3:$Q$426, $P$3:$P$426&gt;=4.1), $Q44), 0)"),0.0)</f>
        <v>0</v>
      </c>
    </row>
    <row r="45" ht="14.25" customHeight="1">
      <c r="A45" s="14" t="s">
        <v>1464</v>
      </c>
      <c r="B45" s="14" t="s">
        <v>1465</v>
      </c>
      <c r="C45" s="14">
        <v>52.0</v>
      </c>
      <c r="D45" s="14" t="s">
        <v>1417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-0.1087734027</v>
      </c>
      <c r="L45" s="20">
        <f t="shared" si="3"/>
        <v>-0.1780219298</v>
      </c>
      <c r="M45" s="20">
        <f t="shared" si="4"/>
        <v>-0.150322519</v>
      </c>
      <c r="N45" s="20">
        <f t="shared" si="5"/>
        <v>25.85793554</v>
      </c>
      <c r="Q45" s="20">
        <f t="shared" si="6"/>
        <v>-0.06823640678</v>
      </c>
      <c r="R45" s="20">
        <f t="shared" si="9"/>
        <v>12.28288612</v>
      </c>
      <c r="S45" s="20">
        <f t="shared" si="8"/>
        <v>-13.57504942</v>
      </c>
      <c r="U45" s="20">
        <f>IFERROR(__xludf.DUMMYFUNCTION("iferror(PERCENTRANK.INC(FILTER($Q$3:$Q$426, $P$3:$P$426&lt;3.75), $Q45), 1)"),0.6)</f>
        <v>0.6</v>
      </c>
      <c r="V45" s="20">
        <f>IFERROR(__xludf.DUMMYFUNCTION("iferror(PERCENTRANK.INC(FILTER($Q$3:$Q$426, $P$3:$P$426&lt;4.25), $Q45), 1)"),0.524)</f>
        <v>0.524</v>
      </c>
      <c r="W45" s="20">
        <f>IFERROR(__xludf.DUMMYFUNCTION("iferror(PERCENTRANK.INC(FILTER($Q$3:$Q$426, $P$3:$P$426&gt;=4.1), $Q45), 0)"),0.0)</f>
        <v>0</v>
      </c>
    </row>
    <row r="46" ht="14.25" customHeight="1">
      <c r="A46" s="14" t="s">
        <v>1466</v>
      </c>
      <c r="B46" s="14" t="s">
        <v>1369</v>
      </c>
      <c r="C46" s="14">
        <v>66.0</v>
      </c>
      <c r="D46" s="14" t="s">
        <v>1417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-0.1087734027</v>
      </c>
      <c r="L46" s="20">
        <f t="shared" si="3"/>
        <v>-0.1977190341</v>
      </c>
      <c r="M46" s="20">
        <f t="shared" si="4"/>
        <v>-0.1621407815</v>
      </c>
      <c r="N46" s="20">
        <f t="shared" si="5"/>
        <v>25.56007003</v>
      </c>
      <c r="Q46" s="20">
        <f t="shared" si="6"/>
        <v>-0.07217582764</v>
      </c>
      <c r="R46" s="20">
        <f t="shared" si="9"/>
        <v>12.19600352</v>
      </c>
      <c r="S46" s="20">
        <f t="shared" si="8"/>
        <v>-13.36406651</v>
      </c>
      <c r="U46" s="20">
        <f>IFERROR(__xludf.DUMMYFUNCTION("iferror(PERCENTRANK.INC(FILTER($Q$3:$Q$426, $P$3:$P$426&lt;3.75), $Q46), 1)"),0.582)</f>
        <v>0.582</v>
      </c>
      <c r="V46" s="20">
        <f>IFERROR(__xludf.DUMMYFUNCTION("iferror(PERCENTRANK.INC(FILTER($Q$3:$Q$426, $P$3:$P$426&lt;4.25), $Q46), 1)"),0.508)</f>
        <v>0.508</v>
      </c>
      <c r="W46" s="20">
        <f>IFERROR(__xludf.DUMMYFUNCTION("iferror(PERCENTRANK.INC(FILTER($Q$3:$Q$426, $P$3:$P$426&gt;=4.1), $Q46), 0)"),0.0)</f>
        <v>0</v>
      </c>
    </row>
    <row r="47" ht="14.25" customHeight="1">
      <c r="A47" s="14" t="s">
        <v>1467</v>
      </c>
      <c r="B47" s="14" t="s">
        <v>1226</v>
      </c>
      <c r="C47" s="14">
        <v>52.0</v>
      </c>
      <c r="D47" s="14" t="s">
        <v>1417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0.5625624422</v>
      </c>
      <c r="L47" s="20">
        <f t="shared" si="3"/>
        <v>-0.8083292668</v>
      </c>
      <c r="M47" s="20">
        <f t="shared" si="4"/>
        <v>-0.2599725832</v>
      </c>
      <c r="N47" s="20">
        <f t="shared" si="5"/>
        <v>23.09433367</v>
      </c>
      <c r="Q47" s="20">
        <f t="shared" si="6"/>
        <v>0.007102879295</v>
      </c>
      <c r="R47" s="20">
        <f t="shared" si="9"/>
        <v>13.94446869</v>
      </c>
      <c r="S47" s="20">
        <f t="shared" si="8"/>
        <v>-9.149864972</v>
      </c>
      <c r="U47" s="20">
        <f>IFERROR(__xludf.DUMMYFUNCTION("iferror(PERCENTRANK.INC(FILTER($Q$3:$Q$426, $P$3:$P$426&lt;3.75), $Q47), 1)"),0.655)</f>
        <v>0.655</v>
      </c>
      <c r="V47" s="20">
        <f>IFERROR(__xludf.DUMMYFUNCTION("iferror(PERCENTRANK.INC(FILTER($Q$3:$Q$426, $P$3:$P$426&lt;4.25), $Q47), 1)"),0.571)</f>
        <v>0.571</v>
      </c>
      <c r="W47" s="20">
        <f>IFERROR(__xludf.DUMMYFUNCTION("iferror(PERCENTRANK.INC(FILTER($Q$3:$Q$426, $P$3:$P$426&gt;=4.1), $Q47), 0)"),0.0)</f>
        <v>0</v>
      </c>
    </row>
    <row r="48" ht="14.25" customHeight="1">
      <c r="A48" s="14" t="s">
        <v>1468</v>
      </c>
      <c r="B48" s="14" t="s">
        <v>1367</v>
      </c>
      <c r="C48" s="14">
        <v>50.0</v>
      </c>
      <c r="D48" s="14" t="s">
        <v>1417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-1.317177924</v>
      </c>
      <c r="L48" s="20">
        <f t="shared" si="3"/>
        <v>0.4325883029</v>
      </c>
      <c r="M48" s="20">
        <f t="shared" si="4"/>
        <v>-0.2673181877</v>
      </c>
      <c r="N48" s="20">
        <f t="shared" si="5"/>
        <v>22.90919628</v>
      </c>
      <c r="Q48" s="20">
        <f t="shared" si="6"/>
        <v>-0.3086357165</v>
      </c>
      <c r="R48" s="20">
        <f t="shared" si="9"/>
        <v>6.980960325</v>
      </c>
      <c r="S48" s="20">
        <f t="shared" si="8"/>
        <v>-15.92823595</v>
      </c>
      <c r="U48" s="20">
        <f>IFERROR(__xludf.DUMMYFUNCTION("iferror(PERCENTRANK.INC(FILTER($Q$3:$Q$426, $P$3:$P$426&lt;3.75), $Q48), 1)"),0.309)</f>
        <v>0.309</v>
      </c>
      <c r="V48" s="20">
        <f>IFERROR(__xludf.DUMMYFUNCTION("iferror(PERCENTRANK.INC(FILTER($Q$3:$Q$426, $P$3:$P$426&lt;4.25), $Q48), 1)"),0.27)</f>
        <v>0.27</v>
      </c>
      <c r="W48" s="20">
        <f>IFERROR(__xludf.DUMMYFUNCTION("iferror(PERCENTRANK.INC(FILTER($Q$3:$Q$426, $P$3:$P$426&gt;=4.1), $Q48), 0)"),0.0)</f>
        <v>0</v>
      </c>
    </row>
    <row r="49" ht="14.25" customHeight="1">
      <c r="A49" s="14" t="s">
        <v>1469</v>
      </c>
      <c r="B49" s="14" t="s">
        <v>1326</v>
      </c>
      <c r="C49" s="14">
        <v>72.0</v>
      </c>
      <c r="D49" s="14" t="s">
        <v>1417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-0.1087734027</v>
      </c>
      <c r="L49" s="20">
        <f t="shared" si="3"/>
        <v>-0.4537813897</v>
      </c>
      <c r="M49" s="20">
        <f t="shared" si="4"/>
        <v>-0.3157781949</v>
      </c>
      <c r="N49" s="20">
        <f t="shared" si="5"/>
        <v>21.68781836</v>
      </c>
      <c r="Q49" s="20">
        <f t="shared" si="6"/>
        <v>-0.1233882988</v>
      </c>
      <c r="R49" s="20">
        <f t="shared" si="9"/>
        <v>11.06652972</v>
      </c>
      <c r="S49" s="20">
        <f t="shared" si="8"/>
        <v>-10.62128864</v>
      </c>
      <c r="U49" s="20">
        <f>IFERROR(__xludf.DUMMYFUNCTION("iferror(PERCENTRANK.INC(FILTER($Q$3:$Q$426, $P$3:$P$426&lt;3.75), $Q49), 1)"),0.527)</f>
        <v>0.527</v>
      </c>
      <c r="V49" s="20">
        <f>IFERROR(__xludf.DUMMYFUNCTION("iferror(PERCENTRANK.INC(FILTER($Q$3:$Q$426, $P$3:$P$426&lt;4.25), $Q49), 1)"),0.46)</f>
        <v>0.46</v>
      </c>
      <c r="W49" s="20">
        <f>IFERROR(__xludf.DUMMYFUNCTION("iferror(PERCENTRANK.INC(FILTER($Q$3:$Q$426, $P$3:$P$426&gt;=4.1), $Q49), 0)"),0.0)</f>
        <v>0</v>
      </c>
    </row>
    <row r="50" ht="14.25" customHeight="1">
      <c r="A50" s="14" t="s">
        <v>1470</v>
      </c>
      <c r="B50" s="14" t="s">
        <v>1387</v>
      </c>
      <c r="C50" s="14">
        <v>59.0</v>
      </c>
      <c r="D50" s="14" t="s">
        <v>1417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0.2940281042</v>
      </c>
      <c r="L50" s="20">
        <f t="shared" si="3"/>
        <v>-0.8083292668</v>
      </c>
      <c r="M50" s="20">
        <f t="shared" si="4"/>
        <v>-0.3673863184</v>
      </c>
      <c r="N50" s="20">
        <f t="shared" si="5"/>
        <v>20.38709585</v>
      </c>
      <c r="Q50" s="20">
        <f t="shared" si="6"/>
        <v>-0.07345742209</v>
      </c>
      <c r="R50" s="20">
        <f t="shared" si="9"/>
        <v>12.16773838</v>
      </c>
      <c r="S50" s="20">
        <f t="shared" si="8"/>
        <v>-8.219357468</v>
      </c>
      <c r="U50" s="20">
        <f>IFERROR(__xludf.DUMMYFUNCTION("iferror(PERCENTRANK.INC(FILTER($Q$3:$Q$426, $P$3:$P$426&lt;3.75), $Q50), 1)"),0.564)</f>
        <v>0.564</v>
      </c>
      <c r="V50" s="20">
        <f>IFERROR(__xludf.DUMMYFUNCTION("iferror(PERCENTRANK.INC(FILTER($Q$3:$Q$426, $P$3:$P$426&lt;4.25), $Q50), 1)"),0.492)</f>
        <v>0.492</v>
      </c>
      <c r="W50" s="20">
        <f>IFERROR(__xludf.DUMMYFUNCTION("iferror(PERCENTRANK.INC(FILTER($Q$3:$Q$426, $P$3:$P$426&gt;=4.1), $Q50), 0)"),0.0)</f>
        <v>0</v>
      </c>
    </row>
    <row r="51" ht="14.25" customHeight="1">
      <c r="A51" s="14" t="s">
        <v>1471</v>
      </c>
      <c r="B51" s="14" t="s">
        <v>1247</v>
      </c>
      <c r="C51" s="14">
        <v>60.0</v>
      </c>
      <c r="D51" s="14" t="s">
        <v>1417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-0.2430405717</v>
      </c>
      <c r="L51" s="20">
        <f t="shared" si="3"/>
        <v>-0.473478494</v>
      </c>
      <c r="M51" s="20">
        <f t="shared" si="4"/>
        <v>-0.3813033251</v>
      </c>
      <c r="N51" s="20">
        <f t="shared" si="5"/>
        <v>20.03633394</v>
      </c>
      <c r="Q51" s="20">
        <f t="shared" si="6"/>
        <v>-0.1676078703</v>
      </c>
      <c r="R51" s="20">
        <f t="shared" si="9"/>
        <v>10.09128197</v>
      </c>
      <c r="S51" s="20">
        <f t="shared" si="8"/>
        <v>-9.945051979</v>
      </c>
      <c r="U51" s="20">
        <f>IFERROR(__xludf.DUMMYFUNCTION("iferror(PERCENTRANK.INC(FILTER($Q$3:$Q$426, $P$3:$P$426&lt;3.75), $Q51), 1)"),0.436)</f>
        <v>0.436</v>
      </c>
      <c r="V51" s="20">
        <f>IFERROR(__xludf.DUMMYFUNCTION("iferror(PERCENTRANK.INC(FILTER($Q$3:$Q$426, $P$3:$P$426&lt;4.25), $Q51), 1)"),0.381)</f>
        <v>0.381</v>
      </c>
      <c r="W51" s="20">
        <f>IFERROR(__xludf.DUMMYFUNCTION("iferror(PERCENTRANK.INC(FILTER($Q$3:$Q$426, $P$3:$P$426&gt;=4.1), $Q51), 0)"),0.0)</f>
        <v>0</v>
      </c>
    </row>
    <row r="52" ht="14.25" customHeight="1">
      <c r="A52" s="14" t="s">
        <v>1472</v>
      </c>
      <c r="B52" s="14" t="s">
        <v>1322</v>
      </c>
      <c r="C52" s="14">
        <v>55.0</v>
      </c>
      <c r="D52" s="14" t="s">
        <v>1417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-1.182910755</v>
      </c>
      <c r="L52" s="20">
        <f t="shared" si="3"/>
        <v>0.1371317387</v>
      </c>
      <c r="M52" s="20">
        <f t="shared" si="4"/>
        <v>-0.3908852586</v>
      </c>
      <c r="N52" s="20">
        <f t="shared" si="5"/>
        <v>19.79483249</v>
      </c>
      <c r="Q52" s="20">
        <f t="shared" si="6"/>
        <v>-0.3274468786</v>
      </c>
      <c r="R52" s="20">
        <f t="shared" si="9"/>
        <v>6.566086481</v>
      </c>
      <c r="S52" s="20">
        <f t="shared" si="8"/>
        <v>-13.22874601</v>
      </c>
      <c r="U52" s="20">
        <f>IFERROR(__xludf.DUMMYFUNCTION("iferror(PERCENTRANK.INC(FILTER($Q$3:$Q$426, $P$3:$P$426&lt;3.75), $Q52), 1)"),0.218)</f>
        <v>0.218</v>
      </c>
      <c r="V52" s="20">
        <f>IFERROR(__xludf.DUMMYFUNCTION("iferror(PERCENTRANK.INC(FILTER($Q$3:$Q$426, $P$3:$P$426&lt;4.25), $Q52), 1)"),0.19)</f>
        <v>0.19</v>
      </c>
      <c r="W52" s="20">
        <f>IFERROR(__xludf.DUMMYFUNCTION("iferror(PERCENTRANK.INC(FILTER($Q$3:$Q$426, $P$3:$P$426&gt;=4.1), $Q52), 0)"),0.0)</f>
        <v>0</v>
      </c>
    </row>
    <row r="53" ht="14.25" customHeight="1">
      <c r="A53" s="14" t="s">
        <v>1473</v>
      </c>
      <c r="B53" s="14" t="s">
        <v>1367</v>
      </c>
      <c r="C53" s="14">
        <v>60.0</v>
      </c>
      <c r="D53" s="14" t="s">
        <v>1417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-0.7801092476</v>
      </c>
      <c r="L53" s="20">
        <f t="shared" si="3"/>
        <v>-0.1386277213</v>
      </c>
      <c r="M53" s="20">
        <f t="shared" si="4"/>
        <v>-0.3952203318</v>
      </c>
      <c r="N53" s="20">
        <f t="shared" si="5"/>
        <v>19.68557204</v>
      </c>
      <c r="Q53" s="20">
        <f t="shared" si="6"/>
        <v>-0.2617583185</v>
      </c>
      <c r="R53" s="20">
        <f t="shared" si="9"/>
        <v>8.014825546</v>
      </c>
      <c r="S53" s="20">
        <f t="shared" si="8"/>
        <v>-11.67074649</v>
      </c>
      <c r="U53" s="20">
        <f>IFERROR(__xludf.DUMMYFUNCTION("iferror(PERCENTRANK.INC(FILTER($Q$3:$Q$426, $P$3:$P$426&lt;3.75), $Q53), 1)"),0.418)</f>
        <v>0.418</v>
      </c>
      <c r="V53" s="20">
        <f>IFERROR(__xludf.DUMMYFUNCTION("iferror(PERCENTRANK.INC(FILTER($Q$3:$Q$426, $P$3:$P$426&lt;4.25), $Q53), 1)"),0.365)</f>
        <v>0.365</v>
      </c>
      <c r="W53" s="20">
        <f>IFERROR(__xludf.DUMMYFUNCTION("iferror(PERCENTRANK.INC(FILTER($Q$3:$Q$426, $P$3:$P$426&gt;=4.1), $Q53), 0)"),0.0)</f>
        <v>0</v>
      </c>
    </row>
    <row r="54" ht="14.25" customHeight="1">
      <c r="A54" s="14" t="s">
        <v>1474</v>
      </c>
      <c r="B54" s="14" t="s">
        <v>433</v>
      </c>
      <c r="C54" s="14">
        <v>71.0</v>
      </c>
      <c r="D54" s="14" t="s">
        <v>1417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0.02549376626</v>
      </c>
      <c r="L54" s="20">
        <f t="shared" si="3"/>
        <v>-0.7098437454</v>
      </c>
      <c r="M54" s="20">
        <f t="shared" si="4"/>
        <v>-0.4157087407</v>
      </c>
      <c r="N54" s="20">
        <f t="shared" si="5"/>
        <v>19.1691856</v>
      </c>
      <c r="Q54" s="20">
        <f t="shared" si="6"/>
        <v>-0.1343206192</v>
      </c>
      <c r="R54" s="20">
        <f t="shared" si="9"/>
        <v>10.82542108</v>
      </c>
      <c r="S54" s="20">
        <f t="shared" si="8"/>
        <v>-8.343764529</v>
      </c>
      <c r="U54" s="20">
        <f>IFERROR(__xludf.DUMMYFUNCTION("iferror(PERCENTRANK.INC(FILTER($Q$3:$Q$426, $P$3:$P$426&lt;3.75), $Q54), 1)"),0.509)</f>
        <v>0.509</v>
      </c>
      <c r="V54" s="20">
        <f>IFERROR(__xludf.DUMMYFUNCTION("iferror(PERCENTRANK.INC(FILTER($Q$3:$Q$426, $P$3:$P$426&lt;4.25), $Q54), 1)"),0.444)</f>
        <v>0.444</v>
      </c>
      <c r="W54" s="20">
        <f>IFERROR(__xludf.DUMMYFUNCTION("iferror(PERCENTRANK.INC(FILTER($Q$3:$Q$426, $P$3:$P$426&gt;=4.1), $Q54), 0)"),0.0)</f>
        <v>0</v>
      </c>
    </row>
    <row r="55" ht="14.25" customHeight="1">
      <c r="A55" s="14" t="s">
        <v>1475</v>
      </c>
      <c r="B55" s="14" t="s">
        <v>1476</v>
      </c>
      <c r="C55" s="14">
        <v>54.0</v>
      </c>
      <c r="D55" s="14" t="s">
        <v>1417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-1.182910755</v>
      </c>
      <c r="L55" s="20">
        <f t="shared" si="3"/>
        <v>0.07804042582</v>
      </c>
      <c r="M55" s="20">
        <f t="shared" si="4"/>
        <v>-0.4263400463</v>
      </c>
      <c r="N55" s="20">
        <f t="shared" si="5"/>
        <v>18.90123596</v>
      </c>
      <c r="Q55" s="20">
        <f t="shared" si="6"/>
        <v>-0.3392651412</v>
      </c>
      <c r="R55" s="20">
        <f t="shared" si="9"/>
        <v>6.305438681</v>
      </c>
      <c r="S55" s="20">
        <f t="shared" si="8"/>
        <v>-12.59579727</v>
      </c>
      <c r="U55" s="20">
        <f>IFERROR(__xludf.DUMMYFUNCTION("iferror(PERCENTRANK.INC(FILTER($Q$3:$Q$426, $P$3:$P$426&lt;3.75), $Q55), 1)"),0.182)</f>
        <v>0.182</v>
      </c>
      <c r="V55" s="20">
        <f>IFERROR(__xludf.DUMMYFUNCTION("iferror(PERCENTRANK.INC(FILTER($Q$3:$Q$426, $P$3:$P$426&lt;4.25), $Q55), 1)"),0.159)</f>
        <v>0.159</v>
      </c>
      <c r="W55" s="20">
        <f>IFERROR(__xludf.DUMMYFUNCTION("iferror(PERCENTRANK.INC(FILTER($Q$3:$Q$426, $P$3:$P$426&gt;=4.1), $Q55), 0)"),0.0)</f>
        <v>0</v>
      </c>
    </row>
    <row r="56" ht="14.25" customHeight="1">
      <c r="A56" s="14" t="s">
        <v>1477</v>
      </c>
      <c r="B56" s="14" t="s">
        <v>1478</v>
      </c>
      <c r="C56" s="14">
        <v>76.0</v>
      </c>
      <c r="D56" s="14" t="s">
        <v>1417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-0.9143764166</v>
      </c>
      <c r="L56" s="20">
        <f t="shared" si="3"/>
        <v>-0.1583248255</v>
      </c>
      <c r="M56" s="20">
        <f t="shared" si="4"/>
        <v>-0.460745462</v>
      </c>
      <c r="N56" s="20">
        <f t="shared" si="5"/>
        <v>18.03408762</v>
      </c>
      <c r="Q56" s="20">
        <f t="shared" si="6"/>
        <v>-0.3059778901</v>
      </c>
      <c r="R56" s="20">
        <f t="shared" si="9"/>
        <v>7.039577791</v>
      </c>
      <c r="S56" s="20">
        <f t="shared" si="8"/>
        <v>-10.99450982</v>
      </c>
      <c r="U56" s="20">
        <f>IFERROR(__xludf.DUMMYFUNCTION("iferror(PERCENTRANK.INC(FILTER($Q$3:$Q$426, $P$3:$P$426&lt;3.75), $Q56), 1)"),0.364)</f>
        <v>0.364</v>
      </c>
      <c r="V56" s="20">
        <f>IFERROR(__xludf.DUMMYFUNCTION("iferror(PERCENTRANK.INC(FILTER($Q$3:$Q$426, $P$3:$P$426&lt;4.25), $Q56), 1)"),0.317)</f>
        <v>0.317</v>
      </c>
      <c r="W56" s="20">
        <f>IFERROR(__xludf.DUMMYFUNCTION("iferror(PERCENTRANK.INC(FILTER($Q$3:$Q$426, $P$3:$P$426&gt;=4.1), $Q56), 0)"),0.0)</f>
        <v>0</v>
      </c>
    </row>
    <row r="57" ht="14.25" customHeight="1">
      <c r="A57" s="14" t="s">
        <v>1479</v>
      </c>
      <c r="B57" s="14" t="s">
        <v>1480</v>
      </c>
      <c r="C57" s="14">
        <v>55.0</v>
      </c>
      <c r="D57" s="14" t="s">
        <v>1417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-0.7801092476</v>
      </c>
      <c r="L57" s="20">
        <f t="shared" si="3"/>
        <v>-0.2765074512</v>
      </c>
      <c r="M57" s="20">
        <f t="shared" si="4"/>
        <v>-0.4779481698</v>
      </c>
      <c r="N57" s="20">
        <f t="shared" si="5"/>
        <v>17.60051345</v>
      </c>
      <c r="Q57" s="20">
        <f t="shared" si="6"/>
        <v>-0.2893342645</v>
      </c>
      <c r="R57" s="20">
        <f t="shared" si="9"/>
        <v>7.406647346</v>
      </c>
      <c r="S57" s="20">
        <f t="shared" si="8"/>
        <v>-10.1938661</v>
      </c>
      <c r="U57" s="20">
        <f>IFERROR(__xludf.DUMMYFUNCTION("iferror(PERCENTRANK.INC(FILTER($Q$3:$Q$426, $P$3:$P$426&lt;3.75), $Q57), 1)"),0.4)</f>
        <v>0.4</v>
      </c>
      <c r="V57" s="20">
        <f>IFERROR(__xludf.DUMMYFUNCTION("iferror(PERCENTRANK.INC(FILTER($Q$3:$Q$426, $P$3:$P$426&lt;4.25), $Q57), 1)"),0.349)</f>
        <v>0.349</v>
      </c>
      <c r="W57" s="20">
        <f>IFERROR(__xludf.DUMMYFUNCTION("iferror(PERCENTRANK.INC(FILTER($Q$3:$Q$426, $P$3:$P$426&gt;=4.1), $Q57), 0)"),0.0)</f>
        <v>0</v>
      </c>
    </row>
    <row r="58" ht="14.25" customHeight="1">
      <c r="A58" s="14" t="s">
        <v>1481</v>
      </c>
      <c r="B58" s="14" t="s">
        <v>1267</v>
      </c>
      <c r="C58" s="14">
        <v>79.0</v>
      </c>
      <c r="D58" s="14" t="s">
        <v>1417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-0.9143764166</v>
      </c>
      <c r="L58" s="20">
        <f t="shared" si="3"/>
        <v>-0.1977190341</v>
      </c>
      <c r="M58" s="20">
        <f t="shared" si="4"/>
        <v>-0.4843819871</v>
      </c>
      <c r="N58" s="20">
        <f t="shared" si="5"/>
        <v>17.43835659</v>
      </c>
      <c r="Q58" s="20">
        <f t="shared" si="6"/>
        <v>-0.3138567318</v>
      </c>
      <c r="R58" s="20">
        <f t="shared" si="9"/>
        <v>6.865812592</v>
      </c>
      <c r="S58" s="20">
        <f t="shared" si="8"/>
        <v>-10.572544</v>
      </c>
      <c r="U58" s="20">
        <f>IFERROR(__xludf.DUMMYFUNCTION("iferror(PERCENTRANK.INC(FILTER($Q$3:$Q$426, $P$3:$P$426&lt;3.75), $Q58), 1)"),0.273)</f>
        <v>0.273</v>
      </c>
      <c r="V58" s="20">
        <f>IFERROR(__xludf.DUMMYFUNCTION("iferror(PERCENTRANK.INC(FILTER($Q$3:$Q$426, $P$3:$P$426&lt;4.25), $Q58), 1)"),0.238)</f>
        <v>0.238</v>
      </c>
      <c r="W58" s="20">
        <f>IFERROR(__xludf.DUMMYFUNCTION("iferror(PERCENTRANK.INC(FILTER($Q$3:$Q$426, $P$3:$P$426&gt;=4.1), $Q58), 0)"),0.0)</f>
        <v>0</v>
      </c>
    </row>
    <row r="59" ht="14.25" customHeight="1">
      <c r="A59" s="14" t="s">
        <v>1482</v>
      </c>
      <c r="B59" s="14" t="s">
        <v>1247</v>
      </c>
      <c r="C59" s="14">
        <v>70.0</v>
      </c>
      <c r="D59" s="14" t="s">
        <v>1417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-0.7801092476</v>
      </c>
      <c r="L59" s="20">
        <f t="shared" si="3"/>
        <v>-0.2962045555</v>
      </c>
      <c r="M59" s="20">
        <f t="shared" si="4"/>
        <v>-0.4897664323</v>
      </c>
      <c r="N59" s="20">
        <f t="shared" si="5"/>
        <v>17.30264793</v>
      </c>
      <c r="Q59" s="20">
        <f t="shared" si="6"/>
        <v>-0.2932736854</v>
      </c>
      <c r="R59" s="20">
        <f t="shared" si="9"/>
        <v>7.319764746</v>
      </c>
      <c r="S59" s="20">
        <f t="shared" si="8"/>
        <v>-9.982883187</v>
      </c>
      <c r="U59" s="20">
        <f>IFERROR(__xludf.DUMMYFUNCTION("iferror(PERCENTRANK.INC(FILTER($Q$3:$Q$426, $P$3:$P$426&lt;3.75), $Q59), 1)"),0.382)</f>
        <v>0.382</v>
      </c>
      <c r="V59" s="20">
        <f>IFERROR(__xludf.DUMMYFUNCTION("iferror(PERCENTRANK.INC(FILTER($Q$3:$Q$426, $P$3:$P$426&lt;4.25), $Q59), 1)"),0.333)</f>
        <v>0.333</v>
      </c>
      <c r="W59" s="20">
        <f>IFERROR(__xludf.DUMMYFUNCTION("iferror(PERCENTRANK.INC(FILTER($Q$3:$Q$426, $P$3:$P$426&gt;=4.1), $Q59), 0)"),0.0)</f>
        <v>0</v>
      </c>
    </row>
    <row r="60" ht="14.25" customHeight="1">
      <c r="A60" s="14" t="s">
        <v>1483</v>
      </c>
      <c r="B60" s="14" t="s">
        <v>1336</v>
      </c>
      <c r="C60" s="14">
        <v>72.0</v>
      </c>
      <c r="D60" s="14" t="s">
        <v>1417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-2.257048106</v>
      </c>
      <c r="L60" s="20">
        <f t="shared" si="3"/>
        <v>0.6689535542</v>
      </c>
      <c r="M60" s="20">
        <f t="shared" si="4"/>
        <v>-0.50144711</v>
      </c>
      <c r="N60" s="20">
        <f t="shared" si="5"/>
        <v>17.00825009</v>
      </c>
      <c r="Q60" s="20">
        <f t="shared" si="6"/>
        <v>-0.5433237211</v>
      </c>
      <c r="R60" s="20">
        <f t="shared" si="9"/>
        <v>1.804995443</v>
      </c>
      <c r="S60" s="20">
        <f t="shared" si="8"/>
        <v>-15.20325464</v>
      </c>
      <c r="U60" s="20">
        <f>IFERROR(__xludf.DUMMYFUNCTION("iferror(PERCENTRANK.INC(FILTER($Q$3:$Q$426, $P$3:$P$426&lt;3.75), $Q60), 1)"),0.036)</f>
        <v>0.036</v>
      </c>
      <c r="V60" s="20">
        <f>IFERROR(__xludf.DUMMYFUNCTION("iferror(PERCENTRANK.INC(FILTER($Q$3:$Q$426, $P$3:$P$426&lt;4.25), $Q60), 1)"),0.032)</f>
        <v>0.032</v>
      </c>
      <c r="W60" s="20">
        <f>IFERROR(__xludf.DUMMYFUNCTION("iferror(PERCENTRANK.INC(FILTER($Q$3:$Q$426, $P$3:$P$426&gt;=4.1), $Q60), 0)"),0.0)</f>
        <v>0</v>
      </c>
    </row>
    <row r="61" ht="14.25" customHeight="1">
      <c r="A61" s="14" t="s">
        <v>1484</v>
      </c>
      <c r="B61" s="14" t="s">
        <v>1352</v>
      </c>
      <c r="C61" s="14">
        <v>74.0</v>
      </c>
      <c r="D61" s="14" t="s">
        <v>1417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0.02549376626</v>
      </c>
      <c r="L61" s="20">
        <f t="shared" si="3"/>
        <v>-0.8674205796</v>
      </c>
      <c r="M61" s="20">
        <f t="shared" si="4"/>
        <v>-0.5102548413</v>
      </c>
      <c r="N61" s="20">
        <f t="shared" si="5"/>
        <v>16.7862615</v>
      </c>
      <c r="Q61" s="20">
        <f t="shared" si="6"/>
        <v>-0.165835986</v>
      </c>
      <c r="R61" s="20">
        <f t="shared" si="9"/>
        <v>10.13036028</v>
      </c>
      <c r="S61" s="20">
        <f t="shared" si="8"/>
        <v>-6.655901227</v>
      </c>
      <c r="U61" s="20">
        <f>IFERROR(__xludf.DUMMYFUNCTION("iferror(PERCENTRANK.INC(FILTER($Q$3:$Q$426, $P$3:$P$426&lt;3.75), $Q61), 1)"),0.455)</f>
        <v>0.455</v>
      </c>
      <c r="V61" s="20">
        <f>IFERROR(__xludf.DUMMYFUNCTION("iferror(PERCENTRANK.INC(FILTER($Q$3:$Q$426, $P$3:$P$426&lt;4.25), $Q61), 1)"),0.397)</f>
        <v>0.397</v>
      </c>
      <c r="W61" s="20">
        <f>IFERROR(__xludf.DUMMYFUNCTION("iferror(PERCENTRANK.INC(FILTER($Q$3:$Q$426, $P$3:$P$426&gt;=4.1), $Q61), 0)"),0.0)</f>
        <v>0</v>
      </c>
    </row>
    <row r="62" ht="14.25" customHeight="1">
      <c r="A62" s="14" t="s">
        <v>1485</v>
      </c>
      <c r="B62" s="14" t="s">
        <v>1421</v>
      </c>
      <c r="C62" s="14">
        <v>70.0</v>
      </c>
      <c r="D62" s="14" t="s">
        <v>1417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-2.122780937</v>
      </c>
      <c r="L62" s="20">
        <f t="shared" si="3"/>
        <v>0.4916796157</v>
      </c>
      <c r="M62" s="20">
        <f t="shared" si="4"/>
        <v>-0.5541046055</v>
      </c>
      <c r="N62" s="20">
        <f t="shared" si="5"/>
        <v>15.68107938</v>
      </c>
      <c r="Q62" s="20">
        <f t="shared" si="6"/>
        <v>-0.5384983581</v>
      </c>
      <c r="R62" s="20">
        <f t="shared" si="9"/>
        <v>1.911417198</v>
      </c>
      <c r="S62" s="20">
        <f t="shared" si="8"/>
        <v>-13.76966218</v>
      </c>
      <c r="U62" s="20">
        <f>IFERROR(__xludf.DUMMYFUNCTION("iferror(PERCENTRANK.INC(FILTER($Q$3:$Q$426, $P$3:$P$426&lt;3.75), $Q62), 1)"),0.055)</f>
        <v>0.055</v>
      </c>
      <c r="V62" s="20">
        <f>IFERROR(__xludf.DUMMYFUNCTION("iferror(PERCENTRANK.INC(FILTER($Q$3:$Q$426, $P$3:$P$426&lt;4.25), $Q62), 1)"),0.048)</f>
        <v>0.048</v>
      </c>
      <c r="W62" s="20">
        <f>IFERROR(__xludf.DUMMYFUNCTION("iferror(PERCENTRANK.INC(FILTER($Q$3:$Q$426, $P$3:$P$426&gt;=4.1), $Q62), 0)"),0.0)</f>
        <v>0</v>
      </c>
    </row>
    <row r="63" ht="14.25" customHeight="1">
      <c r="A63" s="14" t="s">
        <v>1486</v>
      </c>
      <c r="B63" s="14" t="s">
        <v>1276</v>
      </c>
      <c r="C63" s="14">
        <v>72.0</v>
      </c>
      <c r="D63" s="14" t="s">
        <v>1417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0.1597609352</v>
      </c>
      <c r="L63" s="20">
        <f t="shared" si="3"/>
        <v>-1.044694518</v>
      </c>
      <c r="M63" s="20">
        <f t="shared" si="4"/>
        <v>-0.5629123368</v>
      </c>
      <c r="N63" s="20">
        <f t="shared" si="5"/>
        <v>15.45909079</v>
      </c>
      <c r="Q63" s="20">
        <f t="shared" si="6"/>
        <v>-0.1610106231</v>
      </c>
      <c r="R63" s="20">
        <f t="shared" si="9"/>
        <v>10.23678203</v>
      </c>
      <c r="S63" s="20">
        <f t="shared" si="8"/>
        <v>-5.222308764</v>
      </c>
      <c r="U63" s="20">
        <f>IFERROR(__xludf.DUMMYFUNCTION("iferror(PERCENTRANK.INC(FILTER($Q$3:$Q$426, $P$3:$P$426&lt;3.75), $Q63), 1)"),0.473)</f>
        <v>0.473</v>
      </c>
      <c r="V63" s="20">
        <f>IFERROR(__xludf.DUMMYFUNCTION("iferror(PERCENTRANK.INC(FILTER($Q$3:$Q$426, $P$3:$P$426&lt;4.25), $Q63), 1)"),0.413)</f>
        <v>0.413</v>
      </c>
      <c r="W63" s="20">
        <f>IFERROR(__xludf.DUMMYFUNCTION("iferror(PERCENTRANK.INC(FILTER($Q$3:$Q$426, $P$3:$P$426&gt;=4.1), $Q63), 0)"),0.0)</f>
        <v>0</v>
      </c>
    </row>
    <row r="64" ht="14.25" customHeight="1">
      <c r="A64" s="14" t="s">
        <v>1487</v>
      </c>
      <c r="B64" s="14" t="s">
        <v>1367</v>
      </c>
      <c r="C64" s="14">
        <v>54.0</v>
      </c>
      <c r="D64" s="14" t="s">
        <v>1417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-0.6458420786</v>
      </c>
      <c r="L64" s="20">
        <f t="shared" si="3"/>
        <v>-0.5719640154</v>
      </c>
      <c r="M64" s="20">
        <f t="shared" si="4"/>
        <v>-0.6015152407</v>
      </c>
      <c r="N64" s="20">
        <f t="shared" si="5"/>
        <v>14.48614966</v>
      </c>
      <c r="Q64" s="20">
        <f t="shared" si="6"/>
        <v>-0.3081454267</v>
      </c>
      <c r="R64" s="20">
        <f t="shared" si="9"/>
        <v>6.991773502</v>
      </c>
      <c r="S64" s="20">
        <f t="shared" si="8"/>
        <v>-7.49437616</v>
      </c>
      <c r="U64" s="20">
        <f>IFERROR(__xludf.DUMMYFUNCTION("iferror(PERCENTRANK.INC(FILTER($Q$3:$Q$426, $P$3:$P$426&lt;3.75), $Q64), 1)"),0.327)</f>
        <v>0.327</v>
      </c>
      <c r="V64" s="20">
        <f>IFERROR(__xludf.DUMMYFUNCTION("iferror(PERCENTRANK.INC(FILTER($Q$3:$Q$426, $P$3:$P$426&lt;4.25), $Q64), 1)"),0.286)</f>
        <v>0.286</v>
      </c>
      <c r="W64" s="20">
        <f>IFERROR(__xludf.DUMMYFUNCTION("iferror(PERCENTRANK.INC(FILTER($Q$3:$Q$426, $P$3:$P$426&gt;=4.1), $Q64), 0)"),0.0)</f>
        <v>0</v>
      </c>
    </row>
    <row r="65" ht="14.25" customHeight="1">
      <c r="A65" s="14" t="s">
        <v>1488</v>
      </c>
      <c r="B65" s="14" t="s">
        <v>1489</v>
      </c>
      <c r="C65" s="14">
        <v>71.0</v>
      </c>
      <c r="D65" s="14" t="s">
        <v>1417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-0.6458420786</v>
      </c>
      <c r="L65" s="20">
        <f t="shared" si="3"/>
        <v>-0.5719640154</v>
      </c>
      <c r="M65" s="20">
        <f t="shared" si="4"/>
        <v>-0.6015152407</v>
      </c>
      <c r="N65" s="20">
        <f t="shared" si="5"/>
        <v>14.48614966</v>
      </c>
      <c r="Q65" s="20">
        <f t="shared" si="6"/>
        <v>-0.3081454267</v>
      </c>
      <c r="R65" s="20">
        <f t="shared" si="9"/>
        <v>6.991773502</v>
      </c>
      <c r="S65" s="20">
        <f t="shared" si="8"/>
        <v>-7.49437616</v>
      </c>
      <c r="U65" s="20">
        <f>IFERROR(__xludf.DUMMYFUNCTION("iferror(PERCENTRANK.INC(FILTER($Q$3:$Q$426, $P$3:$P$426&lt;3.75), $Q65), 1)"),0.327)</f>
        <v>0.327</v>
      </c>
      <c r="V65" s="20">
        <f>IFERROR(__xludf.DUMMYFUNCTION("iferror(PERCENTRANK.INC(FILTER($Q$3:$Q$426, $P$3:$P$426&lt;4.25), $Q65), 1)"),0.286)</f>
        <v>0.286</v>
      </c>
      <c r="W65" s="20">
        <f>IFERROR(__xludf.DUMMYFUNCTION("iferror(PERCENTRANK.INC(FILTER($Q$3:$Q$426, $P$3:$P$426&gt;=4.1), $Q65), 0)"),0.0)</f>
        <v>0</v>
      </c>
    </row>
    <row r="66" ht="14.25" customHeight="1">
      <c r="A66" s="14" t="s">
        <v>1490</v>
      </c>
      <c r="B66" s="14" t="s">
        <v>1312</v>
      </c>
      <c r="C66" s="14">
        <v>50.0</v>
      </c>
      <c r="D66" s="14" t="s">
        <v>1417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-1.451445092</v>
      </c>
      <c r="L66" s="20">
        <f t="shared" si="3"/>
        <v>-0.04014219986</v>
      </c>
      <c r="M66" s="20">
        <f t="shared" si="4"/>
        <v>-0.6046633569</v>
      </c>
      <c r="N66" s="20">
        <f t="shared" si="5"/>
        <v>14.40680507</v>
      </c>
      <c r="Q66" s="20">
        <f t="shared" si="6"/>
        <v>-0.4434619677</v>
      </c>
      <c r="R66" s="20">
        <f t="shared" si="9"/>
        <v>4.007412773</v>
      </c>
      <c r="S66" s="20">
        <f t="shared" si="8"/>
        <v>-10.3993923</v>
      </c>
      <c r="U66" s="20">
        <f>IFERROR(__xludf.DUMMYFUNCTION("iferror(PERCENTRANK.INC(FILTER($Q$3:$Q$426, $P$3:$P$426&lt;3.75), $Q66), 1)"),0.091)</f>
        <v>0.091</v>
      </c>
      <c r="V66" s="20">
        <f>IFERROR(__xludf.DUMMYFUNCTION("iferror(PERCENTRANK.INC(FILTER($Q$3:$Q$426, $P$3:$P$426&lt;4.25), $Q66), 1)"),0.079)</f>
        <v>0.079</v>
      </c>
      <c r="W66" s="20">
        <f>IFERROR(__xludf.DUMMYFUNCTION("iferror(PERCENTRANK.INC(FILTER($Q$3:$Q$426, $P$3:$P$426&gt;=4.1), $Q66), 0)"),0.0)</f>
        <v>0</v>
      </c>
    </row>
    <row r="67" ht="14.25" customHeight="1">
      <c r="A67" s="14" t="s">
        <v>1491</v>
      </c>
      <c r="B67" s="14" t="s">
        <v>1456</v>
      </c>
      <c r="C67" s="14">
        <v>72.0</v>
      </c>
      <c r="D67" s="14" t="s">
        <v>1417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-1.182910755</v>
      </c>
      <c r="L67" s="20">
        <f t="shared" si="3"/>
        <v>-0.2371132427</v>
      </c>
      <c r="M67" s="20">
        <f t="shared" si="4"/>
        <v>-0.6154322474</v>
      </c>
      <c r="N67" s="20">
        <f t="shared" si="5"/>
        <v>14.13538775</v>
      </c>
      <c r="Q67" s="20">
        <f t="shared" si="6"/>
        <v>-0.4022958749</v>
      </c>
      <c r="R67" s="20">
        <f t="shared" si="9"/>
        <v>4.915317083</v>
      </c>
      <c r="S67" s="20">
        <f t="shared" si="8"/>
        <v>-9.220070671</v>
      </c>
      <c r="U67" s="20">
        <f>IFERROR(__xludf.DUMMYFUNCTION("iferror(PERCENTRANK.INC(FILTER($Q$3:$Q$426, $P$3:$P$426&lt;3.75), $Q67), 1)"),0.127)</f>
        <v>0.127</v>
      </c>
      <c r="V67" s="20">
        <f>IFERROR(__xludf.DUMMYFUNCTION("iferror(PERCENTRANK.INC(FILTER($Q$3:$Q$426, $P$3:$P$426&lt;4.25), $Q67), 1)"),0.111)</f>
        <v>0.111</v>
      </c>
      <c r="W67" s="20">
        <f>IFERROR(__xludf.DUMMYFUNCTION("iferror(PERCENTRANK.INC(FILTER($Q$3:$Q$426, $P$3:$P$426&gt;=4.1), $Q67), 0)"),0.0)</f>
        <v>0</v>
      </c>
    </row>
    <row r="68" ht="14.25" customHeight="1">
      <c r="A68" s="14" t="s">
        <v>1492</v>
      </c>
      <c r="B68" s="14" t="s">
        <v>1493</v>
      </c>
      <c r="C68" s="14">
        <v>73.0</v>
      </c>
      <c r="D68" s="14" t="s">
        <v>1417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-1.048643586</v>
      </c>
      <c r="L68" s="20">
        <f t="shared" si="3"/>
        <v>-0.3946900769</v>
      </c>
      <c r="M68" s="20">
        <f t="shared" si="4"/>
        <v>-0.6562714804</v>
      </c>
      <c r="N68" s="20">
        <f t="shared" si="5"/>
        <v>13.10608256</v>
      </c>
      <c r="Q68" s="20">
        <f t="shared" si="6"/>
        <v>-0.393531091</v>
      </c>
      <c r="R68" s="20">
        <f t="shared" si="9"/>
        <v>5.108621438</v>
      </c>
      <c r="S68" s="20">
        <f t="shared" si="8"/>
        <v>-7.99746112</v>
      </c>
      <c r="U68" s="20">
        <f>IFERROR(__xludf.DUMMYFUNCTION("iferror(PERCENTRANK.INC(FILTER($Q$3:$Q$426, $P$3:$P$426&lt;3.75), $Q68), 1)"),0.145)</f>
        <v>0.145</v>
      </c>
      <c r="V68" s="20">
        <f>IFERROR(__xludf.DUMMYFUNCTION("iferror(PERCENTRANK.INC(FILTER($Q$3:$Q$426, $P$3:$P$426&lt;4.25), $Q68), 1)"),0.127)</f>
        <v>0.127</v>
      </c>
      <c r="W68" s="20">
        <f>IFERROR(__xludf.DUMMYFUNCTION("iferror(PERCENTRANK.INC(FILTER($Q$3:$Q$426, $P$3:$P$426&gt;=4.1), $Q68), 0)"),0.0)</f>
        <v>0</v>
      </c>
    </row>
    <row r="69" ht="14.25" customHeight="1">
      <c r="A69" s="14" t="s">
        <v>1494</v>
      </c>
      <c r="B69" s="14" t="s">
        <v>1493</v>
      </c>
      <c r="C69" s="14">
        <v>56.0</v>
      </c>
      <c r="D69" s="14" t="s">
        <v>1417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0.5625624422</v>
      </c>
      <c r="L69" s="20">
        <f t="shared" si="3"/>
        <v>-1.517425021</v>
      </c>
      <c r="M69" s="20">
        <f t="shared" si="4"/>
        <v>-0.6854300357</v>
      </c>
      <c r="N69" s="20">
        <f t="shared" si="5"/>
        <v>12.37117521</v>
      </c>
      <c r="Q69" s="20">
        <f t="shared" si="6"/>
        <v>-0.1347162715</v>
      </c>
      <c r="R69" s="20">
        <f t="shared" si="9"/>
        <v>10.8166951</v>
      </c>
      <c r="S69" s="20">
        <f t="shared" si="8"/>
        <v>-1.554480112</v>
      </c>
      <c r="U69" s="20">
        <f>IFERROR(__xludf.DUMMYFUNCTION("iferror(PERCENTRANK.INC(FILTER($Q$3:$Q$426, $P$3:$P$426&lt;3.75), $Q69), 1)"),0.491)</f>
        <v>0.491</v>
      </c>
      <c r="V69" s="20">
        <f>IFERROR(__xludf.DUMMYFUNCTION("iferror(PERCENTRANK.INC(FILTER($Q$3:$Q$426, $P$3:$P$426&lt;4.25), $Q69), 1)"),0.429)</f>
        <v>0.429</v>
      </c>
      <c r="W69" s="20">
        <f>IFERROR(__xludf.DUMMYFUNCTION("iferror(PERCENTRANK.INC(FILTER($Q$3:$Q$426, $P$3:$P$426&gt;=4.1), $Q69), 0)"),0.0)</f>
        <v>0</v>
      </c>
    </row>
    <row r="70" ht="14.25" customHeight="1">
      <c r="A70" s="16" t="s">
        <v>1495</v>
      </c>
      <c r="B70" s="14" t="s">
        <v>1365</v>
      </c>
      <c r="C70" s="16">
        <v>56.0</v>
      </c>
      <c r="D70" s="14" t="s">
        <v>1417</v>
      </c>
      <c r="E70" s="14" t="s">
        <v>149</v>
      </c>
      <c r="F70" s="37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-0.9143764166</v>
      </c>
      <c r="L70" s="20">
        <f t="shared" si="3"/>
        <v>-0.6507524325</v>
      </c>
      <c r="M70" s="20">
        <f t="shared" si="4"/>
        <v>-0.7562020262</v>
      </c>
      <c r="N70" s="20">
        <f t="shared" si="5"/>
        <v>10.5874498</v>
      </c>
      <c r="Q70" s="20">
        <f t="shared" si="6"/>
        <v>-0.4044634115</v>
      </c>
      <c r="R70" s="20">
        <f t="shared" si="9"/>
        <v>4.867512793</v>
      </c>
      <c r="S70" s="20">
        <f t="shared" si="8"/>
        <v>-5.719937006</v>
      </c>
      <c r="U70" s="20">
        <f>IFERROR(__xludf.DUMMYFUNCTION("iferror(PERCENTRANK.INC(FILTER($Q$3:$Q$426, $P$3:$P$426&lt;3.75), $Q70), 1)"),0.109)</f>
        <v>0.109</v>
      </c>
      <c r="V70" s="20">
        <f>IFERROR(__xludf.DUMMYFUNCTION("iferror(PERCENTRANK.INC(FILTER($Q$3:$Q$426, $P$3:$P$426&lt;4.25), $Q70), 1)"),0.095)</f>
        <v>0.095</v>
      </c>
      <c r="W70" s="20">
        <f>IFERROR(__xludf.DUMMYFUNCTION("iferror(PERCENTRANK.INC(FILTER($Q$3:$Q$426, $P$3:$P$426&gt;=4.1), $Q70), 0)"),0.0)</f>
        <v>0</v>
      </c>
    </row>
    <row r="71" ht="14.25" customHeight="1">
      <c r="A71" s="14" t="s">
        <v>1496</v>
      </c>
      <c r="B71" s="14" t="s">
        <v>1465</v>
      </c>
      <c r="C71" s="14">
        <v>56.0</v>
      </c>
      <c r="D71" s="14" t="s">
        <v>1417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-0.2430405717</v>
      </c>
      <c r="L71" s="20">
        <f t="shared" si="3"/>
        <v>-1.202271352</v>
      </c>
      <c r="M71" s="20">
        <f t="shared" si="4"/>
        <v>-0.8185790401</v>
      </c>
      <c r="N71" s="20">
        <f t="shared" si="5"/>
        <v>9.015309975</v>
      </c>
      <c r="Q71" s="20">
        <f t="shared" si="6"/>
        <v>-0.313366442</v>
      </c>
      <c r="R71" s="20">
        <f t="shared" si="9"/>
        <v>6.876625768</v>
      </c>
      <c r="S71" s="20">
        <f t="shared" si="8"/>
        <v>-2.138684207</v>
      </c>
      <c r="U71" s="20">
        <f>IFERROR(__xludf.DUMMYFUNCTION("iferror(PERCENTRANK.INC(FILTER($Q$3:$Q$426, $P$3:$P$426&lt;3.75), $Q71), 1)"),0.291)</f>
        <v>0.291</v>
      </c>
      <c r="V71" s="20">
        <f>IFERROR(__xludf.DUMMYFUNCTION("iferror(PERCENTRANK.INC(FILTER($Q$3:$Q$426, $P$3:$P$426&lt;4.25), $Q71), 1)"),0.254)</f>
        <v>0.254</v>
      </c>
      <c r="W71" s="20">
        <f>IFERROR(__xludf.DUMMYFUNCTION("iferror(PERCENTRANK.INC(FILTER($Q$3:$Q$426, $P$3:$P$426&gt;=4.1), $Q71), 0)"),0.0)</f>
        <v>0</v>
      </c>
    </row>
    <row r="72" ht="14.25" customHeight="1">
      <c r="A72" s="14" t="s">
        <v>1497</v>
      </c>
      <c r="B72" s="14" t="s">
        <v>1284</v>
      </c>
      <c r="C72" s="14">
        <v>67.0</v>
      </c>
      <c r="D72" s="14" t="s">
        <v>1417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-2.122780937</v>
      </c>
      <c r="L72" s="20">
        <f t="shared" si="3"/>
        <v>0.05834332154</v>
      </c>
      <c r="M72" s="20">
        <f t="shared" si="4"/>
        <v>-0.814106382</v>
      </c>
      <c r="N72" s="20">
        <f t="shared" si="5"/>
        <v>9.128038101</v>
      </c>
      <c r="Q72" s="20">
        <f t="shared" si="6"/>
        <v>-0.6251656169</v>
      </c>
      <c r="R72" s="20">
        <f t="shared" si="9"/>
        <v>0</v>
      </c>
      <c r="S72" s="20">
        <f t="shared" si="8"/>
        <v>-9.128038101</v>
      </c>
      <c r="U72" s="20">
        <f>IFERROR(__xludf.DUMMYFUNCTION("iferror(PERCENTRANK.INC(FILTER($Q$3:$Q$426, $P$3:$P$426&lt;3.75), $Q72), 1)"),0.0)</f>
        <v>0</v>
      </c>
      <c r="V72" s="20">
        <f>IFERROR(__xludf.DUMMYFUNCTION("iferror(PERCENTRANK.INC(FILTER($Q$3:$Q$426, $P$3:$P$426&lt;4.25), $Q72), 1)"),0.0)</f>
        <v>0</v>
      </c>
      <c r="W72" s="20">
        <f>IFERROR(__xludf.DUMMYFUNCTION("iferror(PERCENTRANK.INC(FILTER($Q$3:$Q$426, $P$3:$P$426&gt;=4.1), $Q72), 0)"),0.0)</f>
        <v>0</v>
      </c>
    </row>
    <row r="73" ht="14.25" customHeight="1">
      <c r="A73" s="14" t="s">
        <v>1498</v>
      </c>
      <c r="B73" s="14" t="s">
        <v>1361</v>
      </c>
      <c r="C73" s="14">
        <v>50.0</v>
      </c>
      <c r="D73" s="14" t="s">
        <v>1417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-1.048643586</v>
      </c>
      <c r="L73" s="20">
        <f t="shared" si="3"/>
        <v>-0.7492379539</v>
      </c>
      <c r="M73" s="20">
        <f t="shared" si="4"/>
        <v>-0.8690002066</v>
      </c>
      <c r="N73" s="20">
        <f t="shared" si="5"/>
        <v>7.74450333</v>
      </c>
      <c r="Q73" s="20">
        <f t="shared" si="6"/>
        <v>-0.4644406665</v>
      </c>
      <c r="R73" s="20">
        <f t="shared" si="9"/>
        <v>3.544734639</v>
      </c>
      <c r="S73" s="20">
        <f t="shared" si="8"/>
        <v>-4.19976869</v>
      </c>
      <c r="U73" s="20">
        <f>IFERROR(__xludf.DUMMYFUNCTION("iferror(PERCENTRANK.INC(FILTER($Q$3:$Q$426, $P$3:$P$426&lt;3.75), $Q73), 1)"),0.073)</f>
        <v>0.073</v>
      </c>
      <c r="V73" s="20">
        <f>IFERROR(__xludf.DUMMYFUNCTION("iferror(PERCENTRANK.INC(FILTER($Q$3:$Q$426, $P$3:$P$426&lt;4.25), $Q73), 1)"),0.063)</f>
        <v>0.063</v>
      </c>
      <c r="W73" s="20">
        <f>IFERROR(__xludf.DUMMYFUNCTION("iferror(PERCENTRANK.INC(FILTER($Q$3:$Q$426, $P$3:$P$426&gt;=4.1), $Q73), 0)"),0.0)</f>
        <v>0</v>
      </c>
    </row>
    <row r="74" ht="14.25" customHeight="1">
      <c r="A74" s="14" t="s">
        <v>1499</v>
      </c>
      <c r="B74" s="14" t="s">
        <v>1456</v>
      </c>
      <c r="C74" s="14">
        <v>65.0</v>
      </c>
      <c r="D74" s="14" t="s">
        <v>1417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-0.5115749096</v>
      </c>
      <c r="L74" s="20">
        <f t="shared" si="3"/>
        <v>-1.162877144</v>
      </c>
      <c r="M74" s="20">
        <f t="shared" si="4"/>
        <v>-0.9023562502</v>
      </c>
      <c r="N74" s="20">
        <f t="shared" si="5"/>
        <v>6.903803188</v>
      </c>
      <c r="Q74" s="20">
        <f t="shared" si="6"/>
        <v>-0.3860479017</v>
      </c>
      <c r="R74" s="20">
        <f t="shared" si="9"/>
        <v>5.273660659</v>
      </c>
      <c r="S74" s="20">
        <f t="shared" si="8"/>
        <v>-1.630142529</v>
      </c>
      <c r="U74" s="20">
        <f>IFERROR(__xludf.DUMMYFUNCTION("iferror(PERCENTRANK.INC(FILTER($Q$3:$Q$426, $P$3:$P$426&lt;3.75), $Q74), 1)"),0.164)</f>
        <v>0.164</v>
      </c>
      <c r="V74" s="20">
        <f>IFERROR(__xludf.DUMMYFUNCTION("iferror(PERCENTRANK.INC(FILTER($Q$3:$Q$426, $P$3:$P$426&lt;4.25), $Q74), 1)"),0.143)</f>
        <v>0.143</v>
      </c>
      <c r="W74" s="20">
        <f>IFERROR(__xludf.DUMMYFUNCTION("iferror(PERCENTRANK.INC(FILTER($Q$3:$Q$426, $P$3:$P$426&gt;=4.1), $Q74), 0)"),0.0)</f>
        <v>0</v>
      </c>
    </row>
    <row r="75" ht="14.25" customHeight="1">
      <c r="A75" s="16" t="s">
        <v>1500</v>
      </c>
      <c r="B75" s="16" t="s">
        <v>1501</v>
      </c>
      <c r="C75" s="16">
        <v>79.0</v>
      </c>
      <c r="D75" s="16" t="s">
        <v>1417</v>
      </c>
      <c r="E75" s="16" t="s">
        <v>179</v>
      </c>
      <c r="F75" s="37">
        <v>0.976</v>
      </c>
      <c r="G75" s="16">
        <v>-0.23</v>
      </c>
      <c r="H75" s="16">
        <v>-0.22</v>
      </c>
      <c r="I75" s="16">
        <v>-0.23</v>
      </c>
      <c r="J75" s="20">
        <f t="shared" si="1"/>
        <v>-0.226</v>
      </c>
      <c r="K75" s="20">
        <f t="shared" si="2"/>
        <v>-1.048643586</v>
      </c>
      <c r="L75" s="20">
        <f t="shared" si="3"/>
        <v>-1.261362665</v>
      </c>
      <c r="M75" s="20">
        <f t="shared" si="4"/>
        <v>-1.176275033</v>
      </c>
      <c r="N75" s="20">
        <f t="shared" si="5"/>
        <v>0</v>
      </c>
      <c r="P75" s="16">
        <v>4.56</v>
      </c>
      <c r="Q75" s="20">
        <f t="shared" si="6"/>
        <v>1.713134391</v>
      </c>
      <c r="R75" s="20">
        <f t="shared" si="9"/>
        <v>51.57041899</v>
      </c>
      <c r="S75" s="20">
        <f t="shared" si="8"/>
        <v>51.57041899</v>
      </c>
      <c r="U75" s="20">
        <f>IFERROR(__xludf.DUMMYFUNCTION("iferror(PERCENTRANK.INC(FILTER($Q$3:$Q$426, $P$3:$P$426&lt;3.75), $Q75), 1)"),0.885)</f>
        <v>0.885</v>
      </c>
      <c r="V75" s="20">
        <f>IFERROR(__xludf.DUMMYFUNCTION("iferror(PERCENTRANK.INC(FILTER($Q$3:$Q$426, $P$3:$P$426&lt;4.25), $Q75), 1)"),0.772)</f>
        <v>0.772</v>
      </c>
      <c r="W75" s="20">
        <f>IFERROR(__xludf.DUMMYFUNCTION("iferror(PERCENTRANK.INC(FILTER($Q$3:$Q$426, $P$3:$P$426&gt;=4.1), $Q75), 0)"),0.0)</f>
        <v>0</v>
      </c>
    </row>
    <row r="76" ht="14.25" customHeight="1">
      <c r="A76" s="14" t="s">
        <v>1502</v>
      </c>
      <c r="B76" s="14" t="s">
        <v>1354</v>
      </c>
      <c r="C76" s="14">
        <v>55.0</v>
      </c>
      <c r="D76" s="14" t="s">
        <v>1417</v>
      </c>
      <c r="E76" s="14" t="s">
        <v>149</v>
      </c>
      <c r="F76" s="20">
        <v>0.973</v>
      </c>
      <c r="G76" s="14">
        <v>-0.17</v>
      </c>
      <c r="H76" s="14">
        <v>-0.12</v>
      </c>
      <c r="I76" s="14">
        <v>-0.19</v>
      </c>
      <c r="J76" s="20">
        <f t="shared" si="1"/>
        <v>-0.162</v>
      </c>
      <c r="K76" s="20">
        <f t="shared" si="2"/>
        <v>-1.451445092</v>
      </c>
      <c r="L76" s="20">
        <f t="shared" si="3"/>
        <v>-0.6310553283</v>
      </c>
      <c r="M76" s="20">
        <f t="shared" si="4"/>
        <v>-0.959211234</v>
      </c>
      <c r="N76" s="20">
        <f t="shared" si="5"/>
        <v>5.470839687</v>
      </c>
      <c r="Q76" s="20">
        <f t="shared" si="6"/>
        <v>-0.5616445934</v>
      </c>
      <c r="R76" s="20">
        <f t="shared" si="9"/>
        <v>1.400934775</v>
      </c>
      <c r="S76" s="20">
        <f t="shared" si="8"/>
        <v>-4.069904912</v>
      </c>
      <c r="U76" s="20">
        <f>IFERROR(__xludf.DUMMYFUNCTION("iferror(PERCENTRANK.INC(FILTER($Q$3:$Q$426, $P$3:$P$426&lt;3.75), $Q76), 1)"),0.018)</f>
        <v>0.018</v>
      </c>
      <c r="V76" s="20">
        <f>IFERROR(__xludf.DUMMYFUNCTION("iferror(PERCENTRANK.INC(FILTER($Q$3:$Q$426, $P$3:$P$426&lt;4.25), $Q76), 1)"),0.016)</f>
        <v>0.016</v>
      </c>
      <c r="W76" s="20">
        <f>IFERROR(__xludf.DUMMYFUNCTION("iferror(PERCENTRANK.INC(FILTER($Q$3:$Q$426, $P$3:$P$426&gt;=4.1), $Q76), 0)"),0.0)</f>
        <v>0</v>
      </c>
    </row>
    <row r="77" ht="14.25" customHeight="1">
      <c r="A77" s="16" t="s">
        <v>1503</v>
      </c>
      <c r="B77" s="16" t="s">
        <v>1504</v>
      </c>
      <c r="C77" s="16">
        <v>70.0</v>
      </c>
      <c r="D77" s="16" t="s">
        <v>1417</v>
      </c>
      <c r="E77" s="16" t="s">
        <v>1238</v>
      </c>
      <c r="F77" s="37">
        <v>0.976</v>
      </c>
      <c r="G77" s="16">
        <v>-0.17</v>
      </c>
      <c r="H77" s="16">
        <v>0.0</v>
      </c>
      <c r="I77" s="16">
        <v>-0.17</v>
      </c>
      <c r="J77" s="20">
        <f t="shared" si="1"/>
        <v>-0.102</v>
      </c>
      <c r="K77" s="20">
        <f t="shared" si="2"/>
        <v>-1.048643586</v>
      </c>
      <c r="L77" s="20">
        <f t="shared" si="3"/>
        <v>-0.04014219986</v>
      </c>
      <c r="M77" s="20">
        <f t="shared" si="4"/>
        <v>-0.4435427541</v>
      </c>
      <c r="N77" s="20">
        <f t="shared" si="5"/>
        <v>18.46766179</v>
      </c>
      <c r="Q77" s="20">
        <f t="shared" si="6"/>
        <v>-0.3226215156</v>
      </c>
      <c r="R77" s="20">
        <f t="shared" si="9"/>
        <v>6.672508236</v>
      </c>
      <c r="S77" s="20">
        <f t="shared" si="8"/>
        <v>-11.79515355</v>
      </c>
      <c r="U77" s="20">
        <f>IFERROR(__xludf.DUMMYFUNCTION("iferror(PERCENTRANK.INC(FILTER($Q$3:$Q$426, $P$3:$P$426&lt;3.75), $Q77), 1)"),0.236)</f>
        <v>0.236</v>
      </c>
      <c r="V77" s="20">
        <f>IFERROR(__xludf.DUMMYFUNCTION("iferror(PERCENTRANK.INC(FILTER($Q$3:$Q$426, $P$3:$P$426&lt;4.25), $Q77), 1)"),0.206)</f>
        <v>0.206</v>
      </c>
      <c r="W77" s="20">
        <f>IFERROR(__xludf.DUMMYFUNCTION("iferror(PERCENTRANK.INC(FILTER($Q$3:$Q$426, $P$3:$P$426&gt;=4.1), $Q77), 0)"),0.0)</f>
        <v>0</v>
      </c>
    </row>
    <row r="78" ht="14.25" customHeight="1">
      <c r="A78" s="14" t="s">
        <v>1505</v>
      </c>
      <c r="B78" s="14" t="s">
        <v>1282</v>
      </c>
      <c r="C78" s="14">
        <v>62.0</v>
      </c>
      <c r="D78" s="14" t="s">
        <v>1417</v>
      </c>
      <c r="E78" s="14" t="s">
        <v>125</v>
      </c>
      <c r="F78" s="20">
        <v>0.9840000000000001</v>
      </c>
      <c r="G78" s="14">
        <v>-0.16</v>
      </c>
      <c r="H78" s="14">
        <v>-0.5</v>
      </c>
      <c r="I78" s="14">
        <v>-0.12</v>
      </c>
      <c r="J78" s="20">
        <f t="shared" si="1"/>
        <v>-0.272</v>
      </c>
      <c r="K78" s="20">
        <f t="shared" si="2"/>
        <v>0.02549376626</v>
      </c>
      <c r="L78" s="20">
        <f t="shared" si="3"/>
        <v>-1.714396064</v>
      </c>
      <c r="M78" s="20">
        <f t="shared" si="4"/>
        <v>-1.018440132</v>
      </c>
      <c r="N78" s="20">
        <f t="shared" si="5"/>
        <v>3.978044457</v>
      </c>
      <c r="Q78" s="20">
        <f t="shared" si="6"/>
        <v>-0.3352310829</v>
      </c>
      <c r="R78" s="20">
        <f t="shared" si="9"/>
        <v>6.394408479</v>
      </c>
      <c r="S78" s="20">
        <f t="shared" si="8"/>
        <v>2.416364022</v>
      </c>
      <c r="U78" s="20">
        <f>IFERROR(__xludf.DUMMYFUNCTION("iferror(PERCENTRANK.INC(FILTER($Q$3:$Q$426, $P$3:$P$426&lt;3.75), $Q78), 1)"),0.2)</f>
        <v>0.2</v>
      </c>
      <c r="V78" s="20">
        <f>IFERROR(__xludf.DUMMYFUNCTION("iferror(PERCENTRANK.INC(FILTER($Q$3:$Q$426, $P$3:$P$426&lt;4.25), $Q78), 1)"),0.175)</f>
        <v>0.175</v>
      </c>
      <c r="W78" s="20">
        <f>IFERROR(__xludf.DUMMYFUNCTION("iferror(PERCENTRANK.INC(FILTER($Q$3:$Q$426, $P$3:$P$426&gt;=4.1), $Q78), 0)"),0.0)</f>
        <v>0</v>
      </c>
    </row>
    <row r="79" ht="14.25" customHeight="1">
      <c r="A79" s="16" t="s">
        <v>1506</v>
      </c>
      <c r="B79" s="16" t="s">
        <v>1507</v>
      </c>
      <c r="C79" s="16">
        <v>70.0</v>
      </c>
      <c r="D79" s="16" t="s">
        <v>1417</v>
      </c>
      <c r="E79" s="16" t="s">
        <v>117</v>
      </c>
      <c r="F79" s="16">
        <v>0.97</v>
      </c>
      <c r="G79" s="16">
        <v>-0.06</v>
      </c>
      <c r="H79" s="16">
        <v>0.0</v>
      </c>
      <c r="I79" s="16">
        <v>-0.07</v>
      </c>
      <c r="J79" s="20">
        <f t="shared" si="1"/>
        <v>-0.042</v>
      </c>
      <c r="K79" s="20">
        <f>(F79 - AVERAGE('OT Sheet'!$F$3:$F$482))/_xlfn.STDEV.P('OT Sheet'!$F$3:$F$482)</f>
        <v>-0.3515715534</v>
      </c>
      <c r="L79" s="20">
        <f>(J79 - AVERAGE('OT Sheet'!$J$3:$J$482))/_xlfn.STDEV.P('OT Sheet'!$J$3:$J$482)</f>
        <v>0.2235772929</v>
      </c>
      <c r="M79" s="20">
        <f>K79*0.6+L79*0.4</f>
        <v>-0.1215120149</v>
      </c>
      <c r="N79" s="20">
        <f>100*(M79-MIN('OT Sheet'!$M$3:$M$482))/(MAX('OT Sheet'!$M$3:$M$482) - MIN('OT Sheet'!$M$3:$M$482))</f>
        <v>40.16938609</v>
      </c>
      <c r="P79" s="16">
        <v>5.02</v>
      </c>
      <c r="Q79" s="20">
        <f t="shared" si="6"/>
        <v>2.449243993</v>
      </c>
      <c r="R79" s="20">
        <f t="shared" si="9"/>
        <v>67.80506827</v>
      </c>
      <c r="S79" s="20">
        <f t="shared" si="8"/>
        <v>27.63568218</v>
      </c>
      <c r="T79" s="20"/>
      <c r="U79" s="20">
        <f>IFERROR(__xludf.DUMMYFUNCTION("iferror(PERCENTRANK.INC(FILTER($Q$3:$Q$426, $P$3:$P$426&lt;3.75), $Q79), 1)"),1.0)</f>
        <v>1</v>
      </c>
      <c r="V79" s="20">
        <f>IFERROR(__xludf.DUMMYFUNCTION("iferror(PERCENTRANK.INC(FILTER($Q$3:$Q$426, $P$3:$P$426&lt;4.25), $Q79), 1)"),0.973)</f>
        <v>0.973</v>
      </c>
      <c r="W79" s="20">
        <f>IFERROR(__xludf.DUMMYFUNCTION("iferror(PERCENTRANK.INC(FILTER($Q$3:$Q$426, $P$3:$P$426&gt;=4.1), $Q79), 0)"),0.368)</f>
        <v>0.368</v>
      </c>
    </row>
    <row r="80" ht="14.25" customHeight="1">
      <c r="A80" s="14" t="s">
        <v>1508</v>
      </c>
      <c r="B80" s="14" t="s">
        <v>1400</v>
      </c>
      <c r="C80" s="14">
        <v>69.0</v>
      </c>
      <c r="D80" s="14" t="s">
        <v>1417</v>
      </c>
      <c r="E80" s="14" t="s">
        <v>108</v>
      </c>
      <c r="F80" s="20">
        <v>0.986</v>
      </c>
      <c r="G80" s="14">
        <v>-0.13</v>
      </c>
      <c r="H80" s="14">
        <v>-0.6</v>
      </c>
      <c r="I80" s="14">
        <v>-0.11</v>
      </c>
      <c r="J80" s="20">
        <f t="shared" si="1"/>
        <v>-0.306</v>
      </c>
      <c r="K80" s="20">
        <f t="shared" ref="K80:K81" si="10">(F80 - AVERAGE($F$3:$F$81))/_xlfn.STDEV.P($F$3:$F$81)</f>
        <v>0.2940281042</v>
      </c>
      <c r="L80" s="20">
        <f t="shared" ref="L80:L81" si="11">(J80 - AVERAGE($J$3:$J$81))/_xlfn.STDEV.P($J$3:$J$81)</f>
        <v>-2.049246836</v>
      </c>
      <c r="M80" s="20">
        <f t="shared" ref="M80:M81" si="12">K80*0.4+L80*0.6</f>
        <v>-1.11193686</v>
      </c>
      <c r="N80" s="20">
        <f t="shared" ref="N80:N81" si="13">100*(M80-MIN($M$3:$M$81))/(MAX($M$3:$M$81) - MIN($M$3:$M$81))</f>
        <v>1.621568554</v>
      </c>
      <c r="Q80" s="20">
        <f t="shared" si="6"/>
        <v>-0.321640936</v>
      </c>
      <c r="R80" s="20">
        <f t="shared" si="9"/>
        <v>6.69413459</v>
      </c>
      <c r="S80" s="20">
        <f t="shared" si="8"/>
        <v>5.072566036</v>
      </c>
      <c r="U80" s="20">
        <f>IFERROR(__xludf.DUMMYFUNCTION("iferror(PERCENTRANK.INC(FILTER($Q$3:$Q$426, $P$3:$P$426&lt;3.75), $Q80), 1)"),0.255)</f>
        <v>0.255</v>
      </c>
      <c r="V80" s="20">
        <f>IFERROR(__xludf.DUMMYFUNCTION("iferror(PERCENTRANK.INC(FILTER($Q$3:$Q$426, $P$3:$P$426&lt;4.25), $Q80), 1)"),0.222)</f>
        <v>0.222</v>
      </c>
      <c r="W80" s="20">
        <f>IFERROR(__xludf.DUMMYFUNCTION("iferror(PERCENTRANK.INC(FILTER($Q$3:$Q$426, $P$3:$P$426&gt;=4.1), $Q80), 0)"),0.0)</f>
        <v>0</v>
      </c>
    </row>
    <row r="81" ht="14.25" customHeight="1">
      <c r="A81" s="14" t="s">
        <v>1509</v>
      </c>
      <c r="B81" s="14" t="s">
        <v>1510</v>
      </c>
      <c r="C81" s="14">
        <v>72.0</v>
      </c>
      <c r="D81" s="14" t="s">
        <v>1417</v>
      </c>
      <c r="E81" s="14" t="s">
        <v>176</v>
      </c>
      <c r="F81" s="20">
        <v>0.989</v>
      </c>
      <c r="G81" s="14">
        <v>0.07</v>
      </c>
      <c r="H81" s="14">
        <v>-0.08</v>
      </c>
      <c r="I81" s="14">
        <v>0.09</v>
      </c>
      <c r="J81" s="20">
        <f t="shared" si="1"/>
        <v>0.022</v>
      </c>
      <c r="K81" s="20">
        <f t="shared" si="10"/>
        <v>0.6968296112</v>
      </c>
      <c r="L81" s="20">
        <f t="shared" si="11"/>
        <v>1.181078266</v>
      </c>
      <c r="M81" s="20">
        <f t="shared" si="12"/>
        <v>0.9873788038</v>
      </c>
      <c r="N81" s="20">
        <f t="shared" si="13"/>
        <v>54.53236935</v>
      </c>
      <c r="P81" s="14">
        <v>4.7</v>
      </c>
      <c r="Q81" s="20">
        <f t="shared" si="6"/>
        <v>2.795264536</v>
      </c>
      <c r="R81" s="20">
        <f t="shared" si="9"/>
        <v>75.4364348</v>
      </c>
      <c r="S81" s="20">
        <f t="shared" si="8"/>
        <v>20.90406545</v>
      </c>
      <c r="U81" s="20">
        <f>IFERROR(__xludf.DUMMYFUNCTION("iferror(PERCENTRANK.INC(FILTER($Q$3:$Q$426, $P$3:$P$426&lt;3.75), $Q81), 1)"),1.0)</f>
        <v>1</v>
      </c>
      <c r="V81" s="20">
        <f>IFERROR(__xludf.DUMMYFUNCTION("iferror(PERCENTRANK.INC(FILTER($Q$3:$Q$426, $P$3:$P$426&lt;4.25), $Q81), 1)"),1.0)</f>
        <v>1</v>
      </c>
      <c r="W81" s="20">
        <f>IFERROR(__xludf.DUMMYFUNCTION("iferror(PERCENTRANK.INC(FILTER($Q$3:$Q$426, $P$3:$P$426&gt;=4.1), $Q81), 0)"),0.632)</f>
        <v>0.632</v>
      </c>
    </row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autoFilter ref="$A$2:$W$81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1511</v>
      </c>
      <c r="G1" s="14" t="s">
        <v>1512</v>
      </c>
      <c r="H1" s="14" t="s">
        <v>1513</v>
      </c>
      <c r="I1" s="14" t="s">
        <v>79</v>
      </c>
      <c r="J1" s="14" t="s">
        <v>83</v>
      </c>
      <c r="K1" s="14" t="s">
        <v>1514</v>
      </c>
      <c r="L1" s="14" t="s">
        <v>1515</v>
      </c>
      <c r="M1" s="14" t="s">
        <v>1516</v>
      </c>
      <c r="N1" s="14" t="s">
        <v>1517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1518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1519</v>
      </c>
      <c r="B2" s="17" t="s">
        <v>365</v>
      </c>
      <c r="C2" s="18">
        <v>12.0</v>
      </c>
      <c r="D2" s="17" t="s">
        <v>38</v>
      </c>
      <c r="E2" s="17" t="s">
        <v>102</v>
      </c>
      <c r="F2" s="18">
        <v>63.0</v>
      </c>
      <c r="G2" s="18">
        <v>38.0</v>
      </c>
      <c r="H2" s="18">
        <v>25.0</v>
      </c>
      <c r="I2" s="19">
        <v>0.658</v>
      </c>
      <c r="J2" s="18">
        <v>0.0</v>
      </c>
      <c r="K2" s="18">
        <v>0.0</v>
      </c>
      <c r="L2" s="18">
        <v>5.0</v>
      </c>
      <c r="M2" s="18">
        <v>5.0</v>
      </c>
      <c r="N2" s="18">
        <v>255.0</v>
      </c>
      <c r="O2" s="22">
        <v>2.09</v>
      </c>
      <c r="P2" s="22">
        <v>29.29</v>
      </c>
      <c r="Q2" s="15"/>
      <c r="R2" s="37">
        <v>2.09</v>
      </c>
      <c r="S2" s="16">
        <v>0.29</v>
      </c>
      <c r="T2" s="16">
        <v>4.7</v>
      </c>
      <c r="U2" s="14">
        <f t="array" ref="U2">XLOOKUP(E2, 'Conference Match'!$A$2:$A$25, 'Conference Match'!$C$2:$C$25)</f>
        <v>1</v>
      </c>
      <c r="V2" s="20">
        <f t="shared" ref="V2:V99" si="1">IFERROR(T2*0.7+R2*U2*0.15+S2*0.15, 0)</f>
        <v>3.647</v>
      </c>
      <c r="W2" s="20">
        <f t="shared" ref="W2:W99" si="2">100*(V2-MIN($V$2:$V$126))/(MAX($V$2:$V$126) - MIN($V$2:$V$126))</f>
        <v>77.575113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1)"),0.992)</f>
        <v>0.992</v>
      </c>
      <c r="AA2" s="20">
        <f>IFERROR(__xludf.DUMMYFUNCTION("iferror(PERCENTRANK.INC(FILTER($V$2:$V$425, $T$2:$T$425&gt;4.1), $V2), 0.01)"),0.533)</f>
        <v>0.533</v>
      </c>
    </row>
    <row r="3" ht="14.25" customHeight="1">
      <c r="A3" s="14" t="s">
        <v>1520</v>
      </c>
      <c r="B3" s="14" t="s">
        <v>331</v>
      </c>
      <c r="C3" s="14">
        <v>15.0</v>
      </c>
      <c r="D3" s="14" t="s">
        <v>38</v>
      </c>
      <c r="E3" s="14" t="s">
        <v>179</v>
      </c>
      <c r="F3" s="14">
        <v>47.0</v>
      </c>
      <c r="G3" s="14">
        <v>14.0</v>
      </c>
      <c r="H3" s="14">
        <v>5.0</v>
      </c>
      <c r="I3" s="46">
        <v>0.357</v>
      </c>
      <c r="J3" s="14">
        <v>0.0</v>
      </c>
      <c r="K3" s="14">
        <v>1.0</v>
      </c>
      <c r="L3" s="14">
        <v>1.0</v>
      </c>
      <c r="M3" s="14">
        <v>1.0</v>
      </c>
      <c r="N3" s="14">
        <v>104.0</v>
      </c>
      <c r="O3" s="20">
        <v>1.4757159999999998</v>
      </c>
      <c r="P3" s="20">
        <v>9.320004664602143</v>
      </c>
      <c r="Q3" s="15"/>
      <c r="R3" s="20">
        <v>1.4757159999999998</v>
      </c>
      <c r="U3" s="14">
        <f t="array" ref="U3">XLOOKUP(E3, 'Conference Match'!$A$2:$A$25, 'Conference Match'!$C$2:$C$25)</f>
        <v>1</v>
      </c>
      <c r="V3" s="20">
        <f t="shared" si="1"/>
        <v>0.2213574</v>
      </c>
      <c r="W3" s="20">
        <f t="shared" si="2"/>
        <v>4.70847966</v>
      </c>
      <c r="Y3" s="20">
        <f>IFERROR(__xludf.DUMMYFUNCTION("iferror(PERCENTRANK.INC(FILTER($V$2:$V$425, $T$2:$T$425&lt;3.75), $V3), 1)"),0.295)</f>
        <v>0.295</v>
      </c>
      <c r="Z3" s="20">
        <f>IFERROR(__xludf.DUMMYFUNCTION("iferror(PERCENTRANK.INC(FILTER($V$2:$V$425, $T$2:$T$425&lt;4.5), $V3), 1)"),0.264)</f>
        <v>0.264</v>
      </c>
      <c r="AA3" s="20">
        <f>IFERROR(__xludf.DUMMYFUNCTION("iferror(PERCENTRANK.INC(FILTER($V$2:$V$425, $T$2:$T$425&gt;4.1), $V3), 0.01)"),0.01)</f>
        <v>0.01</v>
      </c>
    </row>
    <row r="4" ht="14.25" customHeight="1">
      <c r="A4" s="14" t="s">
        <v>1521</v>
      </c>
      <c r="B4" s="14" t="s">
        <v>331</v>
      </c>
      <c r="C4" s="14">
        <v>21.0</v>
      </c>
      <c r="D4" s="14" t="s">
        <v>38</v>
      </c>
      <c r="E4" s="14" t="s">
        <v>179</v>
      </c>
      <c r="I4" s="46"/>
      <c r="O4" s="20">
        <v>1.36</v>
      </c>
      <c r="P4" s="20">
        <v>5.5</v>
      </c>
      <c r="Q4" s="15"/>
      <c r="R4" s="20">
        <v>1.36</v>
      </c>
      <c r="U4" s="14">
        <f t="array" ref="U4">XLOOKUP(E4, 'Conference Match'!$A$2:$A$25, 'Conference Match'!$C$2:$C$25)</f>
        <v>1</v>
      </c>
      <c r="V4" s="20">
        <f t="shared" si="1"/>
        <v>0.204</v>
      </c>
      <c r="W4" s="20">
        <f t="shared" si="2"/>
        <v>4.33927147</v>
      </c>
      <c r="Y4" s="20">
        <f>IFERROR(__xludf.DUMMYFUNCTION("iferror(PERCENTRANK.INC(FILTER($V$2:$V$425, $T$2:$T$425&lt;3.75), $V4), 1)"),0.167)</f>
        <v>0.167</v>
      </c>
      <c r="Z4" s="20">
        <f>IFERROR(__xludf.DUMMYFUNCTION("iferror(PERCENTRANK.INC(FILTER($V$2:$V$425, $T$2:$T$425&lt;4.5), $V4), 1)"),0.149)</f>
        <v>0.149</v>
      </c>
      <c r="AA4" s="20">
        <f>IFERROR(__xludf.DUMMYFUNCTION("iferror(PERCENTRANK.INC(FILTER($V$2:$V$425, $T$2:$T$425&gt;4.1), $V4), 0.01)"),0.01)</f>
        <v>0.01</v>
      </c>
    </row>
    <row r="5" ht="14.25" customHeight="1">
      <c r="A5" s="16" t="s">
        <v>1522</v>
      </c>
      <c r="B5" s="16" t="s">
        <v>1523</v>
      </c>
      <c r="D5" s="16" t="s">
        <v>38</v>
      </c>
      <c r="E5" s="16" t="s">
        <v>179</v>
      </c>
      <c r="F5" s="18">
        <v>43.0</v>
      </c>
      <c r="G5" s="18">
        <v>13.0</v>
      </c>
      <c r="H5" s="18">
        <v>8.0</v>
      </c>
      <c r="I5" s="19">
        <v>0.615</v>
      </c>
      <c r="J5" s="18">
        <v>0.0</v>
      </c>
      <c r="K5" s="18">
        <v>0.0</v>
      </c>
      <c r="L5" s="18">
        <v>2.0</v>
      </c>
      <c r="M5" s="18">
        <v>3.0</v>
      </c>
      <c r="N5" s="18">
        <v>86.0</v>
      </c>
      <c r="O5" s="22">
        <v>1.63</v>
      </c>
      <c r="P5" s="22">
        <v>14.4</v>
      </c>
      <c r="Q5" s="15"/>
      <c r="R5" s="37">
        <v>1.63</v>
      </c>
      <c r="S5" s="16">
        <v>-0.06</v>
      </c>
      <c r="T5" s="16">
        <v>5.0</v>
      </c>
      <c r="U5" s="14">
        <f t="array" ref="U5">XLOOKUP(E5, 'Conference Match'!$A$2:$A$25, 'Conference Match'!$C$2:$C$25)</f>
        <v>1</v>
      </c>
      <c r="V5" s="20">
        <f t="shared" si="1"/>
        <v>3.7355</v>
      </c>
      <c r="W5" s="20">
        <f t="shared" si="2"/>
        <v>79.45759107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1)"),0.997)</f>
        <v>0.997</v>
      </c>
      <c r="AA5" s="20">
        <f>IFERROR(__xludf.DUMMYFUNCTION("iferror(PERCENTRANK.INC(FILTER($V$2:$V$425, $T$2:$T$425&gt;4.1), $V5), 0.01)"),0.6)</f>
        <v>0.6</v>
      </c>
    </row>
    <row r="6" ht="14.25" customHeight="1">
      <c r="A6" s="14" t="s">
        <v>1524</v>
      </c>
      <c r="B6" s="14" t="s">
        <v>351</v>
      </c>
      <c r="C6" s="14">
        <v>16.0</v>
      </c>
      <c r="D6" s="14" t="s">
        <v>38</v>
      </c>
      <c r="E6" s="14" t="s">
        <v>130</v>
      </c>
      <c r="F6" s="14">
        <v>92.0</v>
      </c>
      <c r="G6" s="14">
        <v>40.0</v>
      </c>
      <c r="H6" s="14">
        <v>22.0</v>
      </c>
      <c r="I6" s="46">
        <v>0.55</v>
      </c>
      <c r="J6" s="14">
        <v>1.0</v>
      </c>
      <c r="K6" s="14">
        <v>0.0</v>
      </c>
      <c r="L6" s="14">
        <v>5.0</v>
      </c>
      <c r="M6" s="14">
        <v>7.0</v>
      </c>
      <c r="N6" s="14">
        <v>270.0</v>
      </c>
      <c r="O6" s="20">
        <v>2.4534000000000002</v>
      </c>
      <c r="P6" s="20">
        <v>40.99019137826037</v>
      </c>
      <c r="Q6" s="15"/>
      <c r="R6" s="20">
        <v>2.4534000000000002</v>
      </c>
      <c r="U6" s="14">
        <f t="array" ref="U6">XLOOKUP(E6, 'Conference Match'!$A$2:$A$25, 'Conference Match'!$C$2:$C$25)</f>
        <v>1</v>
      </c>
      <c r="V6" s="20">
        <f t="shared" si="1"/>
        <v>0.36801</v>
      </c>
      <c r="W6" s="20">
        <f t="shared" si="2"/>
        <v>7.827918107</v>
      </c>
      <c r="Y6" s="20">
        <f>IFERROR(__xludf.DUMMYFUNCTION("iferror(PERCENTRANK.INC(FILTER($V$2:$V$425, $T$2:$T$425&lt;3.75), $V6), 1)"),0.846)</f>
        <v>0.846</v>
      </c>
      <c r="Z6" s="20">
        <f>IFERROR(__xludf.DUMMYFUNCTION("iferror(PERCENTRANK.INC(FILTER($V$2:$V$425, $T$2:$T$425&lt;4.5), $V6), 1)"),0.759)</f>
        <v>0.759</v>
      </c>
      <c r="AA6" s="20">
        <f>IFERROR(__xludf.DUMMYFUNCTION("iferror(PERCENTRANK.INC(FILTER($V$2:$V$425, $T$2:$T$425&gt;4.1), $V6), 0.01)"),0.01)</f>
        <v>0.01</v>
      </c>
    </row>
    <row r="7" ht="14.25" customHeight="1">
      <c r="A7" s="14" t="s">
        <v>1525</v>
      </c>
      <c r="B7" s="14" t="s">
        <v>351</v>
      </c>
      <c r="C7" s="14">
        <v>14.0</v>
      </c>
      <c r="D7" s="14" t="s">
        <v>38</v>
      </c>
      <c r="E7" s="14" t="s">
        <v>130</v>
      </c>
      <c r="F7" s="14">
        <v>28.0</v>
      </c>
      <c r="G7" s="14">
        <v>19.0</v>
      </c>
      <c r="H7" s="14">
        <v>10.0</v>
      </c>
      <c r="I7" s="46">
        <v>0.526</v>
      </c>
      <c r="J7" s="14">
        <v>0.0</v>
      </c>
      <c r="K7" s="14">
        <v>0.0</v>
      </c>
      <c r="L7" s="14">
        <v>4.0</v>
      </c>
      <c r="M7" s="14">
        <v>5.0</v>
      </c>
      <c r="N7" s="14">
        <v>83.0</v>
      </c>
      <c r="O7" s="20">
        <v>1.993688</v>
      </c>
      <c r="P7" s="20">
        <v>26.09870816434948</v>
      </c>
      <c r="Q7" s="15"/>
      <c r="R7" s="20">
        <v>1.993688</v>
      </c>
      <c r="U7" s="14">
        <f t="array" ref="U7">XLOOKUP(E7, 'Conference Match'!$A$2:$A$25, 'Conference Match'!$C$2:$C$25)</f>
        <v>1</v>
      </c>
      <c r="V7" s="20">
        <f t="shared" si="1"/>
        <v>0.2990532</v>
      </c>
      <c r="W7" s="20">
        <f t="shared" si="2"/>
        <v>6.361142249</v>
      </c>
      <c r="Y7" s="20">
        <f>IFERROR(__xludf.DUMMYFUNCTION("iferror(PERCENTRANK.INC(FILTER($V$2:$V$425, $T$2:$T$425&lt;3.75), $V7), 1)"),0.679)</f>
        <v>0.679</v>
      </c>
      <c r="Z7" s="20">
        <f>IFERROR(__xludf.DUMMYFUNCTION("iferror(PERCENTRANK.INC(FILTER($V$2:$V$425, $T$2:$T$425&lt;4.5), $V7), 1)"),0.609)</f>
        <v>0.609</v>
      </c>
      <c r="AA7" s="20">
        <f>IFERROR(__xludf.DUMMYFUNCTION("iferror(PERCENTRANK.INC(FILTER($V$2:$V$425, $T$2:$T$425&gt;4.1), $V7), 0.01)"),0.01)</f>
        <v>0.01</v>
      </c>
    </row>
    <row r="8" ht="14.25" customHeight="1">
      <c r="A8" s="14" t="s">
        <v>1526</v>
      </c>
      <c r="B8" s="14" t="s">
        <v>351</v>
      </c>
      <c r="C8" s="14">
        <v>10.0</v>
      </c>
      <c r="D8" s="14" t="s">
        <v>38</v>
      </c>
      <c r="E8" s="14" t="s">
        <v>130</v>
      </c>
      <c r="F8" s="14">
        <v>33.0</v>
      </c>
      <c r="G8" s="14">
        <v>11.0</v>
      </c>
      <c r="H8" s="14">
        <v>5.0</v>
      </c>
      <c r="I8" s="46">
        <v>0.455</v>
      </c>
      <c r="J8" s="14">
        <v>0.0</v>
      </c>
      <c r="K8" s="14">
        <v>0.0</v>
      </c>
      <c r="L8" s="14">
        <v>3.0</v>
      </c>
      <c r="M8" s="14">
        <v>4.0</v>
      </c>
      <c r="N8" s="14">
        <v>54.0</v>
      </c>
      <c r="O8" s="20">
        <v>1.81454</v>
      </c>
      <c r="P8" s="20">
        <v>20.2955543750081</v>
      </c>
      <c r="Q8" s="15"/>
      <c r="R8" s="20">
        <v>1.81454</v>
      </c>
      <c r="U8" s="14">
        <f t="array" ref="U8">XLOOKUP(E8, 'Conference Match'!$A$2:$A$25, 'Conference Match'!$C$2:$C$25)</f>
        <v>1</v>
      </c>
      <c r="V8" s="20">
        <f t="shared" si="1"/>
        <v>0.272181</v>
      </c>
      <c r="W8" s="20">
        <f t="shared" si="2"/>
        <v>5.789545334</v>
      </c>
      <c r="Y8" s="20">
        <f>IFERROR(__xludf.DUMMYFUNCTION("iferror(PERCENTRANK.INC(FILTER($V$2:$V$425, $T$2:$T$425&lt;3.75), $V8), 1)"),0.551)</f>
        <v>0.551</v>
      </c>
      <c r="Z8" s="20">
        <f>IFERROR(__xludf.DUMMYFUNCTION("iferror(PERCENTRANK.INC(FILTER($V$2:$V$425, $T$2:$T$425&lt;4.5), $V8), 1)"),0.494)</f>
        <v>0.494</v>
      </c>
      <c r="AA8" s="20">
        <f>IFERROR(__xludf.DUMMYFUNCTION("iferror(PERCENTRANK.INC(FILTER($V$2:$V$425, $T$2:$T$425&gt;4.1), $V8), 0.01)"),0.01)</f>
        <v>0.01</v>
      </c>
    </row>
    <row r="9" ht="14.25" customHeight="1">
      <c r="A9" s="14" t="s">
        <v>1527</v>
      </c>
      <c r="B9" s="14" t="s">
        <v>351</v>
      </c>
      <c r="C9" s="14">
        <v>3.0</v>
      </c>
      <c r="D9" s="14" t="s">
        <v>38</v>
      </c>
      <c r="E9" s="14" t="s">
        <v>130</v>
      </c>
      <c r="F9" s="14">
        <v>64.0</v>
      </c>
      <c r="G9" s="14">
        <v>34.0</v>
      </c>
      <c r="H9" s="14">
        <v>20.0</v>
      </c>
      <c r="I9" s="46">
        <v>0.588</v>
      </c>
      <c r="J9" s="14">
        <v>1.0</v>
      </c>
      <c r="K9" s="14">
        <v>1.0</v>
      </c>
      <c r="L9" s="14">
        <v>1.0</v>
      </c>
      <c r="M9" s="14">
        <v>2.0</v>
      </c>
      <c r="N9" s="14">
        <v>155.0</v>
      </c>
      <c r="O9" s="20">
        <v>1.752944</v>
      </c>
      <c r="P9" s="20">
        <v>18.300270806069168</v>
      </c>
      <c r="Q9" s="15"/>
      <c r="R9" s="20">
        <v>1.752944</v>
      </c>
      <c r="U9" s="14">
        <f t="array" ref="U9">XLOOKUP(E9, 'Conference Match'!$A$2:$A$25, 'Conference Match'!$C$2:$C$25)</f>
        <v>1</v>
      </c>
      <c r="V9" s="20">
        <f t="shared" si="1"/>
        <v>0.2629416</v>
      </c>
      <c r="W9" s="20">
        <f t="shared" si="2"/>
        <v>5.593014624</v>
      </c>
      <c r="Y9" s="20">
        <f>IFERROR(__xludf.DUMMYFUNCTION("iferror(PERCENTRANK.INC(FILTER($V$2:$V$425, $T$2:$T$425&lt;3.75), $V9), 1)"),0.487)</f>
        <v>0.487</v>
      </c>
      <c r="Z9" s="20">
        <f>IFERROR(__xludf.DUMMYFUNCTION("iferror(PERCENTRANK.INC(FILTER($V$2:$V$425, $T$2:$T$425&lt;4.5), $V9), 1)"),0.437)</f>
        <v>0.437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4" t="s">
        <v>1528</v>
      </c>
      <c r="B10" s="14" t="s">
        <v>351</v>
      </c>
      <c r="C10" s="14">
        <v>30.0</v>
      </c>
      <c r="D10" s="14" t="s">
        <v>38</v>
      </c>
      <c r="E10" s="14" t="s">
        <v>130</v>
      </c>
      <c r="F10" s="14">
        <v>7.0</v>
      </c>
      <c r="G10" s="14">
        <v>34.0</v>
      </c>
      <c r="H10" s="14">
        <v>25.0</v>
      </c>
      <c r="I10" s="46">
        <v>0.735</v>
      </c>
      <c r="J10" s="14">
        <v>0.0</v>
      </c>
      <c r="K10" s="14">
        <v>1.0</v>
      </c>
      <c r="L10" s="14">
        <v>2.0</v>
      </c>
      <c r="M10" s="14">
        <v>2.0</v>
      </c>
      <c r="N10" s="14">
        <v>170.0</v>
      </c>
      <c r="O10" s="20">
        <v>1.6511799999999999</v>
      </c>
      <c r="P10" s="20">
        <v>15.00382238231597</v>
      </c>
      <c r="Q10" s="15"/>
      <c r="R10" s="20">
        <v>1.6511799999999999</v>
      </c>
      <c r="U10" s="14">
        <f t="array" ref="U10">XLOOKUP(E10, 'Conference Match'!$A$2:$A$25, 'Conference Match'!$C$2:$C$25)</f>
        <v>1</v>
      </c>
      <c r="V10" s="20">
        <f t="shared" si="1"/>
        <v>0.247677</v>
      </c>
      <c r="W10" s="20">
        <f t="shared" si="2"/>
        <v>5.268322255</v>
      </c>
      <c r="Y10" s="20">
        <f>IFERROR(__xludf.DUMMYFUNCTION("iferror(PERCENTRANK.INC(FILTER($V$2:$V$425, $T$2:$T$425&lt;3.75), $V10), 1)"),0.423)</f>
        <v>0.423</v>
      </c>
      <c r="Z10" s="20">
        <f>IFERROR(__xludf.DUMMYFUNCTION("iferror(PERCENTRANK.INC(FILTER($V$2:$V$425, $T$2:$T$425&lt;4.5), $V10), 1)"),0.379)</f>
        <v>0.379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4" t="s">
        <v>1529</v>
      </c>
      <c r="B11" s="14" t="s">
        <v>351</v>
      </c>
      <c r="C11" s="14">
        <v>7.0</v>
      </c>
      <c r="D11" s="14" t="s">
        <v>38</v>
      </c>
      <c r="E11" s="14" t="s">
        <v>130</v>
      </c>
      <c r="F11" s="14">
        <v>25.0</v>
      </c>
      <c r="G11" s="14">
        <v>25.0</v>
      </c>
      <c r="H11" s="14">
        <v>15.0</v>
      </c>
      <c r="I11" s="46">
        <v>0.6</v>
      </c>
      <c r="J11" s="14">
        <v>0.0</v>
      </c>
      <c r="K11" s="14">
        <v>0.0</v>
      </c>
      <c r="L11" s="14">
        <v>2.0</v>
      </c>
      <c r="M11" s="14">
        <v>2.0</v>
      </c>
      <c r="N11" s="14">
        <v>289.0</v>
      </c>
      <c r="O11" s="20">
        <v>1.5528</v>
      </c>
      <c r="P11" s="20">
        <v>11.816992109048032</v>
      </c>
      <c r="Q11" s="15"/>
      <c r="R11" s="20">
        <v>1.5528</v>
      </c>
      <c r="U11" s="14">
        <f t="array" ref="U11">XLOOKUP(E11, 'Conference Match'!$A$2:$A$25, 'Conference Match'!$C$2:$C$25)</f>
        <v>1</v>
      </c>
      <c r="V11" s="20">
        <f t="shared" si="1"/>
        <v>0.23292</v>
      </c>
      <c r="W11" s="20">
        <f t="shared" si="2"/>
        <v>4.954427014</v>
      </c>
      <c r="Y11" s="20">
        <f>IFERROR(__xludf.DUMMYFUNCTION("iferror(PERCENTRANK.INC(FILTER($V$2:$V$425, $T$2:$T$425&lt;3.75), $V11), 1)"),0.333)</f>
        <v>0.333</v>
      </c>
      <c r="Z11" s="20">
        <f>IFERROR(__xludf.DUMMYFUNCTION("iferror(PERCENTRANK.INC(FILTER($V$2:$V$425, $T$2:$T$425&lt;4.5), $V11), 1)"),0.299)</f>
        <v>0.299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4" t="s">
        <v>1530</v>
      </c>
      <c r="B12" s="14" t="s">
        <v>412</v>
      </c>
      <c r="C12" s="14">
        <v>1.0</v>
      </c>
      <c r="D12" s="14" t="s">
        <v>38</v>
      </c>
      <c r="E12" s="14" t="s">
        <v>149</v>
      </c>
      <c r="F12" s="14">
        <v>53.0</v>
      </c>
      <c r="G12" s="14">
        <v>40.0</v>
      </c>
      <c r="H12" s="14">
        <v>22.0</v>
      </c>
      <c r="I12" s="46">
        <v>0.55</v>
      </c>
      <c r="J12" s="14">
        <v>0.0</v>
      </c>
      <c r="K12" s="14">
        <v>0.0</v>
      </c>
      <c r="L12" s="14">
        <v>3.0</v>
      </c>
      <c r="M12" s="14">
        <v>5.0</v>
      </c>
      <c r="N12" s="14">
        <v>224.0</v>
      </c>
      <c r="O12" s="20">
        <v>1.8934</v>
      </c>
      <c r="P12" s="20">
        <v>22.850071912616453</v>
      </c>
      <c r="Q12" s="15"/>
      <c r="R12" s="20">
        <v>1.8934</v>
      </c>
      <c r="S12" s="20">
        <v>0.068</v>
      </c>
      <c r="T12" s="20">
        <v>5.1</v>
      </c>
      <c r="U12" s="14">
        <f t="array" ref="U12">XLOOKUP(E12, 'Conference Match'!$A$2:$A$25, 'Conference Match'!$C$2:$C$25)</f>
        <v>0.95</v>
      </c>
      <c r="V12" s="20">
        <f t="shared" si="1"/>
        <v>3.8500095</v>
      </c>
      <c r="W12" s="20">
        <f t="shared" si="2"/>
        <v>81.89331561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1)"),1.0)</f>
        <v>1</v>
      </c>
      <c r="AA12" s="20">
        <f>IFERROR(__xludf.DUMMYFUNCTION("iferror(PERCENTRANK.INC(FILTER($V$2:$V$425, $T$2:$T$425&gt;4.1), $V12), 0.01)"),0.8)</f>
        <v>0.8</v>
      </c>
    </row>
    <row r="13" ht="14.25" customHeight="1">
      <c r="A13" s="14" t="s">
        <v>1531</v>
      </c>
      <c r="B13" s="14" t="s">
        <v>412</v>
      </c>
      <c r="C13" s="14">
        <v>36.0</v>
      </c>
      <c r="D13" s="14" t="s">
        <v>38</v>
      </c>
      <c r="E13" s="14" t="s">
        <v>149</v>
      </c>
      <c r="F13" s="14">
        <v>10.0</v>
      </c>
      <c r="G13" s="14">
        <v>16.0</v>
      </c>
      <c r="H13" s="14">
        <v>7.0</v>
      </c>
      <c r="I13" s="46">
        <v>0.438</v>
      </c>
      <c r="J13" s="14">
        <v>0.0</v>
      </c>
      <c r="K13" s="14">
        <v>0.0</v>
      </c>
      <c r="L13" s="14">
        <v>5.0</v>
      </c>
      <c r="M13" s="14">
        <v>6.0</v>
      </c>
      <c r="N13" s="14">
        <v>137.0</v>
      </c>
      <c r="O13" s="20">
        <v>2.174744</v>
      </c>
      <c r="P13" s="20">
        <v>31.963667932155953</v>
      </c>
      <c r="Q13" s="15"/>
      <c r="R13" s="20">
        <v>2.174744</v>
      </c>
      <c r="U13" s="14">
        <f t="array" ref="U13">XLOOKUP(E13, 'Conference Match'!$A$2:$A$25, 'Conference Match'!$C$2:$C$25)</f>
        <v>0.95</v>
      </c>
      <c r="V13" s="20">
        <f t="shared" si="1"/>
        <v>0.30990102</v>
      </c>
      <c r="W13" s="20">
        <f t="shared" si="2"/>
        <v>6.591885562</v>
      </c>
      <c r="Y13" s="20">
        <f>IFERROR(__xludf.DUMMYFUNCTION("iferror(PERCENTRANK.INC(FILTER($V$2:$V$425, $T$2:$T$425&lt;3.75), $V13), 1)"),0.718)</f>
        <v>0.718</v>
      </c>
      <c r="Z13" s="20">
        <f>IFERROR(__xludf.DUMMYFUNCTION("iferror(PERCENTRANK.INC(FILTER($V$2:$V$425, $T$2:$T$425&lt;4.5), $V13), 1)"),0.644)</f>
        <v>0.644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1532</v>
      </c>
      <c r="B14" s="14" t="s">
        <v>412</v>
      </c>
      <c r="C14" s="14">
        <v>3.0</v>
      </c>
      <c r="D14" s="14" t="s">
        <v>38</v>
      </c>
      <c r="E14" s="14" t="s">
        <v>149</v>
      </c>
      <c r="F14" s="14">
        <v>34.0</v>
      </c>
      <c r="G14" s="14">
        <v>17.0</v>
      </c>
      <c r="H14" s="14">
        <v>11.0</v>
      </c>
      <c r="I14" s="46">
        <v>0.647</v>
      </c>
      <c r="J14" s="14">
        <v>1.0</v>
      </c>
      <c r="K14" s="14">
        <v>0.0</v>
      </c>
      <c r="L14" s="14">
        <v>1.0</v>
      </c>
      <c r="M14" s="14">
        <v>1.0</v>
      </c>
      <c r="N14" s="14">
        <v>85.0</v>
      </c>
      <c r="O14" s="20">
        <v>1.5722359999999997</v>
      </c>
      <c r="P14" s="20">
        <v>12.446583826787766</v>
      </c>
      <c r="Q14" s="15"/>
      <c r="R14" s="20">
        <v>1.5722359999999997</v>
      </c>
      <c r="U14" s="14">
        <f t="array" ref="U14">XLOOKUP(E14, 'Conference Match'!$A$2:$A$25, 'Conference Match'!$C$2:$C$25)</f>
        <v>0.95</v>
      </c>
      <c r="V14" s="20">
        <f t="shared" si="1"/>
        <v>0.22404363</v>
      </c>
      <c r="W14" s="20">
        <f t="shared" si="2"/>
        <v>4.765618293</v>
      </c>
      <c r="Y14" s="20">
        <f>IFERROR(__xludf.DUMMYFUNCTION("iferror(PERCENTRANK.INC(FILTER($V$2:$V$425, $T$2:$T$425&lt;3.75), $V14), 1)"),0.308)</f>
        <v>0.308</v>
      </c>
      <c r="Z14" s="20">
        <f>IFERROR(__xludf.DUMMYFUNCTION("iferror(PERCENTRANK.INC(FILTER($V$2:$V$425, $T$2:$T$425&lt;4.5), $V14), 1)"),0.276)</f>
        <v>0.276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1533</v>
      </c>
      <c r="B15" s="14" t="s">
        <v>412</v>
      </c>
      <c r="C15" s="14">
        <v>9.0</v>
      </c>
      <c r="D15" s="14" t="s">
        <v>38</v>
      </c>
      <c r="E15" s="14" t="s">
        <v>149</v>
      </c>
      <c r="F15" s="14">
        <v>47.0</v>
      </c>
      <c r="G15" s="14">
        <v>23.0</v>
      </c>
      <c r="H15" s="14">
        <v>8.0</v>
      </c>
      <c r="I15" s="46">
        <v>0.348</v>
      </c>
      <c r="J15" s="14">
        <v>0.0</v>
      </c>
      <c r="K15" s="14">
        <v>0.0</v>
      </c>
      <c r="L15" s="14">
        <v>0.0</v>
      </c>
      <c r="M15" s="14">
        <v>4.0</v>
      </c>
      <c r="N15" s="14">
        <v>161.0</v>
      </c>
      <c r="O15" s="20">
        <v>1.515824</v>
      </c>
      <c r="P15" s="20">
        <v>10.619225935187947</v>
      </c>
      <c r="Q15" s="15"/>
      <c r="R15" s="20">
        <v>1.515824</v>
      </c>
      <c r="U15" s="14">
        <f t="array" ref="U15">XLOOKUP(E15, 'Conference Match'!$A$2:$A$25, 'Conference Match'!$C$2:$C$25)</f>
        <v>0.95</v>
      </c>
      <c r="V15" s="20">
        <f t="shared" si="1"/>
        <v>0.21600492</v>
      </c>
      <c r="W15" s="20">
        <f t="shared" si="2"/>
        <v>4.594627386</v>
      </c>
      <c r="Y15" s="20">
        <f>IFERROR(__xludf.DUMMYFUNCTION("iferror(PERCENTRANK.INC(FILTER($V$2:$V$425, $T$2:$T$425&lt;3.75), $V15), 1)"),0.269)</f>
        <v>0.269</v>
      </c>
      <c r="Z15" s="20">
        <f>IFERROR(__xludf.DUMMYFUNCTION("iferror(PERCENTRANK.INC(FILTER($V$2:$V$425, $T$2:$T$425&lt;4.5), $V15), 1)"),0.241)</f>
        <v>0.241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1534</v>
      </c>
      <c r="B16" s="14" t="s">
        <v>412</v>
      </c>
      <c r="C16" s="14">
        <v>5.0</v>
      </c>
      <c r="D16" s="14" t="s">
        <v>38</v>
      </c>
      <c r="E16" s="14" t="s">
        <v>149</v>
      </c>
      <c r="F16" s="14">
        <v>20.0</v>
      </c>
      <c r="G16" s="14">
        <v>8.0</v>
      </c>
      <c r="H16" s="14">
        <v>4.0</v>
      </c>
      <c r="I16" s="46">
        <v>0.5</v>
      </c>
      <c r="J16" s="14">
        <v>0.0</v>
      </c>
      <c r="K16" s="14">
        <v>0.0</v>
      </c>
      <c r="L16" s="14">
        <v>0.0</v>
      </c>
      <c r="M16" s="14">
        <v>2.0</v>
      </c>
      <c r="N16" s="14">
        <v>61.0</v>
      </c>
      <c r="O16" s="20">
        <v>1.3539999999999999</v>
      </c>
      <c r="P16" s="20">
        <v>5.377249698744443</v>
      </c>
      <c r="Q16" s="15"/>
      <c r="R16" s="20">
        <v>1.3539999999999999</v>
      </c>
      <c r="U16" s="14">
        <f t="array" ref="U16">XLOOKUP(E16, 'Conference Match'!$A$2:$A$25, 'Conference Match'!$C$2:$C$25)</f>
        <v>0.95</v>
      </c>
      <c r="V16" s="20">
        <f t="shared" si="1"/>
        <v>0.192945</v>
      </c>
      <c r="W16" s="20">
        <f t="shared" si="2"/>
        <v>4.104121244</v>
      </c>
      <c r="Y16" s="20">
        <f>IFERROR(__xludf.DUMMYFUNCTION("iferror(PERCENTRANK.INC(FILTER($V$2:$V$425, $T$2:$T$425&lt;3.75), $V16), 1)"),0.128)</f>
        <v>0.128</v>
      </c>
      <c r="Z16" s="20">
        <f>IFERROR(__xludf.DUMMYFUNCTION("iferror(PERCENTRANK.INC(FILTER($V$2:$V$425, $T$2:$T$425&lt;4.5), $V16), 1)"),0.115)</f>
        <v>0.115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6" t="s">
        <v>1535</v>
      </c>
      <c r="B17" s="16" t="s">
        <v>1320</v>
      </c>
      <c r="C17" s="16">
        <v>3.0</v>
      </c>
      <c r="D17" s="16" t="s">
        <v>38</v>
      </c>
      <c r="E17" s="16" t="s">
        <v>108</v>
      </c>
      <c r="F17" s="16">
        <v>8.0</v>
      </c>
      <c r="G17" s="16">
        <v>5.0</v>
      </c>
      <c r="H17" s="16">
        <v>2.0</v>
      </c>
      <c r="I17" s="27">
        <v>0.4</v>
      </c>
      <c r="J17" s="16">
        <v>0.0</v>
      </c>
      <c r="K17" s="16">
        <v>0.0</v>
      </c>
      <c r="L17" s="16">
        <v>0.0</v>
      </c>
      <c r="M17" s="16">
        <v>1.0</v>
      </c>
      <c r="N17" s="16">
        <v>49.0</v>
      </c>
      <c r="O17" s="20">
        <f>((100-I653)*0.6+J653*10+L653*5+M653*4+K653*5)/50</f>
        <v>1.2</v>
      </c>
      <c r="P17" s="37">
        <v>0.39</v>
      </c>
      <c r="Q17" s="15"/>
      <c r="R17" s="37">
        <v>1.2</v>
      </c>
      <c r="S17" s="16">
        <v>-0.05</v>
      </c>
      <c r="T17" s="16">
        <v>4.8</v>
      </c>
      <c r="U17" s="14">
        <f t="array" ref="U17">XLOOKUP(E17, 'Conference Match'!$A$2:$A$25, 'Conference Match'!$C$2:$C$25)</f>
        <v>0.95</v>
      </c>
      <c r="V17" s="20">
        <f t="shared" si="1"/>
        <v>3.5235</v>
      </c>
      <c r="W17" s="20">
        <f t="shared" si="2"/>
        <v>74.94815209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1)"),0.984)</f>
        <v>0.984</v>
      </c>
      <c r="AA17" s="20">
        <f>IFERROR(__xludf.DUMMYFUNCTION("iferror(PERCENTRANK.INC(FILTER($V$2:$V$425, $T$2:$T$425&gt;4.1), $V17), 0.01)"),0.333)</f>
        <v>0.333</v>
      </c>
    </row>
    <row r="18" ht="14.25" customHeight="1">
      <c r="A18" s="14" t="s">
        <v>1536</v>
      </c>
      <c r="B18" s="14" t="s">
        <v>124</v>
      </c>
      <c r="C18" s="14">
        <v>17.0</v>
      </c>
      <c r="D18" s="14" t="s">
        <v>38</v>
      </c>
      <c r="E18" s="14" t="s">
        <v>125</v>
      </c>
      <c r="F18" s="14">
        <v>53.0</v>
      </c>
      <c r="G18" s="14">
        <v>19.0</v>
      </c>
      <c r="H18" s="14">
        <v>8.0</v>
      </c>
      <c r="I18" s="46">
        <v>0.421</v>
      </c>
      <c r="J18" s="14">
        <v>2.0</v>
      </c>
      <c r="K18" s="14">
        <v>1.0</v>
      </c>
      <c r="L18" s="14">
        <v>3.0</v>
      </c>
      <c r="M18" s="14">
        <v>3.0</v>
      </c>
      <c r="N18" s="14">
        <v>102.0</v>
      </c>
      <c r="O18" s="20">
        <v>2.234948</v>
      </c>
      <c r="P18" s="20">
        <v>33.913860346994575</v>
      </c>
      <c r="Q18" s="15"/>
      <c r="R18" s="20">
        <v>2.234948</v>
      </c>
      <c r="U18" s="14">
        <f t="array" ref="U18">XLOOKUP(E18, 'Conference Match'!$A$2:$A$25, 'Conference Match'!$C$2:$C$25)</f>
        <v>0.95</v>
      </c>
      <c r="V18" s="20">
        <f t="shared" si="1"/>
        <v>0.31848009</v>
      </c>
      <c r="W18" s="20">
        <f t="shared" si="2"/>
        <v>6.774370433</v>
      </c>
      <c r="Y18" s="20">
        <f>IFERROR(__xludf.DUMMYFUNCTION("iferror(PERCENTRANK.INC(FILTER($V$2:$V$425, $T$2:$T$425&lt;3.75), $V18), 1)"),0.756)</f>
        <v>0.756</v>
      </c>
      <c r="Z18" s="20">
        <f>IFERROR(__xludf.DUMMYFUNCTION("iferror(PERCENTRANK.INC(FILTER($V$2:$V$425, $T$2:$T$425&lt;4.5), $V18), 1)"),0.678)</f>
        <v>0.678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1537</v>
      </c>
      <c r="B19" s="14" t="s">
        <v>124</v>
      </c>
      <c r="C19" s="14">
        <v>2.0</v>
      </c>
      <c r="D19" s="16" t="s">
        <v>38</v>
      </c>
      <c r="E19" s="14" t="s">
        <v>125</v>
      </c>
      <c r="F19" s="14">
        <v>12.0</v>
      </c>
      <c r="G19" s="14">
        <v>8.0</v>
      </c>
      <c r="H19" s="14">
        <v>5.0</v>
      </c>
      <c r="I19" s="46">
        <v>0.625</v>
      </c>
      <c r="J19" s="14">
        <v>0.0</v>
      </c>
      <c r="K19" s="14">
        <v>0.0</v>
      </c>
      <c r="L19" s="14">
        <v>0.0</v>
      </c>
      <c r="M19" s="14">
        <v>0.0</v>
      </c>
      <c r="N19" s="14">
        <v>97.0</v>
      </c>
      <c r="O19" s="20">
        <v>1.1925</v>
      </c>
      <c r="P19" s="20">
        <v>0.16507049610653535</v>
      </c>
      <c r="Q19" s="15"/>
      <c r="R19" s="37">
        <v>1.19</v>
      </c>
      <c r="S19" s="16">
        <v>-0.04</v>
      </c>
      <c r="T19" s="16">
        <v>3.9</v>
      </c>
      <c r="U19" s="14">
        <f t="array" ref="U19">XLOOKUP(E19, 'Conference Match'!$A$2:$A$25, 'Conference Match'!$C$2:$C$25)</f>
        <v>0.95</v>
      </c>
      <c r="V19" s="20">
        <f t="shared" si="1"/>
        <v>2.893575</v>
      </c>
      <c r="W19" s="20">
        <f t="shared" si="2"/>
        <v>61.5490561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1)"),0.908)</f>
        <v>0.908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1538</v>
      </c>
      <c r="B20" s="14" t="s">
        <v>511</v>
      </c>
      <c r="C20" s="14">
        <v>3.0</v>
      </c>
      <c r="D20" s="14" t="s">
        <v>38</v>
      </c>
      <c r="E20" s="14" t="s">
        <v>102</v>
      </c>
      <c r="F20" s="14">
        <v>55.0</v>
      </c>
      <c r="G20" s="14">
        <v>19.0</v>
      </c>
      <c r="H20" s="14">
        <v>12.0</v>
      </c>
      <c r="I20" s="46">
        <v>0.632</v>
      </c>
      <c r="J20" s="14">
        <v>0.0</v>
      </c>
      <c r="K20" s="14">
        <v>1.0</v>
      </c>
      <c r="L20" s="14">
        <v>0.0</v>
      </c>
      <c r="M20" s="14">
        <v>0.0</v>
      </c>
      <c r="N20" s="14">
        <v>134.0</v>
      </c>
      <c r="O20" s="20">
        <v>1.292416</v>
      </c>
      <c r="P20" s="20">
        <v>3.3823548466512063</v>
      </c>
      <c r="Q20" s="15"/>
      <c r="R20" s="20">
        <v>1.292416</v>
      </c>
      <c r="S20" s="16">
        <v>-0.03</v>
      </c>
      <c r="T20" s="16">
        <v>3.3</v>
      </c>
      <c r="U20" s="14">
        <f t="array" ref="U20">XLOOKUP(E20, 'Conference Match'!$A$2:$A$25, 'Conference Match'!$C$2:$C$25)</f>
        <v>1</v>
      </c>
      <c r="V20" s="20">
        <f t="shared" si="1"/>
        <v>2.4993624</v>
      </c>
      <c r="W20" s="20">
        <f t="shared" si="2"/>
        <v>53.1637841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1)"),0.897)</f>
        <v>0.897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1539</v>
      </c>
      <c r="B21" s="14" t="s">
        <v>511</v>
      </c>
      <c r="C21" s="14">
        <v>8.0</v>
      </c>
      <c r="D21" s="14" t="s">
        <v>38</v>
      </c>
      <c r="E21" s="14" t="s">
        <v>102</v>
      </c>
      <c r="F21" s="14">
        <v>123.0</v>
      </c>
      <c r="G21" s="14">
        <v>34.0</v>
      </c>
      <c r="H21" s="14">
        <v>19.0</v>
      </c>
      <c r="I21" s="46">
        <v>0.559</v>
      </c>
      <c r="J21" s="14">
        <v>1.0</v>
      </c>
      <c r="K21" s="14">
        <v>0.0</v>
      </c>
      <c r="L21" s="14">
        <v>4.0</v>
      </c>
      <c r="M21" s="14">
        <v>4.0</v>
      </c>
      <c r="N21" s="14">
        <v>287.0</v>
      </c>
      <c r="O21" s="20">
        <v>2.113292</v>
      </c>
      <c r="P21" s="20">
        <v>29.973048965365326</v>
      </c>
      <c r="Q21" s="15"/>
      <c r="R21" s="20">
        <v>2.113292</v>
      </c>
      <c r="U21" s="14">
        <f t="array" ref="U21">XLOOKUP(E21, 'Conference Match'!$A$2:$A$25, 'Conference Match'!$C$2:$C$25)</f>
        <v>1</v>
      </c>
      <c r="V21" s="20">
        <f t="shared" si="1"/>
        <v>0.3169938</v>
      </c>
      <c r="W21" s="20">
        <f t="shared" si="2"/>
        <v>6.74275565</v>
      </c>
      <c r="Y21" s="20">
        <f>IFERROR(__xludf.DUMMYFUNCTION("iferror(PERCENTRANK.INC(FILTER($V$2:$V$425, $T$2:$T$425&lt;3.75), $V21), 1)"),0.744)</f>
        <v>0.744</v>
      </c>
      <c r="Z21" s="20">
        <f>IFERROR(__xludf.DUMMYFUNCTION("iferror(PERCENTRANK.INC(FILTER($V$2:$V$425, $T$2:$T$425&lt;4.5), $V21), 1)"),0.667)</f>
        <v>0.667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1540</v>
      </c>
      <c r="B22" s="14" t="s">
        <v>511</v>
      </c>
      <c r="C22" s="14">
        <v>10.0</v>
      </c>
      <c r="D22" s="14" t="s">
        <v>38</v>
      </c>
      <c r="E22" s="14" t="s">
        <v>102</v>
      </c>
      <c r="F22" s="14">
        <v>34.0</v>
      </c>
      <c r="G22" s="14">
        <v>15.0</v>
      </c>
      <c r="H22" s="14">
        <v>6.0</v>
      </c>
      <c r="I22" s="46">
        <v>0.4</v>
      </c>
      <c r="J22" s="14">
        <v>0.0</v>
      </c>
      <c r="K22" s="14">
        <v>0.0</v>
      </c>
      <c r="L22" s="14">
        <v>1.0</v>
      </c>
      <c r="M22" s="14">
        <v>2.0</v>
      </c>
      <c r="N22" s="14">
        <v>90.0</v>
      </c>
      <c r="O22" s="20">
        <v>1.4551999999999998</v>
      </c>
      <c r="P22" s="20">
        <v>8.655428430750089</v>
      </c>
      <c r="Q22" s="15"/>
      <c r="R22" s="20">
        <v>1.4551999999999998</v>
      </c>
      <c r="U22" s="14">
        <f t="array" ref="U22">XLOOKUP(E22, 'Conference Match'!$A$2:$A$25, 'Conference Match'!$C$2:$C$25)</f>
        <v>1</v>
      </c>
      <c r="V22" s="20">
        <f t="shared" si="1"/>
        <v>0.21828</v>
      </c>
      <c r="W22" s="20">
        <f t="shared" si="2"/>
        <v>4.643020473</v>
      </c>
      <c r="Y22" s="20">
        <f>IFERROR(__xludf.DUMMYFUNCTION("iferror(PERCENTRANK.INC(FILTER($V$2:$V$425, $T$2:$T$425&lt;3.75), $V22), 1)"),0.282)</f>
        <v>0.282</v>
      </c>
      <c r="Z22" s="20">
        <f>IFERROR(__xludf.DUMMYFUNCTION("iferror(PERCENTRANK.INC(FILTER($V$2:$V$425, $T$2:$T$425&lt;4.5), $V22), 1)"),0.253)</f>
        <v>0.253</v>
      </c>
      <c r="AA22" s="20">
        <f>IFERROR(__xludf.DUMMYFUNCTION("iferror(PERCENTRANK.INC(FILTER($V$2:$V$425, $T$2:$T$425&gt;4.1), $V22), 0.01)"),0.01)</f>
        <v>0.01</v>
      </c>
    </row>
    <row r="23" ht="14.25" customHeight="1">
      <c r="A23" s="14" t="s">
        <v>1541</v>
      </c>
      <c r="B23" s="14" t="s">
        <v>511</v>
      </c>
      <c r="C23" s="14">
        <v>5.0</v>
      </c>
      <c r="D23" s="14" t="s">
        <v>38</v>
      </c>
      <c r="E23" s="14" t="s">
        <v>102</v>
      </c>
      <c r="F23" s="14">
        <v>33.0</v>
      </c>
      <c r="G23" s="14">
        <v>9.0</v>
      </c>
      <c r="H23" s="14">
        <v>4.0</v>
      </c>
      <c r="I23" s="46">
        <v>0.444</v>
      </c>
      <c r="J23" s="14">
        <v>1.0</v>
      </c>
      <c r="K23" s="14">
        <v>0.0</v>
      </c>
      <c r="L23" s="14">
        <v>0.0</v>
      </c>
      <c r="M23" s="14">
        <v>0.0</v>
      </c>
      <c r="N23" s="14">
        <v>59.0</v>
      </c>
      <c r="O23" s="20">
        <v>1.394672</v>
      </c>
      <c r="P23" s="20">
        <v>6.69474066107778</v>
      </c>
      <c r="Q23" s="15"/>
      <c r="R23" s="20">
        <v>1.394672</v>
      </c>
      <c r="U23" s="14">
        <f t="array" ref="U23">XLOOKUP(E23, 'Conference Match'!$A$2:$A$25, 'Conference Match'!$C$2:$C$25)</f>
        <v>1</v>
      </c>
      <c r="V23" s="20">
        <f t="shared" si="1"/>
        <v>0.2092008</v>
      </c>
      <c r="W23" s="20">
        <f t="shared" si="2"/>
        <v>4.449897368</v>
      </c>
      <c r="Y23" s="20">
        <f>IFERROR(__xludf.DUMMYFUNCTION("iferror(PERCENTRANK.INC(FILTER($V$2:$V$425, $T$2:$T$425&lt;3.75), $V23), 1)"),0.218)</f>
        <v>0.218</v>
      </c>
      <c r="Z23" s="20">
        <f>IFERROR(__xludf.DUMMYFUNCTION("iferror(PERCENTRANK.INC(FILTER($V$2:$V$425, $T$2:$T$425&lt;4.5), $V23), 1)"),0.195)</f>
        <v>0.195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7" t="s">
        <v>1149</v>
      </c>
      <c r="B24" s="17" t="s">
        <v>253</v>
      </c>
      <c r="C24" s="18">
        <v>23.0</v>
      </c>
      <c r="D24" s="17" t="s">
        <v>38</v>
      </c>
      <c r="E24" s="17" t="s">
        <v>111</v>
      </c>
      <c r="F24" s="18">
        <v>29.0</v>
      </c>
      <c r="G24" s="18">
        <v>36.0</v>
      </c>
      <c r="H24" s="18">
        <v>24.0</v>
      </c>
      <c r="I24" s="19">
        <v>0.667</v>
      </c>
      <c r="J24" s="18">
        <v>4.0</v>
      </c>
      <c r="K24" s="18">
        <v>1.0</v>
      </c>
      <c r="L24" s="18">
        <v>1.0</v>
      </c>
      <c r="M24" s="18">
        <v>2.0</v>
      </c>
      <c r="N24" s="18">
        <v>177.0</v>
      </c>
      <c r="O24" s="22">
        <v>2.35</v>
      </c>
      <c r="P24" s="22">
        <v>37.71</v>
      </c>
      <c r="Q24" s="15"/>
      <c r="R24" s="37">
        <v>2.35</v>
      </c>
      <c r="S24" s="16">
        <v>0.76</v>
      </c>
      <c r="T24" s="16">
        <v>6.1</v>
      </c>
      <c r="U24" s="14">
        <f t="array" ref="U24">XLOOKUP(E24, 'Conference Match'!$A$2:$A$25, 'Conference Match'!$C$2:$C$25)</f>
        <v>0.9</v>
      </c>
      <c r="V24" s="20">
        <f t="shared" si="1"/>
        <v>4.70125</v>
      </c>
      <c r="W24" s="20">
        <f t="shared" si="2"/>
        <v>100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1)"),1.0)</f>
        <v>1</v>
      </c>
      <c r="AA24" s="20">
        <f>IFERROR(__xludf.DUMMYFUNCTION("iferror(PERCENTRANK.INC(FILTER($V$2:$V$425, $T$2:$T$425&gt;4.1), $V24), 0.01)"),1.0)</f>
        <v>1</v>
      </c>
    </row>
    <row r="25" ht="14.25" customHeight="1">
      <c r="A25" s="14" t="s">
        <v>1542</v>
      </c>
      <c r="B25" s="14" t="s">
        <v>161</v>
      </c>
      <c r="C25" s="14">
        <v>22.0</v>
      </c>
      <c r="D25" s="14" t="s">
        <v>38</v>
      </c>
      <c r="E25" s="14" t="s">
        <v>130</v>
      </c>
      <c r="F25" s="14">
        <v>36.0</v>
      </c>
      <c r="G25" s="14">
        <v>15.0</v>
      </c>
      <c r="H25" s="14">
        <v>9.0</v>
      </c>
      <c r="I25" s="46">
        <v>0.6</v>
      </c>
      <c r="J25" s="14">
        <v>2.0</v>
      </c>
      <c r="K25" s="14">
        <v>0.0</v>
      </c>
      <c r="L25" s="14">
        <v>0.0</v>
      </c>
      <c r="M25" s="14">
        <v>1.0</v>
      </c>
      <c r="N25" s="14">
        <v>71.0</v>
      </c>
      <c r="O25" s="20">
        <v>1.6728</v>
      </c>
      <c r="P25" s="20">
        <v>15.70416056597173</v>
      </c>
      <c r="Q25" s="15"/>
      <c r="R25" s="20">
        <v>1.6728</v>
      </c>
      <c r="U25" s="14">
        <f t="array" ref="U25">XLOOKUP(E25, 'Conference Match'!$A$2:$A$25, 'Conference Match'!$C$2:$C$25)</f>
        <v>1</v>
      </c>
      <c r="V25" s="20">
        <f t="shared" si="1"/>
        <v>0.25092</v>
      </c>
      <c r="W25" s="20">
        <f t="shared" si="2"/>
        <v>5.337303909</v>
      </c>
      <c r="Y25" s="20">
        <f>IFERROR(__xludf.DUMMYFUNCTION("iferror(PERCENTRANK.INC(FILTER($V$2:$V$425, $T$2:$T$425&lt;3.75), $V25), 1)"),0.462)</f>
        <v>0.462</v>
      </c>
      <c r="Z25" s="20">
        <f>IFERROR(__xludf.DUMMYFUNCTION("iferror(PERCENTRANK.INC(FILTER($V$2:$V$425, $T$2:$T$425&lt;4.5), $V25), 1)"),0.414)</f>
        <v>0.414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1543</v>
      </c>
      <c r="B26" s="14" t="s">
        <v>161</v>
      </c>
      <c r="C26" s="14">
        <v>21.0</v>
      </c>
      <c r="D26" s="14" t="s">
        <v>38</v>
      </c>
      <c r="E26" s="14" t="s">
        <v>130</v>
      </c>
      <c r="F26" s="14">
        <v>97.0</v>
      </c>
      <c r="G26" s="14">
        <v>31.0</v>
      </c>
      <c r="H26" s="14">
        <v>21.0</v>
      </c>
      <c r="I26" s="46">
        <v>0.677</v>
      </c>
      <c r="J26" s="14">
        <v>1.0</v>
      </c>
      <c r="K26" s="14">
        <v>0.0</v>
      </c>
      <c r="L26" s="14">
        <v>1.0</v>
      </c>
      <c r="M26" s="14">
        <v>2.0</v>
      </c>
      <c r="N26" s="14">
        <v>213.0</v>
      </c>
      <c r="O26" s="20">
        <v>1.6518759999999997</v>
      </c>
      <c r="P26" s="20">
        <v>15.026367959366121</v>
      </c>
      <c r="Q26" s="15"/>
      <c r="R26" s="20">
        <v>1.6518759999999997</v>
      </c>
      <c r="U26" s="14">
        <f t="array" ref="U26">XLOOKUP(E26, 'Conference Match'!$A$2:$A$25, 'Conference Match'!$C$2:$C$25)</f>
        <v>1</v>
      </c>
      <c r="V26" s="20">
        <f t="shared" si="1"/>
        <v>0.2477814</v>
      </c>
      <c r="W26" s="20">
        <f t="shared" si="2"/>
        <v>5.270542941</v>
      </c>
      <c r="Y26" s="20">
        <f>IFERROR(__xludf.DUMMYFUNCTION("iferror(PERCENTRANK.INC(FILTER($V$2:$V$425, $T$2:$T$425&lt;3.75), $V26), 1)"),0.436)</f>
        <v>0.436</v>
      </c>
      <c r="Z26" s="20">
        <f>IFERROR(__xludf.DUMMYFUNCTION("iferror(PERCENTRANK.INC(FILTER($V$2:$V$425, $T$2:$T$425&lt;4.5), $V26), 1)"),0.391)</f>
        <v>0.391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1544</v>
      </c>
      <c r="B27" s="14" t="s">
        <v>161</v>
      </c>
      <c r="C27" s="14">
        <v>5.0</v>
      </c>
      <c r="D27" s="14" t="s">
        <v>38</v>
      </c>
      <c r="E27" s="14" t="s">
        <v>130</v>
      </c>
      <c r="F27" s="14">
        <v>89.0</v>
      </c>
      <c r="G27" s="14">
        <v>26.0</v>
      </c>
      <c r="H27" s="14">
        <v>10.0</v>
      </c>
      <c r="I27" s="46">
        <v>0.385</v>
      </c>
      <c r="J27" s="14">
        <v>0.0</v>
      </c>
      <c r="K27" s="14">
        <v>0.0</v>
      </c>
      <c r="L27" s="14">
        <v>2.0</v>
      </c>
      <c r="M27" s="14">
        <v>2.0</v>
      </c>
      <c r="N27" s="14">
        <v>192.0</v>
      </c>
      <c r="O27" s="20">
        <v>1.5553799999999998</v>
      </c>
      <c r="P27" s="20">
        <v>11.900566230871886</v>
      </c>
      <c r="Q27" s="15"/>
      <c r="R27" s="20">
        <v>1.5553799999999998</v>
      </c>
      <c r="U27" s="14">
        <f t="array" ref="U27">XLOOKUP(E27, 'Conference Match'!$A$2:$A$25, 'Conference Match'!$C$2:$C$25)</f>
        <v>1</v>
      </c>
      <c r="V27" s="20">
        <f t="shared" si="1"/>
        <v>0.233307</v>
      </c>
      <c r="W27" s="20">
        <f t="shared" si="2"/>
        <v>4.962658867</v>
      </c>
      <c r="Y27" s="20">
        <f>IFERROR(__xludf.DUMMYFUNCTION("iferror(PERCENTRANK.INC(FILTER($V$2:$V$425, $T$2:$T$425&lt;3.75), $V27), 1)"),0.359)</f>
        <v>0.359</v>
      </c>
      <c r="Z27" s="20">
        <f>IFERROR(__xludf.DUMMYFUNCTION("iferror(PERCENTRANK.INC(FILTER($V$2:$V$425, $T$2:$T$425&lt;4.5), $V27), 1)"),0.322)</f>
        <v>0.322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1545</v>
      </c>
      <c r="B28" s="14" t="s">
        <v>333</v>
      </c>
      <c r="C28" s="14">
        <v>16.0</v>
      </c>
      <c r="D28" s="14" t="s">
        <v>38</v>
      </c>
      <c r="E28" s="14" t="s">
        <v>149</v>
      </c>
      <c r="F28" s="14">
        <v>25.0</v>
      </c>
      <c r="G28" s="14">
        <v>12.0</v>
      </c>
      <c r="H28" s="14">
        <v>6.0</v>
      </c>
      <c r="I28" s="46">
        <v>0.5</v>
      </c>
      <c r="J28" s="14">
        <v>0.0</v>
      </c>
      <c r="K28" s="14">
        <v>1.0</v>
      </c>
      <c r="L28" s="14">
        <v>3.0</v>
      </c>
      <c r="M28" s="14">
        <v>3.0</v>
      </c>
      <c r="N28" s="14">
        <v>63.0</v>
      </c>
      <c r="O28" s="20">
        <v>1.8339999999999999</v>
      </c>
      <c r="P28" s="20">
        <v>20.92592352643922</v>
      </c>
      <c r="Q28" s="15"/>
      <c r="R28" s="20">
        <v>1.8339999999999999</v>
      </c>
      <c r="U28" s="14">
        <f t="array" ref="U28">XLOOKUP(E28, 'Conference Match'!$A$2:$A$25, 'Conference Match'!$C$2:$C$25)</f>
        <v>0.95</v>
      </c>
      <c r="V28" s="20">
        <f t="shared" si="1"/>
        <v>0.261345</v>
      </c>
      <c r="W28" s="20">
        <f t="shared" si="2"/>
        <v>5.559053443</v>
      </c>
      <c r="Y28" s="20">
        <f>IFERROR(__xludf.DUMMYFUNCTION("iferror(PERCENTRANK.INC(FILTER($V$2:$V$425, $T$2:$T$425&lt;3.75), $V28), 1)"),0.474)</f>
        <v>0.474</v>
      </c>
      <c r="Z28" s="20">
        <f>IFERROR(__xludf.DUMMYFUNCTION("iferror(PERCENTRANK.INC(FILTER($V$2:$V$425, $T$2:$T$425&lt;4.5), $V28), 1)"),0.425)</f>
        <v>0.425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1546</v>
      </c>
      <c r="B29" s="14" t="s">
        <v>333</v>
      </c>
      <c r="C29" s="14">
        <v>17.0</v>
      </c>
      <c r="D29" s="14" t="s">
        <v>38</v>
      </c>
      <c r="E29" s="14" t="s">
        <v>149</v>
      </c>
      <c r="F29" s="14">
        <v>52.0</v>
      </c>
      <c r="G29" s="14">
        <v>25.0</v>
      </c>
      <c r="H29" s="14">
        <v>13.0</v>
      </c>
      <c r="I29" s="46">
        <v>0.52</v>
      </c>
      <c r="J29" s="14">
        <v>1.0</v>
      </c>
      <c r="K29" s="14">
        <v>0.0</v>
      </c>
      <c r="L29" s="14">
        <v>2.0</v>
      </c>
      <c r="M29" s="14">
        <v>2.0</v>
      </c>
      <c r="N29" s="14">
        <v>122.0</v>
      </c>
      <c r="O29" s="20">
        <v>1.75376</v>
      </c>
      <c r="P29" s="20">
        <v>18.326703551576248</v>
      </c>
      <c r="Q29" s="15"/>
      <c r="R29" s="20">
        <v>1.75376</v>
      </c>
      <c r="U29" s="14">
        <f t="array" ref="U29">XLOOKUP(E29, 'Conference Match'!$A$2:$A$25, 'Conference Match'!$C$2:$C$25)</f>
        <v>0.95</v>
      </c>
      <c r="V29" s="20">
        <f t="shared" si="1"/>
        <v>0.2499108</v>
      </c>
      <c r="W29" s="20">
        <f t="shared" si="2"/>
        <v>5.315837277</v>
      </c>
      <c r="Y29" s="20">
        <f>IFERROR(__xludf.DUMMYFUNCTION("iferror(PERCENTRANK.INC(FILTER($V$2:$V$425, $T$2:$T$425&lt;3.75), $V29), 1)"),0.449)</f>
        <v>0.449</v>
      </c>
      <c r="Z29" s="20">
        <f>IFERROR(__xludf.DUMMYFUNCTION("iferror(PERCENTRANK.INC(FILTER($V$2:$V$425, $T$2:$T$425&lt;4.5), $V29), 1)"),0.402)</f>
        <v>0.402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1547</v>
      </c>
      <c r="B30" s="14" t="s">
        <v>333</v>
      </c>
      <c r="C30" s="14">
        <v>8.0</v>
      </c>
      <c r="D30" s="14" t="s">
        <v>38</v>
      </c>
      <c r="E30" s="14" t="s">
        <v>149</v>
      </c>
      <c r="F30" s="14">
        <v>23.0</v>
      </c>
      <c r="G30" s="14">
        <v>7.0</v>
      </c>
      <c r="H30" s="14">
        <v>5.0</v>
      </c>
      <c r="I30" s="46">
        <v>0.714</v>
      </c>
      <c r="J30" s="14">
        <v>0.0</v>
      </c>
      <c r="K30" s="14">
        <v>1.0</v>
      </c>
      <c r="L30" s="14">
        <v>1.0</v>
      </c>
      <c r="M30" s="14">
        <v>1.0</v>
      </c>
      <c r="N30" s="14">
        <v>118.0</v>
      </c>
      <c r="O30" s="20">
        <v>1.4714319999999999</v>
      </c>
      <c r="P30" s="20">
        <v>9.181232750689968</v>
      </c>
      <c r="Q30" s="15"/>
      <c r="R30" s="20">
        <v>1.4714319999999999</v>
      </c>
      <c r="U30" s="14">
        <f t="array" ref="U30">XLOOKUP(E30, 'Conference Match'!$A$2:$A$25, 'Conference Match'!$C$2:$C$25)</f>
        <v>0.95</v>
      </c>
      <c r="V30" s="20">
        <f t="shared" si="1"/>
        <v>0.20967906</v>
      </c>
      <c r="W30" s="20">
        <f t="shared" si="2"/>
        <v>4.460070407</v>
      </c>
      <c r="Y30" s="20">
        <f>IFERROR(__xludf.DUMMYFUNCTION("iferror(PERCENTRANK.INC(FILTER($V$2:$V$425, $T$2:$T$425&lt;3.75), $V30), 1)"),0.244)</f>
        <v>0.244</v>
      </c>
      <c r="Z30" s="20">
        <f>IFERROR(__xludf.DUMMYFUNCTION("iferror(PERCENTRANK.INC(FILTER($V$2:$V$425, $T$2:$T$425&lt;4.5), $V30), 1)"),0.218)</f>
        <v>0.218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1548</v>
      </c>
      <c r="B31" s="14" t="s">
        <v>333</v>
      </c>
      <c r="C31" s="14">
        <v>29.0</v>
      </c>
      <c r="D31" s="14" t="s">
        <v>38</v>
      </c>
      <c r="E31" s="14" t="s">
        <v>149</v>
      </c>
      <c r="F31" s="14">
        <v>29.0</v>
      </c>
      <c r="G31" s="14">
        <v>14.0</v>
      </c>
      <c r="H31" s="14">
        <v>6.0</v>
      </c>
      <c r="I31" s="46">
        <v>0.429</v>
      </c>
      <c r="J31" s="14">
        <v>0.0</v>
      </c>
      <c r="K31" s="14">
        <v>0.0</v>
      </c>
      <c r="L31" s="14">
        <v>0.0</v>
      </c>
      <c r="M31" s="14">
        <v>1.0</v>
      </c>
      <c r="N31" s="14">
        <v>83.0</v>
      </c>
      <c r="O31" s="20">
        <v>1.2748519999999999</v>
      </c>
      <c r="P31" s="20">
        <v>2.8134029568394703</v>
      </c>
      <c r="Q31" s="15"/>
      <c r="R31" s="20">
        <v>1.2748519999999999</v>
      </c>
      <c r="U31" s="14">
        <f t="array" ref="U31">XLOOKUP(E31, 'Conference Match'!$A$2:$A$25, 'Conference Match'!$C$2:$C$25)</f>
        <v>0.95</v>
      </c>
      <c r="V31" s="20">
        <f t="shared" si="1"/>
        <v>0.18166641</v>
      </c>
      <c r="W31" s="20">
        <f t="shared" si="2"/>
        <v>3.864215049</v>
      </c>
      <c r="Y31" s="20">
        <f>IFERROR(__xludf.DUMMYFUNCTION("iferror(PERCENTRANK.INC(FILTER($V$2:$V$425, $T$2:$T$425&lt;3.75), $V31), 1)"),0.103)</f>
        <v>0.103</v>
      </c>
      <c r="Z31" s="20">
        <f>IFERROR(__xludf.DUMMYFUNCTION("iferror(PERCENTRANK.INC(FILTER($V$2:$V$425, $T$2:$T$425&lt;4.5), $V31), 1)"),0.092)</f>
        <v>0.092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1549</v>
      </c>
      <c r="B32" s="14" t="s">
        <v>333</v>
      </c>
      <c r="C32" s="14">
        <v>21.0</v>
      </c>
      <c r="D32" s="14" t="s">
        <v>38</v>
      </c>
      <c r="E32" s="14" t="s">
        <v>149</v>
      </c>
      <c r="F32" s="14">
        <v>37.0</v>
      </c>
      <c r="G32" s="14">
        <v>12.0</v>
      </c>
      <c r="H32" s="14">
        <v>6.0</v>
      </c>
      <c r="I32" s="46">
        <v>0.5</v>
      </c>
      <c r="J32" s="14">
        <v>0.0</v>
      </c>
      <c r="K32" s="14">
        <v>0.0</v>
      </c>
      <c r="L32" s="14">
        <v>0.0</v>
      </c>
      <c r="M32" s="14">
        <v>0.0</v>
      </c>
      <c r="N32" s="14">
        <v>63.0</v>
      </c>
      <c r="O32" s="20">
        <v>1.194</v>
      </c>
      <c r="P32" s="20">
        <v>0.1943584228461849</v>
      </c>
      <c r="Q32" s="15"/>
      <c r="R32" s="20">
        <v>1.194</v>
      </c>
      <c r="U32" s="14">
        <f t="array" ref="U32">XLOOKUP(E32, 'Conference Match'!$A$2:$A$25, 'Conference Match'!$C$2:$C$25)</f>
        <v>0.95</v>
      </c>
      <c r="V32" s="20">
        <f t="shared" si="1"/>
        <v>0.170145</v>
      </c>
      <c r="W32" s="20">
        <f t="shared" si="2"/>
        <v>3.619143845</v>
      </c>
      <c r="Y32" s="20">
        <f>IFERROR(__xludf.DUMMYFUNCTION("iferror(PERCENTRANK.INC(FILTER($V$2:$V$425, $T$2:$T$425&lt;3.75), $V32), 1)"),0.051)</f>
        <v>0.051</v>
      </c>
      <c r="Z32" s="20">
        <f>IFERROR(__xludf.DUMMYFUNCTION("iferror(PERCENTRANK.INC(FILTER($V$2:$V$425, $T$2:$T$425&lt;4.5), $V32), 1)"),0.046)</f>
        <v>0.046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7" t="s">
        <v>1550</v>
      </c>
      <c r="B33" s="17" t="s">
        <v>433</v>
      </c>
      <c r="C33" s="18">
        <v>4.0</v>
      </c>
      <c r="D33" s="17" t="s">
        <v>38</v>
      </c>
      <c r="E33" s="17" t="s">
        <v>120</v>
      </c>
      <c r="F33" s="18">
        <v>51.0</v>
      </c>
      <c r="G33" s="18">
        <v>44.0</v>
      </c>
      <c r="H33" s="18">
        <v>27.0</v>
      </c>
      <c r="I33" s="19">
        <v>0.614</v>
      </c>
      <c r="J33" s="18">
        <v>0.0</v>
      </c>
      <c r="K33" s="18">
        <v>1.0</v>
      </c>
      <c r="L33" s="18">
        <v>2.0</v>
      </c>
      <c r="M33" s="18">
        <v>5.0</v>
      </c>
      <c r="N33" s="18">
        <v>262.0</v>
      </c>
      <c r="O33" s="22">
        <v>1.89</v>
      </c>
      <c r="P33" s="22">
        <v>22.83</v>
      </c>
      <c r="Q33" s="15"/>
      <c r="R33" s="37">
        <v>1.89</v>
      </c>
      <c r="S33" s="16">
        <v>0.15</v>
      </c>
      <c r="T33" s="16">
        <v>4.3</v>
      </c>
      <c r="U33" s="14">
        <f t="array" ref="U33">XLOOKUP(E33, 'Conference Match'!$A$2:$A$25, 'Conference Match'!$C$2:$C$25)</f>
        <v>0.95</v>
      </c>
      <c r="V33" s="20">
        <f t="shared" si="1"/>
        <v>3.301825</v>
      </c>
      <c r="W33" s="20">
        <f t="shared" si="2"/>
        <v>70.23291678</v>
      </c>
      <c r="Y33" s="20">
        <f>IFERROR(__xludf.DUMMYFUNCTION("iferror(PERCENTRANK.INC(FILTER($V$2:$V$425, $T$2:$T$425&lt;3.75), $V33), 1)"),1.0)</f>
        <v>1</v>
      </c>
      <c r="Z33" s="20">
        <f>IFERROR(__xludf.DUMMYFUNCTION("iferror(PERCENTRANK.INC(FILTER($V$2:$V$425, $T$2:$T$425&lt;4.5), $V33), 1)"),0.954)</f>
        <v>0.954</v>
      </c>
      <c r="AA33" s="20">
        <f>IFERROR(__xludf.DUMMYFUNCTION("iferror(PERCENTRANK.INC(FILTER($V$2:$V$425, $T$2:$T$425&gt;4.1), $V33), 0.01)"),0.133)</f>
        <v>0.133</v>
      </c>
    </row>
    <row r="34" ht="14.25" customHeight="1">
      <c r="A34" s="17" t="s">
        <v>1551</v>
      </c>
      <c r="B34" s="17" t="s">
        <v>433</v>
      </c>
      <c r="C34" s="18">
        <v>27.0</v>
      </c>
      <c r="D34" s="17" t="s">
        <v>38</v>
      </c>
      <c r="E34" s="17" t="s">
        <v>120</v>
      </c>
      <c r="F34" s="18">
        <v>67.0</v>
      </c>
      <c r="G34" s="18">
        <v>52.0</v>
      </c>
      <c r="H34" s="18">
        <v>33.0</v>
      </c>
      <c r="I34" s="19">
        <v>0.635</v>
      </c>
      <c r="J34" s="18">
        <v>2.0</v>
      </c>
      <c r="K34" s="18">
        <v>1.0</v>
      </c>
      <c r="L34" s="18">
        <v>9.0</v>
      </c>
      <c r="M34" s="18">
        <v>10.0</v>
      </c>
      <c r="N34" s="18">
        <v>340.0</v>
      </c>
      <c r="O34" s="22">
        <v>3.39</v>
      </c>
      <c r="P34" s="22">
        <v>71.41</v>
      </c>
      <c r="Q34" s="15"/>
      <c r="R34" s="37">
        <v>3.39</v>
      </c>
      <c r="S34" s="16">
        <v>0.6</v>
      </c>
      <c r="U34" s="14">
        <f t="array" ref="U34">XLOOKUP(E34, 'Conference Match'!$A$2:$A$25, 'Conference Match'!$C$2:$C$25)</f>
        <v>0.95</v>
      </c>
      <c r="V34" s="20">
        <f t="shared" si="1"/>
        <v>0.573075</v>
      </c>
      <c r="W34" s="20">
        <f t="shared" si="2"/>
        <v>12.18984313</v>
      </c>
      <c r="Y34" s="20">
        <f>IFERROR(__xludf.DUMMYFUNCTION("iferror(PERCENTRANK.INC(FILTER($V$2:$V$425, $T$2:$T$425&lt;3.75), $V34), 1)"),0.987)</f>
        <v>0.987</v>
      </c>
      <c r="Z34" s="20">
        <f>IFERROR(__xludf.DUMMYFUNCTION("iferror(PERCENTRANK.INC(FILTER($V$2:$V$425, $T$2:$T$425&lt;4.5), $V34), 1)"),0.885)</f>
        <v>0.885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1552</v>
      </c>
      <c r="B35" s="14" t="s">
        <v>931</v>
      </c>
      <c r="C35" s="14">
        <v>16.0</v>
      </c>
      <c r="D35" s="14" t="s">
        <v>38</v>
      </c>
      <c r="E35" s="14" t="s">
        <v>164</v>
      </c>
      <c r="F35" s="14">
        <v>15.0</v>
      </c>
      <c r="G35" s="14">
        <v>32.0</v>
      </c>
      <c r="H35" s="14">
        <v>21.0</v>
      </c>
      <c r="I35" s="46">
        <v>0.656</v>
      </c>
      <c r="J35" s="14">
        <v>1.0</v>
      </c>
      <c r="K35" s="14">
        <v>1.0</v>
      </c>
      <c r="L35" s="14">
        <v>2.0</v>
      </c>
      <c r="M35" s="14">
        <v>2.0</v>
      </c>
      <c r="N35" s="14">
        <v>211.0</v>
      </c>
      <c r="O35" s="20">
        <v>1.8521279999999998</v>
      </c>
      <c r="P35" s="20">
        <v>21.513145107998486</v>
      </c>
      <c r="Q35" s="15"/>
      <c r="R35" s="20">
        <v>1.8521279999999998</v>
      </c>
      <c r="U35" s="14">
        <f t="array" ref="U35">XLOOKUP(E35, 'Conference Match'!$A$2:$A$25, 'Conference Match'!$C$2:$C$25)</f>
        <v>1</v>
      </c>
      <c r="V35" s="20">
        <f t="shared" si="1"/>
        <v>0.2778192</v>
      </c>
      <c r="W35" s="20">
        <f t="shared" si="2"/>
        <v>5.90947514</v>
      </c>
      <c r="Y35" s="20">
        <f>IFERROR(__xludf.DUMMYFUNCTION("iferror(PERCENTRANK.INC(FILTER($V$2:$V$425, $T$2:$T$425&lt;3.75), $V35), 1)"),0.603)</f>
        <v>0.603</v>
      </c>
      <c r="Z35" s="20">
        <f>IFERROR(__xludf.DUMMYFUNCTION("iferror(PERCENTRANK.INC(FILTER($V$2:$V$425, $T$2:$T$425&lt;4.5), $V35), 1)"),0.54)</f>
        <v>0.54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1553</v>
      </c>
      <c r="B36" s="14" t="s">
        <v>931</v>
      </c>
      <c r="C36" s="14">
        <v>6.0</v>
      </c>
      <c r="D36" s="14" t="s">
        <v>38</v>
      </c>
      <c r="E36" s="14" t="s">
        <v>164</v>
      </c>
      <c r="F36" s="14">
        <v>23.0</v>
      </c>
      <c r="G36" s="14">
        <v>38.0</v>
      </c>
      <c r="H36" s="14">
        <v>22.0</v>
      </c>
      <c r="I36" s="46">
        <v>0.579</v>
      </c>
      <c r="J36" s="14">
        <v>0.0</v>
      </c>
      <c r="K36" s="14">
        <v>0.0</v>
      </c>
      <c r="L36" s="14">
        <v>2.0</v>
      </c>
      <c r="M36" s="14">
        <v>5.0</v>
      </c>
      <c r="N36" s="14">
        <v>203.0</v>
      </c>
      <c r="O36" s="20">
        <v>1.793052</v>
      </c>
      <c r="P36" s="20">
        <v>19.599492076654965</v>
      </c>
      <c r="Q36" s="15"/>
      <c r="R36" s="20">
        <v>1.793052</v>
      </c>
      <c r="U36" s="14">
        <f t="array" ref="U36">XLOOKUP(E36, 'Conference Match'!$A$2:$A$25, 'Conference Match'!$C$2:$C$25)</f>
        <v>1</v>
      </c>
      <c r="V36" s="20">
        <f t="shared" si="1"/>
        <v>0.2689578</v>
      </c>
      <c r="W36" s="20">
        <f t="shared" si="2"/>
        <v>5.720984844</v>
      </c>
      <c r="Y36" s="20">
        <f>IFERROR(__xludf.DUMMYFUNCTION("iferror(PERCENTRANK.INC(FILTER($V$2:$V$425, $T$2:$T$425&lt;3.75), $V36), 1)"),0.513)</f>
        <v>0.513</v>
      </c>
      <c r="Z36" s="20">
        <f>IFERROR(__xludf.DUMMYFUNCTION("iferror(PERCENTRANK.INC(FILTER($V$2:$V$425, $T$2:$T$425&lt;4.5), $V36), 1)"),0.46)</f>
        <v>0.46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1554</v>
      </c>
      <c r="B37" s="14" t="s">
        <v>931</v>
      </c>
      <c r="C37" s="14">
        <v>1.0</v>
      </c>
      <c r="D37" s="14" t="s">
        <v>38</v>
      </c>
      <c r="E37" s="14" t="s">
        <v>164</v>
      </c>
      <c r="F37" s="14">
        <v>24.0</v>
      </c>
      <c r="G37" s="14">
        <v>25.0</v>
      </c>
      <c r="H37" s="14">
        <v>17.0</v>
      </c>
      <c r="I37" s="46">
        <v>0.68</v>
      </c>
      <c r="J37" s="14">
        <v>0.0</v>
      </c>
      <c r="K37" s="14">
        <v>0.0</v>
      </c>
      <c r="L37" s="14">
        <v>2.0</v>
      </c>
      <c r="M37" s="14">
        <v>3.0</v>
      </c>
      <c r="N37" s="14">
        <v>121.0</v>
      </c>
      <c r="O37" s="20">
        <v>1.6318399999999997</v>
      </c>
      <c r="P37" s="20">
        <v>14.377340399341765</v>
      </c>
      <c r="Q37" s="15"/>
      <c r="R37" s="20">
        <v>1.6318399999999997</v>
      </c>
      <c r="U37" s="14">
        <f t="array" ref="U37">XLOOKUP(E37, 'Conference Match'!$A$2:$A$25, 'Conference Match'!$C$2:$C$25)</f>
        <v>1</v>
      </c>
      <c r="V37" s="20">
        <f t="shared" si="1"/>
        <v>0.244776</v>
      </c>
      <c r="W37" s="20">
        <f t="shared" si="2"/>
        <v>5.206615262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1)"),0.356)</f>
        <v>0.356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1555</v>
      </c>
      <c r="B38" s="14" t="s">
        <v>285</v>
      </c>
      <c r="C38" s="14">
        <v>30.0</v>
      </c>
      <c r="D38" s="14" t="s">
        <v>38</v>
      </c>
      <c r="E38" s="14" t="s">
        <v>108</v>
      </c>
      <c r="F38" s="14">
        <v>16.0</v>
      </c>
      <c r="G38" s="14">
        <v>47.0</v>
      </c>
      <c r="H38" s="14">
        <v>25.0</v>
      </c>
      <c r="I38" s="46">
        <v>0.532</v>
      </c>
      <c r="J38" s="14">
        <v>3.0</v>
      </c>
      <c r="K38" s="14">
        <v>0.0</v>
      </c>
      <c r="L38" s="14">
        <v>6.0</v>
      </c>
      <c r="M38" s="14">
        <v>7.0</v>
      </c>
      <c r="N38" s="14">
        <v>264.0</v>
      </c>
      <c r="O38" s="20">
        <v>2.9536160000000002</v>
      </c>
      <c r="P38" s="20">
        <v>57.19372351866489</v>
      </c>
      <c r="Q38" s="15"/>
      <c r="R38" s="20">
        <v>2.9536160000000002</v>
      </c>
      <c r="U38" s="14">
        <f t="array" ref="U38">XLOOKUP(E38, 'Conference Match'!$A$2:$A$25, 'Conference Match'!$C$2:$C$25)</f>
        <v>0.95</v>
      </c>
      <c r="V38" s="20">
        <f t="shared" si="1"/>
        <v>0.42089028</v>
      </c>
      <c r="W38" s="20">
        <f t="shared" si="2"/>
        <v>8.952731295</v>
      </c>
      <c r="Y38" s="20">
        <f>IFERROR(__xludf.DUMMYFUNCTION("iferror(PERCENTRANK.INC(FILTER($V$2:$V$425, $T$2:$T$425&lt;3.75), $V38), 1)"),0.923)</f>
        <v>0.923</v>
      </c>
      <c r="Z38" s="20">
        <f>IFERROR(__xludf.DUMMYFUNCTION("iferror(PERCENTRANK.INC(FILTER($V$2:$V$425, $T$2:$T$425&lt;4.5), $V38), 1)"),0.828)</f>
        <v>0.828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1556</v>
      </c>
      <c r="B39" s="14" t="s">
        <v>285</v>
      </c>
      <c r="C39" s="14">
        <v>32.0</v>
      </c>
      <c r="D39" s="14" t="s">
        <v>38</v>
      </c>
      <c r="E39" s="14" t="s">
        <v>108</v>
      </c>
      <c r="F39" s="14">
        <v>104.0</v>
      </c>
      <c r="G39" s="14">
        <v>43.0</v>
      </c>
      <c r="H39" s="14">
        <v>23.0</v>
      </c>
      <c r="I39" s="46">
        <v>0.535</v>
      </c>
      <c r="J39" s="14">
        <v>2.0</v>
      </c>
      <c r="K39" s="14">
        <v>1.0</v>
      </c>
      <c r="L39" s="14">
        <v>5.0</v>
      </c>
      <c r="M39" s="14">
        <v>7.0</v>
      </c>
      <c r="N39" s="14">
        <v>288.0</v>
      </c>
      <c r="O39" s="20">
        <v>2.75358</v>
      </c>
      <c r="P39" s="20">
        <v>50.713943273254976</v>
      </c>
      <c r="Q39" s="15"/>
      <c r="R39" s="20">
        <v>2.75358</v>
      </c>
      <c r="U39" s="14">
        <f t="array" ref="U39">XLOOKUP(E39, 'Conference Match'!$A$2:$A$25, 'Conference Match'!$C$2:$C$25)</f>
        <v>0.95</v>
      </c>
      <c r="V39" s="20">
        <f t="shared" si="1"/>
        <v>0.39238515</v>
      </c>
      <c r="W39" s="20">
        <f t="shared" si="2"/>
        <v>8.346400425</v>
      </c>
      <c r="Y39" s="20">
        <f>IFERROR(__xludf.DUMMYFUNCTION("iferror(PERCENTRANK.INC(FILTER($V$2:$V$425, $T$2:$T$425&lt;3.75), $V39), 1)"),0.872)</f>
        <v>0.872</v>
      </c>
      <c r="Z39" s="20">
        <f>IFERROR(__xludf.DUMMYFUNCTION("iferror(PERCENTRANK.INC(FILTER($V$2:$V$425, $T$2:$T$425&lt;4.5), $V39), 1)"),0.782)</f>
        <v>0.782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7" t="s">
        <v>1557</v>
      </c>
      <c r="B40" s="17" t="s">
        <v>119</v>
      </c>
      <c r="C40" s="18">
        <v>1.0</v>
      </c>
      <c r="D40" s="17" t="s">
        <v>38</v>
      </c>
      <c r="E40" s="17" t="s">
        <v>120</v>
      </c>
      <c r="F40" s="18">
        <v>95.0</v>
      </c>
      <c r="G40" s="18">
        <v>51.0</v>
      </c>
      <c r="H40" s="18">
        <v>27.0</v>
      </c>
      <c r="I40" s="19">
        <v>0.529</v>
      </c>
      <c r="J40" s="18">
        <v>0.0</v>
      </c>
      <c r="K40" s="18">
        <v>0.0</v>
      </c>
      <c r="L40" s="18">
        <v>7.0</v>
      </c>
      <c r="M40" s="18">
        <v>9.0</v>
      </c>
      <c r="N40" s="18">
        <v>389.0</v>
      </c>
      <c r="O40" s="22">
        <v>2.61</v>
      </c>
      <c r="P40" s="22">
        <v>46.18</v>
      </c>
      <c r="Q40" s="15"/>
      <c r="R40" s="37">
        <v>2.61</v>
      </c>
      <c r="T40" s="16"/>
      <c r="U40" s="16">
        <v>0.0</v>
      </c>
      <c r="V40" s="20">
        <f t="shared" si="1"/>
        <v>0</v>
      </c>
      <c r="W40" s="20">
        <f t="shared" si="2"/>
        <v>0</v>
      </c>
      <c r="Y40" s="20">
        <f>IFERROR(__xludf.DUMMYFUNCTION("iferror(PERCENTRANK.INC(FILTER($V$2:$V$425, $T$2:$T$425&lt;3.75), $V40), 1)"),0.0)</f>
        <v>0</v>
      </c>
      <c r="Z40" s="20">
        <f>IFERROR(__xludf.DUMMYFUNCTION("iferror(PERCENTRANK.INC(FILTER($V$2:$V$425, $T$2:$T$425&lt;4.5), $V40), 1)"),0.0)</f>
        <v>0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7" t="s">
        <v>1558</v>
      </c>
      <c r="B41" s="17" t="s">
        <v>259</v>
      </c>
      <c r="C41" s="18">
        <v>22.0</v>
      </c>
      <c r="D41" s="17" t="s">
        <v>38</v>
      </c>
      <c r="E41" s="17" t="s">
        <v>149</v>
      </c>
      <c r="F41" s="18">
        <v>42.0</v>
      </c>
      <c r="G41" s="18">
        <v>48.0</v>
      </c>
      <c r="H41" s="18">
        <v>27.0</v>
      </c>
      <c r="I41" s="19">
        <v>0.563</v>
      </c>
      <c r="J41" s="18">
        <v>0.0</v>
      </c>
      <c r="K41" s="18">
        <v>0.0</v>
      </c>
      <c r="L41" s="18">
        <v>3.0</v>
      </c>
      <c r="M41" s="18">
        <v>8.0</v>
      </c>
      <c r="N41" s="18">
        <v>263.0</v>
      </c>
      <c r="O41" s="22">
        <v>2.13</v>
      </c>
      <c r="P41" s="22">
        <v>30.62</v>
      </c>
      <c r="Q41" s="15"/>
      <c r="R41" s="22">
        <v>2.13</v>
      </c>
      <c r="S41" s="16">
        <v>0.04</v>
      </c>
      <c r="T41" s="16">
        <v>4.2</v>
      </c>
      <c r="U41" s="14">
        <f t="array" ref="U41">XLOOKUP(E41, 'Conference Match'!$A$2:$A$25, 'Conference Match'!$C$2:$C$25)</f>
        <v>0.95</v>
      </c>
      <c r="V41" s="20">
        <f t="shared" si="1"/>
        <v>3.249525</v>
      </c>
      <c r="W41" s="20">
        <f t="shared" si="2"/>
        <v>69.12044669</v>
      </c>
      <c r="Y41" s="20">
        <f>IFERROR(__xludf.DUMMYFUNCTION("iferror(PERCENTRANK.INC(FILTER($V$2:$V$425, $T$2:$T$425&lt;3.75), $V41), 1)"),1.0)</f>
        <v>1</v>
      </c>
      <c r="Z41" s="20">
        <f>IFERROR(__xludf.DUMMYFUNCTION("iferror(PERCENTRANK.INC(FILTER($V$2:$V$425, $T$2:$T$425&lt;4.5), $V41), 1)"),0.943)</f>
        <v>0.943</v>
      </c>
      <c r="AA41" s="20">
        <f>IFERROR(__xludf.DUMMYFUNCTION("iferror(PERCENTRANK.INC(FILTER($V$2:$V$425, $T$2:$T$425&gt;4.1), $V41), 0.01)"),0.067)</f>
        <v>0.067</v>
      </c>
    </row>
    <row r="42" ht="14.25" customHeight="1">
      <c r="A42" s="16" t="s">
        <v>1559</v>
      </c>
      <c r="B42" s="16" t="s">
        <v>1560</v>
      </c>
      <c r="C42" s="16">
        <v>0.0</v>
      </c>
      <c r="D42" s="16" t="s">
        <v>38</v>
      </c>
      <c r="E42" s="16" t="s">
        <v>135</v>
      </c>
      <c r="F42" s="18">
        <v>103.0</v>
      </c>
      <c r="G42" s="18">
        <v>55.0</v>
      </c>
      <c r="H42" s="18">
        <v>26.0</v>
      </c>
      <c r="I42" s="19">
        <v>0.473</v>
      </c>
      <c r="J42" s="18">
        <v>0.0</v>
      </c>
      <c r="K42" s="18">
        <v>1.0</v>
      </c>
      <c r="L42" s="18">
        <v>10.0</v>
      </c>
      <c r="M42" s="18">
        <v>12.0</v>
      </c>
      <c r="N42" s="18">
        <v>299.0</v>
      </c>
      <c r="O42" s="22">
        <v>3.25</v>
      </c>
      <c r="P42" s="22">
        <v>66.93</v>
      </c>
      <c r="Q42" s="15"/>
      <c r="R42" s="37">
        <v>3.25</v>
      </c>
      <c r="S42" s="16">
        <v>0.87</v>
      </c>
      <c r="T42" s="16">
        <v>4.3</v>
      </c>
      <c r="U42" s="16">
        <v>0.0</v>
      </c>
      <c r="V42" s="20">
        <f t="shared" si="1"/>
        <v>3.1405</v>
      </c>
      <c r="W42" s="20">
        <f t="shared" si="2"/>
        <v>66.80138261</v>
      </c>
      <c r="Y42" s="20">
        <f>IFERROR(__xludf.DUMMYFUNCTION("iferror(PERCENTRANK.INC(FILTER($V$2:$V$425, $T$2:$T$425&lt;3.75), $V42), 1)"),1.0)</f>
        <v>1</v>
      </c>
      <c r="Z42" s="20">
        <f>IFERROR(__xludf.DUMMYFUNCTION("iferror(PERCENTRANK.INC(FILTER($V$2:$V$425, $T$2:$T$425&lt;4.5), $V42), 1)"),0.931)</f>
        <v>0.931</v>
      </c>
      <c r="AA42" s="20">
        <f>IFERROR(__xludf.DUMMYFUNCTION("iferror(PERCENTRANK.INC(FILTER($V$2:$V$425, $T$2:$T$425&gt;4.1), $V42), 0.01)"),0.0)</f>
        <v>0</v>
      </c>
    </row>
    <row r="43" ht="14.25" customHeight="1">
      <c r="A43" s="14" t="s">
        <v>1561</v>
      </c>
      <c r="B43" s="14" t="s">
        <v>577</v>
      </c>
      <c r="C43" s="14">
        <v>20.0</v>
      </c>
      <c r="D43" s="14" t="s">
        <v>38</v>
      </c>
      <c r="E43" s="14" t="s">
        <v>120</v>
      </c>
      <c r="F43" s="14">
        <v>25.0</v>
      </c>
      <c r="G43" s="14">
        <v>29.0</v>
      </c>
      <c r="H43" s="14">
        <v>16.0</v>
      </c>
      <c r="I43" s="46">
        <v>0.552</v>
      </c>
      <c r="J43" s="14">
        <v>0.0</v>
      </c>
      <c r="K43" s="14">
        <v>0.0</v>
      </c>
      <c r="L43" s="14">
        <v>2.0</v>
      </c>
      <c r="M43" s="14">
        <v>3.0</v>
      </c>
      <c r="N43" s="14">
        <v>190.0</v>
      </c>
      <c r="O43" s="20">
        <v>1.6333759999999997</v>
      </c>
      <c r="P43" s="20">
        <v>14.427096155590387</v>
      </c>
      <c r="Q43" s="15"/>
      <c r="R43" s="20">
        <v>1.6333759999999997</v>
      </c>
      <c r="S43" s="16">
        <v>0.43</v>
      </c>
      <c r="T43" s="20">
        <v>4.3</v>
      </c>
      <c r="U43" s="14">
        <f t="array" ref="U43">XLOOKUP(E43, 'Conference Match'!$A$2:$A$25, 'Conference Match'!$C$2:$C$25)</f>
        <v>0.95</v>
      </c>
      <c r="V43" s="20">
        <f t="shared" si="1"/>
        <v>3.30725608</v>
      </c>
      <c r="W43" s="20">
        <f t="shared" si="2"/>
        <v>70.34844095</v>
      </c>
      <c r="Y43" s="20">
        <f>IFERROR(__xludf.DUMMYFUNCTION("iferror(PERCENTRANK.INC(FILTER($V$2:$V$425, $T$2:$T$425&lt;3.75), $V43), 1)"),1.0)</f>
        <v>1</v>
      </c>
      <c r="Z43" s="20">
        <f>IFERROR(__xludf.DUMMYFUNCTION("iferror(PERCENTRANK.INC(FILTER($V$2:$V$425, $T$2:$T$425&lt;4.5), $V43), 1)"),0.966)</f>
        <v>0.966</v>
      </c>
      <c r="AA43" s="20">
        <f>IFERROR(__xludf.DUMMYFUNCTION("iferror(PERCENTRANK.INC(FILTER($V$2:$V$425, $T$2:$T$425&gt;4.1), $V43), 0.01)"),0.2)</f>
        <v>0.2</v>
      </c>
    </row>
    <row r="44" ht="14.25" customHeight="1">
      <c r="A44" s="14" t="s">
        <v>1562</v>
      </c>
      <c r="B44" s="14" t="s">
        <v>577</v>
      </c>
      <c r="C44" s="14">
        <v>6.0</v>
      </c>
      <c r="D44" s="14" t="s">
        <v>38</v>
      </c>
      <c r="E44" s="14" t="s">
        <v>120</v>
      </c>
      <c r="F44" s="14">
        <v>73.0</v>
      </c>
      <c r="G44" s="14">
        <v>29.0</v>
      </c>
      <c r="H44" s="14">
        <v>16.0</v>
      </c>
      <c r="I44" s="46">
        <v>0.552</v>
      </c>
      <c r="J44" s="14">
        <v>0.0</v>
      </c>
      <c r="K44" s="14">
        <v>0.0</v>
      </c>
      <c r="L44" s="14">
        <v>1.0</v>
      </c>
      <c r="M44" s="14">
        <v>1.0</v>
      </c>
      <c r="N44" s="14">
        <v>228.0</v>
      </c>
      <c r="O44" s="20">
        <v>1.3733759999999997</v>
      </c>
      <c r="P44" s="20">
        <v>6.004897832255716</v>
      </c>
      <c r="Q44" s="15"/>
      <c r="R44" s="20">
        <v>1.3733759999999997</v>
      </c>
      <c r="U44" s="14">
        <f t="array" ref="U44">XLOOKUP(E44, 'Conference Match'!$A$2:$A$25, 'Conference Match'!$C$2:$C$25)</f>
        <v>0.95</v>
      </c>
      <c r="V44" s="20">
        <f t="shared" si="1"/>
        <v>0.19570608</v>
      </c>
      <c r="W44" s="20">
        <f t="shared" si="2"/>
        <v>4.162852007</v>
      </c>
      <c r="Y44" s="20">
        <f>IFERROR(__xludf.DUMMYFUNCTION("iferror(PERCENTRANK.INC(FILTER($V$2:$V$425, $T$2:$T$425&lt;3.75), $V44), 1)"),0.141)</f>
        <v>0.141</v>
      </c>
      <c r="Z44" s="20">
        <f>IFERROR(__xludf.DUMMYFUNCTION("iferror(PERCENTRANK.INC(FILTER($V$2:$V$425, $T$2:$T$425&lt;4.5), $V44), 1)"),0.126)</f>
        <v>0.126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1563</v>
      </c>
      <c r="B45" s="14" t="s">
        <v>856</v>
      </c>
      <c r="C45" s="14">
        <v>11.0</v>
      </c>
      <c r="D45" s="14" t="s">
        <v>38</v>
      </c>
      <c r="E45" s="14" t="s">
        <v>179</v>
      </c>
      <c r="F45" s="14">
        <v>88.0</v>
      </c>
      <c r="G45" s="14">
        <v>35.0</v>
      </c>
      <c r="H45" s="14">
        <v>16.0</v>
      </c>
      <c r="I45" s="46">
        <v>0.457</v>
      </c>
      <c r="J45" s="14">
        <v>1.0</v>
      </c>
      <c r="K45" s="14">
        <v>1.0</v>
      </c>
      <c r="L45" s="14">
        <v>8.0</v>
      </c>
      <c r="M45" s="14">
        <v>9.0</v>
      </c>
      <c r="N45" s="14">
        <v>232.0</v>
      </c>
      <c r="O45" s="20">
        <v>3.014516</v>
      </c>
      <c r="P45" s="20">
        <v>59.16646151055366</v>
      </c>
      <c r="Q45" s="15"/>
      <c r="R45" s="20">
        <v>3.014516</v>
      </c>
      <c r="U45" s="14">
        <f t="array" ref="U45">XLOOKUP(E45, 'Conference Match'!$A$2:$A$25, 'Conference Match'!$C$2:$C$25)</f>
        <v>1</v>
      </c>
      <c r="V45" s="20">
        <f t="shared" si="1"/>
        <v>0.4521774</v>
      </c>
      <c r="W45" s="20">
        <f t="shared" si="2"/>
        <v>9.618237703</v>
      </c>
      <c r="Y45" s="20">
        <f>IFERROR(__xludf.DUMMYFUNCTION("iferror(PERCENTRANK.INC(FILTER($V$2:$V$425, $T$2:$T$425&lt;3.75), $V45), 1)"),0.949)</f>
        <v>0.949</v>
      </c>
      <c r="Z45" s="20">
        <f>IFERROR(__xludf.DUMMYFUNCTION("iferror(PERCENTRANK.INC(FILTER($V$2:$V$425, $T$2:$T$425&lt;4.5), $V45), 1)"),0.851)</f>
        <v>0.851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1564</v>
      </c>
      <c r="B46" s="14" t="s">
        <v>856</v>
      </c>
      <c r="C46" s="14">
        <v>3.0</v>
      </c>
      <c r="D46" s="14" t="s">
        <v>38</v>
      </c>
      <c r="E46" s="14" t="s">
        <v>179</v>
      </c>
      <c r="F46" s="14">
        <v>62.0</v>
      </c>
      <c r="G46" s="14">
        <v>21.0</v>
      </c>
      <c r="H46" s="14">
        <v>9.0</v>
      </c>
      <c r="I46" s="46">
        <v>0.429</v>
      </c>
      <c r="J46" s="14">
        <v>2.0</v>
      </c>
      <c r="K46" s="14">
        <v>0.0</v>
      </c>
      <c r="L46" s="14">
        <v>0.0</v>
      </c>
      <c r="M46" s="14">
        <v>0.0</v>
      </c>
      <c r="N46" s="14">
        <v>176.0</v>
      </c>
      <c r="O46" s="20">
        <v>1.594852</v>
      </c>
      <c r="P46" s="20">
        <v>13.179185508635992</v>
      </c>
      <c r="Q46" s="15"/>
      <c r="R46" s="20">
        <v>1.594852</v>
      </c>
      <c r="U46" s="14">
        <f t="array" ref="U46">XLOOKUP(E46, 'Conference Match'!$A$2:$A$25, 'Conference Match'!$C$2:$C$25)</f>
        <v>1</v>
      </c>
      <c r="V46" s="20">
        <f t="shared" si="1"/>
        <v>0.2392278</v>
      </c>
      <c r="W46" s="20">
        <f t="shared" si="2"/>
        <v>5.08859984</v>
      </c>
      <c r="Y46" s="20">
        <f>IFERROR(__xludf.DUMMYFUNCTION("iferror(PERCENTRANK.INC(FILTER($V$2:$V$425, $T$2:$T$425&lt;3.75), $V46), 1)"),0.385)</f>
        <v>0.385</v>
      </c>
      <c r="Z46" s="20">
        <f>IFERROR(__xludf.DUMMYFUNCTION("iferror(PERCENTRANK.INC(FILTER($V$2:$V$425, $T$2:$T$425&lt;4.5), $V46), 1)"),0.345)</f>
        <v>0.345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1565</v>
      </c>
      <c r="B47" s="14" t="s">
        <v>311</v>
      </c>
      <c r="C47" s="14">
        <v>14.0</v>
      </c>
      <c r="D47" s="14" t="s">
        <v>38</v>
      </c>
      <c r="E47" s="14" t="s">
        <v>164</v>
      </c>
      <c r="F47" s="14">
        <v>87.0</v>
      </c>
      <c r="G47" s="14">
        <v>40.0</v>
      </c>
      <c r="H47" s="14">
        <v>19.0</v>
      </c>
      <c r="I47" s="46">
        <v>0.475</v>
      </c>
      <c r="J47" s="14">
        <v>3.0</v>
      </c>
      <c r="K47" s="14">
        <v>1.0</v>
      </c>
      <c r="L47" s="14">
        <v>3.0</v>
      </c>
      <c r="M47" s="14">
        <v>3.0</v>
      </c>
      <c r="N47" s="14">
        <v>229.0</v>
      </c>
      <c r="O47" s="20">
        <v>2.4343</v>
      </c>
      <c r="P47" s="20">
        <v>40.371483732200005</v>
      </c>
      <c r="Q47" s="15"/>
      <c r="R47" s="20">
        <v>2.4343</v>
      </c>
      <c r="U47" s="14">
        <f t="array" ref="U47">XLOOKUP(E47, 'Conference Match'!$A$2:$A$25, 'Conference Match'!$C$2:$C$25)</f>
        <v>1</v>
      </c>
      <c r="V47" s="20">
        <f t="shared" si="1"/>
        <v>0.365145</v>
      </c>
      <c r="W47" s="20">
        <f t="shared" si="2"/>
        <v>7.766976868</v>
      </c>
      <c r="Y47" s="20">
        <f>IFERROR(__xludf.DUMMYFUNCTION("iferror(PERCENTRANK.INC(FILTER($V$2:$V$425, $T$2:$T$425&lt;3.75), $V47), 1)"),0.833)</f>
        <v>0.833</v>
      </c>
      <c r="Z47" s="20">
        <f>IFERROR(__xludf.DUMMYFUNCTION("iferror(PERCENTRANK.INC(FILTER($V$2:$V$425, $T$2:$T$425&lt;4.5), $V47), 1)"),0.747)</f>
        <v>0.747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1566</v>
      </c>
      <c r="B48" s="14" t="s">
        <v>311</v>
      </c>
      <c r="C48" s="14">
        <v>6.0</v>
      </c>
      <c r="D48" s="14" t="s">
        <v>38</v>
      </c>
      <c r="E48" s="14" t="s">
        <v>164</v>
      </c>
      <c r="F48" s="14">
        <v>49.0</v>
      </c>
      <c r="G48" s="14">
        <v>38.0</v>
      </c>
      <c r="H48" s="14">
        <v>24.0</v>
      </c>
      <c r="I48" s="46">
        <v>0.632</v>
      </c>
      <c r="J48" s="14">
        <v>2.0</v>
      </c>
      <c r="K48" s="14">
        <v>3.0</v>
      </c>
      <c r="L48" s="14">
        <v>2.0</v>
      </c>
      <c r="M48" s="14">
        <v>3.0</v>
      </c>
      <c r="N48" s="14">
        <v>299.0</v>
      </c>
      <c r="O48" s="20">
        <v>2.3324160000000003</v>
      </c>
      <c r="P48" s="20">
        <v>37.0711481399899</v>
      </c>
      <c r="Q48" s="15"/>
      <c r="R48" s="20">
        <v>2.3324160000000003</v>
      </c>
      <c r="U48" s="14">
        <f t="array" ref="U48">XLOOKUP(E48, 'Conference Match'!$A$2:$A$25, 'Conference Match'!$C$2:$C$25)</f>
        <v>1</v>
      </c>
      <c r="V48" s="20">
        <f t="shared" si="1"/>
        <v>0.3498624</v>
      </c>
      <c r="W48" s="20">
        <f t="shared" si="2"/>
        <v>7.441901622</v>
      </c>
      <c r="Y48" s="20">
        <f>IFERROR(__xludf.DUMMYFUNCTION("iferror(PERCENTRANK.INC(FILTER($V$2:$V$425, $T$2:$T$425&lt;3.75), $V48), 1)"),0.821)</f>
        <v>0.821</v>
      </c>
      <c r="Z48" s="20">
        <f>IFERROR(__xludf.DUMMYFUNCTION("iferror(PERCENTRANK.INC(FILTER($V$2:$V$425, $T$2:$T$425&lt;4.5), $V48), 1)"),0.736)</f>
        <v>0.736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1567</v>
      </c>
      <c r="B49" s="14" t="s">
        <v>311</v>
      </c>
      <c r="C49" s="14">
        <v>27.0</v>
      </c>
      <c r="D49" s="14" t="s">
        <v>38</v>
      </c>
      <c r="E49" s="14" t="s">
        <v>164</v>
      </c>
      <c r="F49" s="14">
        <v>34.0</v>
      </c>
      <c r="G49" s="14">
        <v>18.0</v>
      </c>
      <c r="H49" s="14">
        <v>6.0</v>
      </c>
      <c r="I49" s="46">
        <v>0.333</v>
      </c>
      <c r="J49" s="14">
        <v>3.0</v>
      </c>
      <c r="K49" s="14">
        <v>0.0</v>
      </c>
      <c r="L49" s="14">
        <v>1.0</v>
      </c>
      <c r="M49" s="14">
        <v>2.0</v>
      </c>
      <c r="N49" s="14">
        <v>138.0</v>
      </c>
      <c r="O49" s="20">
        <v>2.0560039999999997</v>
      </c>
      <c r="P49" s="20">
        <v>28.117314744029947</v>
      </c>
      <c r="Q49" s="15"/>
      <c r="R49" s="20">
        <v>2.0560039999999997</v>
      </c>
      <c r="U49" s="14">
        <f t="array" ref="U49">XLOOKUP(E49, 'Conference Match'!$A$2:$A$25, 'Conference Match'!$C$2:$C$25)</f>
        <v>1</v>
      </c>
      <c r="V49" s="20">
        <f t="shared" si="1"/>
        <v>0.3084006</v>
      </c>
      <c r="W49" s="20">
        <f t="shared" si="2"/>
        <v>6.559970221</v>
      </c>
      <c r="Y49" s="20">
        <f>IFERROR(__xludf.DUMMYFUNCTION("iferror(PERCENTRANK.INC(FILTER($V$2:$V$425, $T$2:$T$425&lt;3.75), $V49), 1)"),0.705)</f>
        <v>0.705</v>
      </c>
      <c r="Z49" s="20">
        <f>IFERROR(__xludf.DUMMYFUNCTION("iferror(PERCENTRANK.INC(FILTER($V$2:$V$425, $T$2:$T$425&lt;4.5), $V49), 1)"),0.632)</f>
        <v>0.632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1568</v>
      </c>
      <c r="B50" s="14" t="s">
        <v>311</v>
      </c>
      <c r="C50" s="14">
        <v>2.0</v>
      </c>
      <c r="D50" s="14" t="s">
        <v>38</v>
      </c>
      <c r="E50" s="14" t="s">
        <v>164</v>
      </c>
      <c r="F50" s="14">
        <v>21.0</v>
      </c>
      <c r="G50" s="14">
        <v>16.0</v>
      </c>
      <c r="H50" s="14">
        <v>7.0</v>
      </c>
      <c r="I50" s="46">
        <v>0.438</v>
      </c>
      <c r="J50" s="14">
        <v>1.0</v>
      </c>
      <c r="K50" s="14">
        <v>1.0</v>
      </c>
      <c r="L50" s="14">
        <v>0.0</v>
      </c>
      <c r="M50" s="14">
        <v>1.0</v>
      </c>
      <c r="N50" s="14">
        <v>108.0</v>
      </c>
      <c r="O50" s="20">
        <v>1.574744</v>
      </c>
      <c r="P50" s="20">
        <v>12.527825647537478</v>
      </c>
      <c r="Q50" s="15"/>
      <c r="R50" s="20">
        <v>1.574744</v>
      </c>
      <c r="U50" s="14">
        <f t="array" ref="U50">XLOOKUP(E50, 'Conference Match'!$A$2:$A$25, 'Conference Match'!$C$2:$C$25)</f>
        <v>1</v>
      </c>
      <c r="V50" s="20">
        <f t="shared" si="1"/>
        <v>0.2362116</v>
      </c>
      <c r="W50" s="20">
        <f t="shared" si="2"/>
        <v>5.024442436</v>
      </c>
      <c r="Y50" s="20">
        <f>IFERROR(__xludf.DUMMYFUNCTION("iferror(PERCENTRANK.INC(FILTER($V$2:$V$425, $T$2:$T$425&lt;3.75), $V50), 1)"),0.372)</f>
        <v>0.372</v>
      </c>
      <c r="Z50" s="20">
        <f>IFERROR(__xludf.DUMMYFUNCTION("iferror(PERCENTRANK.INC(FILTER($V$2:$V$425, $T$2:$T$425&lt;4.5), $V50), 1)"),0.333)</f>
        <v>0.333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1569</v>
      </c>
      <c r="B51" s="14" t="s">
        <v>311</v>
      </c>
      <c r="C51" s="14">
        <v>12.0</v>
      </c>
      <c r="D51" s="14" t="s">
        <v>38</v>
      </c>
      <c r="E51" s="14" t="s">
        <v>164</v>
      </c>
      <c r="F51" s="14">
        <v>29.0</v>
      </c>
      <c r="G51" s="14">
        <v>9.0</v>
      </c>
      <c r="H51" s="14">
        <v>7.0</v>
      </c>
      <c r="I51" s="46">
        <v>0.778</v>
      </c>
      <c r="J51" s="14">
        <v>0.0</v>
      </c>
      <c r="K51" s="14">
        <v>0.0</v>
      </c>
      <c r="L51" s="14">
        <v>1.0</v>
      </c>
      <c r="M51" s="14">
        <v>1.0</v>
      </c>
      <c r="N51" s="14">
        <v>74.0</v>
      </c>
      <c r="O51" s="20">
        <v>1.3706639999999999</v>
      </c>
      <c r="P51" s="20">
        <v>5.917047825129246</v>
      </c>
      <c r="Q51" s="15"/>
      <c r="R51" s="20">
        <v>1.3706639999999999</v>
      </c>
      <c r="U51" s="14">
        <f t="array" ref="U51">XLOOKUP(E51, 'Conference Match'!$A$2:$A$25, 'Conference Match'!$C$2:$C$25)</f>
        <v>1</v>
      </c>
      <c r="V51" s="20">
        <f t="shared" si="1"/>
        <v>0.2055996</v>
      </c>
      <c r="W51" s="20">
        <f t="shared" si="2"/>
        <v>4.373296464</v>
      </c>
      <c r="Y51" s="20">
        <f>IFERROR(__xludf.DUMMYFUNCTION("iferror(PERCENTRANK.INC(FILTER($V$2:$V$425, $T$2:$T$425&lt;3.75), $V51), 1)"),0.192)</f>
        <v>0.192</v>
      </c>
      <c r="Z51" s="20">
        <f>IFERROR(__xludf.DUMMYFUNCTION("iferror(PERCENTRANK.INC(FILTER($V$2:$V$425, $T$2:$T$425&lt;4.5), $V51), 1)"),0.172)</f>
        <v>0.172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1570</v>
      </c>
      <c r="B52" s="14" t="s">
        <v>311</v>
      </c>
      <c r="C52" s="14">
        <v>4.0</v>
      </c>
      <c r="D52" s="14" t="s">
        <v>38</v>
      </c>
      <c r="E52" s="14" t="s">
        <v>164</v>
      </c>
      <c r="F52" s="14">
        <v>93.0</v>
      </c>
      <c r="G52" s="14">
        <v>28.0</v>
      </c>
      <c r="H52" s="14">
        <v>22.0</v>
      </c>
      <c r="I52" s="46">
        <v>0.786</v>
      </c>
      <c r="J52" s="14">
        <v>0.0</v>
      </c>
      <c r="K52" s="14">
        <v>0.0</v>
      </c>
      <c r="L52" s="14">
        <v>1.0</v>
      </c>
      <c r="M52" s="14">
        <v>1.0</v>
      </c>
      <c r="N52" s="14">
        <v>190.0</v>
      </c>
      <c r="O52" s="20">
        <v>1.370568</v>
      </c>
      <c r="P52" s="20">
        <v>5.91393809036371</v>
      </c>
      <c r="Q52" s="15"/>
      <c r="R52" s="20">
        <v>1.370568</v>
      </c>
      <c r="U52" s="14">
        <f t="array" ref="U52">XLOOKUP(E52, 'Conference Match'!$A$2:$A$25, 'Conference Match'!$C$2:$C$25)</f>
        <v>1</v>
      </c>
      <c r="V52" s="20">
        <f t="shared" si="1"/>
        <v>0.2055852</v>
      </c>
      <c r="W52" s="20">
        <f t="shared" si="2"/>
        <v>4.372990162</v>
      </c>
      <c r="Y52" s="20">
        <f>IFERROR(__xludf.DUMMYFUNCTION("iferror(PERCENTRANK.INC(FILTER($V$2:$V$425, $T$2:$T$425&lt;3.75), $V52), 1)"),0.179)</f>
        <v>0.179</v>
      </c>
      <c r="Z52" s="20">
        <f>IFERROR(__xludf.DUMMYFUNCTION("iferror(PERCENTRANK.INC(FILTER($V$2:$V$425, $T$2:$T$425&lt;4.5), $V52), 1)"),0.161)</f>
        <v>0.161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1571</v>
      </c>
      <c r="B53" s="14" t="s">
        <v>345</v>
      </c>
      <c r="C53" s="14">
        <v>25.0</v>
      </c>
      <c r="D53" s="14" t="s">
        <v>38</v>
      </c>
      <c r="E53" s="14" t="s">
        <v>120</v>
      </c>
      <c r="F53" s="14">
        <v>100.0</v>
      </c>
      <c r="G53" s="14">
        <v>35.0</v>
      </c>
      <c r="H53" s="14">
        <v>22.0</v>
      </c>
      <c r="I53" s="46">
        <v>0.629</v>
      </c>
      <c r="J53" s="14">
        <v>1.0</v>
      </c>
      <c r="K53" s="14">
        <v>0.0</v>
      </c>
      <c r="L53" s="14">
        <v>2.0</v>
      </c>
      <c r="M53" s="14">
        <v>4.0</v>
      </c>
      <c r="N53" s="14">
        <v>236.0</v>
      </c>
      <c r="O53" s="20">
        <v>1.9124519999999998</v>
      </c>
      <c r="P53" s="20">
        <v>23.46722469129403</v>
      </c>
      <c r="Q53" s="15"/>
      <c r="R53" s="20">
        <v>1.9124519999999998</v>
      </c>
      <c r="U53" s="14">
        <f t="array" ref="U53">XLOOKUP(E53, 'Conference Match'!$A$2:$A$25, 'Conference Match'!$C$2:$C$25)</f>
        <v>0.95</v>
      </c>
      <c r="V53" s="20">
        <f t="shared" si="1"/>
        <v>0.27252441</v>
      </c>
      <c r="W53" s="20">
        <f t="shared" si="2"/>
        <v>5.796849987</v>
      </c>
      <c r="Y53" s="20">
        <f>IFERROR(__xludf.DUMMYFUNCTION("iferror(PERCENTRANK.INC(FILTER($V$2:$V$425, $T$2:$T$425&lt;3.75), $V53), 1)"),0.577)</f>
        <v>0.577</v>
      </c>
      <c r="Z53" s="20">
        <f>IFERROR(__xludf.DUMMYFUNCTION("iferror(PERCENTRANK.INC(FILTER($V$2:$V$425, $T$2:$T$425&lt;4.5), $V53), 1)"),0.517)</f>
        <v>0.517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1572</v>
      </c>
      <c r="B54" s="14" t="s">
        <v>345</v>
      </c>
      <c r="C54" s="14">
        <v>15.0</v>
      </c>
      <c r="D54" s="14" t="s">
        <v>38</v>
      </c>
      <c r="E54" s="14" t="s">
        <v>120</v>
      </c>
      <c r="F54" s="14">
        <v>16.0</v>
      </c>
      <c r="G54" s="14">
        <v>6.0</v>
      </c>
      <c r="H54" s="14">
        <v>4.0</v>
      </c>
      <c r="I54" s="46">
        <v>0.667</v>
      </c>
      <c r="J54" s="14">
        <v>0.0</v>
      </c>
      <c r="K54" s="14">
        <v>0.0</v>
      </c>
      <c r="L54" s="14">
        <v>0.0</v>
      </c>
      <c r="M54" s="14">
        <v>0.0</v>
      </c>
      <c r="N54" s="14">
        <v>61.0</v>
      </c>
      <c r="O54" s="20">
        <v>1.1919959999999998</v>
      </c>
      <c r="P54" s="20">
        <v>0.12944270961555543</v>
      </c>
      <c r="Q54" s="15"/>
      <c r="R54" s="20">
        <v>1.1919959999999998</v>
      </c>
      <c r="U54" s="14">
        <f t="array" ref="U54">XLOOKUP(E54, 'Conference Match'!$A$2:$A$25, 'Conference Match'!$C$2:$C$25)</f>
        <v>0.95</v>
      </c>
      <c r="V54" s="20">
        <f t="shared" si="1"/>
        <v>0.16985943</v>
      </c>
      <c r="W54" s="20">
        <f t="shared" si="2"/>
        <v>3.613069503</v>
      </c>
      <c r="Y54" s="20">
        <f>IFERROR(__xludf.DUMMYFUNCTION("iferror(PERCENTRANK.INC(FILTER($V$2:$V$425, $T$2:$T$425&lt;3.75), $V54), 1)"),0.038)</f>
        <v>0.038</v>
      </c>
      <c r="Z54" s="20">
        <f>IFERROR(__xludf.DUMMYFUNCTION("iferror(PERCENTRANK.INC(FILTER($V$2:$V$425, $T$2:$T$425&lt;4.5), $V54), 1)"),0.034)</f>
        <v>0.034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1573</v>
      </c>
      <c r="B55" s="14" t="s">
        <v>349</v>
      </c>
      <c r="C55" s="14">
        <v>17.0</v>
      </c>
      <c r="D55" s="14" t="s">
        <v>38</v>
      </c>
      <c r="E55" s="14" t="s">
        <v>164</v>
      </c>
      <c r="F55" s="14">
        <v>70.0</v>
      </c>
      <c r="G55" s="14">
        <v>49.0</v>
      </c>
      <c r="H55" s="14">
        <v>27.0</v>
      </c>
      <c r="I55" s="46">
        <v>0.551</v>
      </c>
      <c r="J55" s="14">
        <v>3.0</v>
      </c>
      <c r="K55" s="14">
        <v>1.0</v>
      </c>
      <c r="L55" s="14">
        <v>5.0</v>
      </c>
      <c r="M55" s="14">
        <v>5.0</v>
      </c>
      <c r="N55" s="14">
        <v>252.0</v>
      </c>
      <c r="O55" s="20">
        <v>2.7933879999999998</v>
      </c>
      <c r="P55" s="20">
        <v>52.00344662269846</v>
      </c>
      <c r="Q55" s="15"/>
      <c r="R55" s="20">
        <v>2.7933879999999998</v>
      </c>
      <c r="U55" s="14">
        <f t="array" ref="U55">XLOOKUP(E55, 'Conference Match'!$A$2:$A$25, 'Conference Match'!$C$2:$C$25)</f>
        <v>1</v>
      </c>
      <c r="V55" s="20">
        <f t="shared" si="1"/>
        <v>0.4190082</v>
      </c>
      <c r="W55" s="20">
        <f t="shared" si="2"/>
        <v>8.912697687</v>
      </c>
      <c r="Y55" s="20">
        <f>IFERROR(__xludf.DUMMYFUNCTION("iferror(PERCENTRANK.INC(FILTER($V$2:$V$425, $T$2:$T$425&lt;3.75), $V55), 1)"),0.91)</f>
        <v>0.91</v>
      </c>
      <c r="Z55" s="20">
        <f>IFERROR(__xludf.DUMMYFUNCTION("iferror(PERCENTRANK.INC(FILTER($V$2:$V$425, $T$2:$T$425&lt;4.5), $V55), 1)"),0.816)</f>
        <v>0.816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1574</v>
      </c>
      <c r="B56" s="14" t="s">
        <v>349</v>
      </c>
      <c r="C56" s="14">
        <v>4.0</v>
      </c>
      <c r="D56" s="14" t="s">
        <v>38</v>
      </c>
      <c r="E56" s="14" t="s">
        <v>164</v>
      </c>
      <c r="F56" s="14">
        <v>77.0</v>
      </c>
      <c r="G56" s="14">
        <v>32.0</v>
      </c>
      <c r="H56" s="14">
        <v>21.0</v>
      </c>
      <c r="I56" s="46">
        <v>0.656</v>
      </c>
      <c r="J56" s="14">
        <v>0.0</v>
      </c>
      <c r="K56" s="14">
        <v>0.0</v>
      </c>
      <c r="L56" s="14">
        <v>2.0</v>
      </c>
      <c r="M56" s="14">
        <v>3.0</v>
      </c>
      <c r="N56" s="14">
        <v>211.0</v>
      </c>
      <c r="O56" s="20">
        <v>1.6321279999999998</v>
      </c>
      <c r="P56" s="20">
        <v>14.386669603638383</v>
      </c>
      <c r="Q56" s="15"/>
      <c r="R56" s="20">
        <v>1.6321279999999998</v>
      </c>
      <c r="U56" s="14">
        <f t="array" ref="U56">XLOOKUP(E56, 'Conference Match'!$A$2:$A$25, 'Conference Match'!$C$2:$C$25)</f>
        <v>1</v>
      </c>
      <c r="V56" s="20">
        <f t="shared" si="1"/>
        <v>0.2448192</v>
      </c>
      <c r="W56" s="20">
        <f t="shared" si="2"/>
        <v>5.207534166</v>
      </c>
      <c r="Y56" s="20">
        <f>IFERROR(__xludf.DUMMYFUNCTION("iferror(PERCENTRANK.INC(FILTER($V$2:$V$425, $T$2:$T$425&lt;3.75), $V56), 1)"),0.41)</f>
        <v>0.41</v>
      </c>
      <c r="Z56" s="20">
        <f>IFERROR(__xludf.DUMMYFUNCTION("iferror(PERCENTRANK.INC(FILTER($V$2:$V$425, $T$2:$T$425&lt;4.5), $V56), 1)"),0.368)</f>
        <v>0.368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1575</v>
      </c>
      <c r="B57" s="14" t="s">
        <v>443</v>
      </c>
      <c r="C57" s="14">
        <v>21.0</v>
      </c>
      <c r="D57" s="14" t="s">
        <v>38</v>
      </c>
      <c r="E57" s="14" t="s">
        <v>130</v>
      </c>
      <c r="F57" s="14">
        <v>34.0</v>
      </c>
      <c r="G57" s="14">
        <v>41.0</v>
      </c>
      <c r="H57" s="14">
        <v>25.0</v>
      </c>
      <c r="I57" s="46">
        <v>0.61</v>
      </c>
      <c r="J57" s="14">
        <v>2.0</v>
      </c>
      <c r="K57" s="14">
        <v>0.0</v>
      </c>
      <c r="L57" s="14">
        <v>4.0</v>
      </c>
      <c r="M57" s="14">
        <v>4.0</v>
      </c>
      <c r="N57" s="14">
        <v>220.0</v>
      </c>
      <c r="O57" s="20">
        <v>2.31268</v>
      </c>
      <c r="P57" s="20">
        <v>36.43183850110783</v>
      </c>
      <c r="Q57" s="15"/>
      <c r="R57" s="20">
        <v>2.31268</v>
      </c>
      <c r="U57" s="14">
        <f t="array" ref="U57">XLOOKUP(E57, 'Conference Match'!$A$2:$A$25, 'Conference Match'!$C$2:$C$25)</f>
        <v>1</v>
      </c>
      <c r="V57" s="20">
        <f t="shared" si="1"/>
        <v>0.346902</v>
      </c>
      <c r="W57" s="20">
        <f t="shared" si="2"/>
        <v>7.378931135</v>
      </c>
      <c r="Y57" s="20">
        <f>IFERROR(__xludf.DUMMYFUNCTION("iferror(PERCENTRANK.INC(FILTER($V$2:$V$425, $T$2:$T$425&lt;3.75), $V57), 1)"),0.808)</f>
        <v>0.808</v>
      </c>
      <c r="Z57" s="20">
        <f>IFERROR(__xludf.DUMMYFUNCTION("iferror(PERCENTRANK.INC(FILTER($V$2:$V$425, $T$2:$T$425&lt;4.5), $V57), 1)"),0.724)</f>
        <v>0.724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1576</v>
      </c>
      <c r="B58" s="14" t="s">
        <v>443</v>
      </c>
      <c r="C58" s="14">
        <v>18.0</v>
      </c>
      <c r="D58" s="14" t="s">
        <v>38</v>
      </c>
      <c r="E58" s="14" t="s">
        <v>130</v>
      </c>
      <c r="F58" s="14">
        <v>101.0</v>
      </c>
      <c r="G58" s="14">
        <v>30.0</v>
      </c>
      <c r="H58" s="14">
        <v>17.0</v>
      </c>
      <c r="I58" s="46">
        <v>0.567</v>
      </c>
      <c r="J58" s="14">
        <v>1.0</v>
      </c>
      <c r="K58" s="14">
        <v>0.0</v>
      </c>
      <c r="L58" s="14">
        <v>4.0</v>
      </c>
      <c r="M58" s="14">
        <v>4.0</v>
      </c>
      <c r="N58" s="14">
        <v>219.0</v>
      </c>
      <c r="O58" s="20">
        <v>2.1131960000000003</v>
      </c>
      <c r="P58" s="20">
        <v>29.9699392305998</v>
      </c>
      <c r="Q58" s="15"/>
      <c r="R58" s="20">
        <v>2.1131960000000003</v>
      </c>
      <c r="U58" s="14">
        <f t="array" ref="U58">XLOOKUP(E58, 'Conference Match'!$A$2:$A$25, 'Conference Match'!$C$2:$C$25)</f>
        <v>1</v>
      </c>
      <c r="V58" s="20">
        <f t="shared" si="1"/>
        <v>0.3169794</v>
      </c>
      <c r="W58" s="20">
        <f t="shared" si="2"/>
        <v>6.742449349</v>
      </c>
      <c r="Y58" s="20">
        <f>IFERROR(__xludf.DUMMYFUNCTION("iferror(PERCENTRANK.INC(FILTER($V$2:$V$425, $T$2:$T$425&lt;3.75), $V58), 1)"),0.731)</f>
        <v>0.731</v>
      </c>
      <c r="Z58" s="20">
        <f>IFERROR(__xludf.DUMMYFUNCTION("iferror(PERCENTRANK.INC(FILTER($V$2:$V$425, $T$2:$T$425&lt;4.5), $V58), 1)"),0.655)</f>
        <v>0.655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1577</v>
      </c>
      <c r="B59" s="14" t="s">
        <v>443</v>
      </c>
      <c r="C59" s="14">
        <v>15.0</v>
      </c>
      <c r="D59" s="14" t="s">
        <v>38</v>
      </c>
      <c r="E59" s="14" t="s">
        <v>130</v>
      </c>
      <c r="F59" s="14">
        <v>5.0</v>
      </c>
      <c r="G59" s="14">
        <v>11.0</v>
      </c>
      <c r="H59" s="14">
        <v>10.0</v>
      </c>
      <c r="I59" s="46">
        <v>0.909</v>
      </c>
      <c r="J59" s="14">
        <v>0.0</v>
      </c>
      <c r="K59" s="14">
        <v>0.0</v>
      </c>
      <c r="L59" s="14">
        <v>0.0</v>
      </c>
      <c r="M59" s="14">
        <v>0.0</v>
      </c>
      <c r="N59" s="14">
        <v>71.0</v>
      </c>
      <c r="O59" s="20">
        <v>1.1890919999999998</v>
      </c>
      <c r="P59" s="20">
        <v>0.03537323295800144</v>
      </c>
      <c r="Q59" s="15"/>
      <c r="R59" s="20">
        <v>1.1890919999999998</v>
      </c>
      <c r="U59" s="14">
        <f t="array" ref="U59">XLOOKUP(E59, 'Conference Match'!$A$2:$A$25, 'Conference Match'!$C$2:$C$25)</f>
        <v>1</v>
      </c>
      <c r="V59" s="20">
        <f t="shared" si="1"/>
        <v>0.1783638</v>
      </c>
      <c r="W59" s="20">
        <f t="shared" si="2"/>
        <v>3.793965435</v>
      </c>
      <c r="Y59" s="20">
        <f>IFERROR(__xludf.DUMMYFUNCTION("iferror(PERCENTRANK.INC(FILTER($V$2:$V$425, $T$2:$T$425&lt;3.75), $V59), 1)"),0.064)</f>
        <v>0.064</v>
      </c>
      <c r="Z59" s="20">
        <f>IFERROR(__xludf.DUMMYFUNCTION("iferror(PERCENTRANK.INC(FILTER($V$2:$V$425, $T$2:$T$425&lt;4.5), $V59), 1)"),0.057)</f>
        <v>0.057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7" t="s">
        <v>1578</v>
      </c>
      <c r="B60" s="17" t="s">
        <v>505</v>
      </c>
      <c r="C60" s="18">
        <v>31.0</v>
      </c>
      <c r="D60" s="17" t="s">
        <v>38</v>
      </c>
      <c r="E60" s="17" t="s">
        <v>188</v>
      </c>
      <c r="F60" s="18">
        <v>67.0</v>
      </c>
      <c r="G60" s="18">
        <v>38.0</v>
      </c>
      <c r="H60" s="18">
        <v>20.0</v>
      </c>
      <c r="I60" s="19">
        <v>0.526</v>
      </c>
      <c r="J60" s="18">
        <v>0.0</v>
      </c>
      <c r="K60" s="18">
        <v>1.0</v>
      </c>
      <c r="L60" s="18">
        <v>4.0</v>
      </c>
      <c r="M60" s="18">
        <v>5.0</v>
      </c>
      <c r="N60" s="18">
        <v>212.0</v>
      </c>
      <c r="O60" s="22">
        <v>2.09</v>
      </c>
      <c r="P60" s="22">
        <v>29.34</v>
      </c>
      <c r="Q60" s="15"/>
      <c r="R60" s="37">
        <v>2.09</v>
      </c>
      <c r="U60" s="14">
        <f t="array" ref="U60">XLOOKUP(E60, 'Conference Match'!$A$2:$A$25, 'Conference Match'!$C$2:$C$25)</f>
        <v>0.9</v>
      </c>
      <c r="V60" s="20">
        <f t="shared" si="1"/>
        <v>0.28215</v>
      </c>
      <c r="W60" s="20">
        <f t="shared" si="2"/>
        <v>6.00159532</v>
      </c>
      <c r="Y60" s="20">
        <f>IFERROR(__xludf.DUMMYFUNCTION("iferror(PERCENTRANK.INC(FILTER($V$2:$V$425, $T$2:$T$425&lt;3.75), $V60), 1)"),0.615)</f>
        <v>0.615</v>
      </c>
      <c r="Z60" s="20">
        <f>IFERROR(__xludf.DUMMYFUNCTION("iferror(PERCENTRANK.INC(FILTER($V$2:$V$425, $T$2:$T$425&lt;4.5), $V60), 1)"),0.552)</f>
        <v>0.552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1579</v>
      </c>
      <c r="B61" s="17" t="s">
        <v>600</v>
      </c>
      <c r="C61" s="18">
        <v>3.0</v>
      </c>
      <c r="D61" s="17" t="s">
        <v>38</v>
      </c>
      <c r="E61" s="17" t="s">
        <v>169</v>
      </c>
      <c r="F61" s="18">
        <v>98.0</v>
      </c>
      <c r="G61" s="18">
        <v>36.0</v>
      </c>
      <c r="H61" s="18">
        <v>21.0</v>
      </c>
      <c r="I61" s="19">
        <v>0.583</v>
      </c>
      <c r="J61" s="18">
        <v>1.0</v>
      </c>
      <c r="K61" s="18">
        <v>0.0</v>
      </c>
      <c r="L61" s="18">
        <v>3.0</v>
      </c>
      <c r="M61" s="18">
        <v>4.0</v>
      </c>
      <c r="N61" s="18">
        <v>255.0</v>
      </c>
      <c r="O61" s="22">
        <v>2.01</v>
      </c>
      <c r="P61" s="22">
        <v>26.72</v>
      </c>
      <c r="Q61" s="15"/>
      <c r="R61" s="37">
        <v>2.01</v>
      </c>
      <c r="U61" s="14">
        <f t="array" ref="U61">XLOOKUP(E61, 'Conference Match'!$A$2:$A$25, 'Conference Match'!$C$2:$C$25)</f>
        <v>0.9</v>
      </c>
      <c r="V61" s="20">
        <f t="shared" si="1"/>
        <v>0.27135</v>
      </c>
      <c r="W61" s="20">
        <f t="shared" si="2"/>
        <v>5.771869184</v>
      </c>
      <c r="Y61" s="20">
        <f>IFERROR(__xludf.DUMMYFUNCTION("iferror(PERCENTRANK.INC(FILTER($V$2:$V$425, $T$2:$T$425&lt;3.75), $V61), 1)"),0.526)</f>
        <v>0.526</v>
      </c>
      <c r="Z61" s="20">
        <f>IFERROR(__xludf.DUMMYFUNCTION("iferror(PERCENTRANK.INC(FILTER($V$2:$V$425, $T$2:$T$425&lt;4.5), $V61), 1)"),0.471)</f>
        <v>0.471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1580</v>
      </c>
      <c r="B62" s="14" t="s">
        <v>307</v>
      </c>
      <c r="C62" s="14">
        <v>10.0</v>
      </c>
      <c r="D62" s="14" t="s">
        <v>38</v>
      </c>
      <c r="E62" s="14" t="s">
        <v>164</v>
      </c>
      <c r="F62" s="14">
        <v>66.0</v>
      </c>
      <c r="G62" s="14">
        <v>43.0</v>
      </c>
      <c r="H62" s="14">
        <v>18.0</v>
      </c>
      <c r="I62" s="46">
        <v>0.419</v>
      </c>
      <c r="J62" s="14">
        <v>2.0</v>
      </c>
      <c r="K62" s="14">
        <v>0.0</v>
      </c>
      <c r="L62" s="14">
        <v>3.0</v>
      </c>
      <c r="M62" s="14">
        <v>5.0</v>
      </c>
      <c r="N62" s="14">
        <v>280.0</v>
      </c>
      <c r="O62" s="20">
        <v>2.294972</v>
      </c>
      <c r="P62" s="20">
        <v>35.8582220091478</v>
      </c>
      <c r="Q62" s="15"/>
      <c r="R62" s="20">
        <v>2.294972</v>
      </c>
      <c r="U62" s="14">
        <f t="array" ref="U62">XLOOKUP(E62, 'Conference Match'!$A$2:$A$25, 'Conference Match'!$C$2:$C$25)</f>
        <v>1</v>
      </c>
      <c r="V62" s="20">
        <f t="shared" si="1"/>
        <v>0.3442458</v>
      </c>
      <c r="W62" s="20">
        <f t="shared" si="2"/>
        <v>7.322431268</v>
      </c>
      <c r="Y62" s="20">
        <f>IFERROR(__xludf.DUMMYFUNCTION("iferror(PERCENTRANK.INC(FILTER($V$2:$V$425, $T$2:$T$425&lt;3.75), $V62), 1)"),0.795)</f>
        <v>0.795</v>
      </c>
      <c r="Z62" s="20">
        <f>IFERROR(__xludf.DUMMYFUNCTION("iferror(PERCENTRANK.INC(FILTER($V$2:$V$425, $T$2:$T$425&lt;4.5), $V62), 1)"),0.713)</f>
        <v>0.713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4" t="s">
        <v>1581</v>
      </c>
      <c r="B63" s="14" t="s">
        <v>307</v>
      </c>
      <c r="C63" s="14">
        <v>37.0</v>
      </c>
      <c r="D63" s="14" t="s">
        <v>38</v>
      </c>
      <c r="E63" s="14" t="s">
        <v>164</v>
      </c>
      <c r="F63" s="14">
        <v>111.0</v>
      </c>
      <c r="G63" s="14">
        <v>32.0</v>
      </c>
      <c r="H63" s="14">
        <v>21.0</v>
      </c>
      <c r="I63" s="46">
        <v>0.656</v>
      </c>
      <c r="J63" s="14">
        <v>1.0</v>
      </c>
      <c r="K63" s="14">
        <v>0.0</v>
      </c>
      <c r="L63" s="14">
        <v>3.0</v>
      </c>
      <c r="M63" s="14">
        <v>3.0</v>
      </c>
      <c r="N63" s="14">
        <v>258.0</v>
      </c>
      <c r="O63" s="20">
        <v>1.9321279999999998</v>
      </c>
      <c r="P63" s="20">
        <v>24.104590745947622</v>
      </c>
      <c r="Q63" s="15"/>
      <c r="R63" s="20">
        <v>1.9321279999999998</v>
      </c>
      <c r="U63" s="14">
        <f t="array" ref="U63">XLOOKUP(E63, 'Conference Match'!$A$2:$A$25, 'Conference Match'!$C$2:$C$25)</f>
        <v>1</v>
      </c>
      <c r="V63" s="20">
        <f t="shared" si="1"/>
        <v>0.2898192</v>
      </c>
      <c r="W63" s="20">
        <f t="shared" si="2"/>
        <v>6.164726403</v>
      </c>
      <c r="Y63" s="20">
        <f>IFERROR(__xludf.DUMMYFUNCTION("iferror(PERCENTRANK.INC(FILTER($V$2:$V$425, $T$2:$T$425&lt;3.75), $V63), 1)"),0.641)</f>
        <v>0.641</v>
      </c>
      <c r="Z63" s="20">
        <f>IFERROR(__xludf.DUMMYFUNCTION("iferror(PERCENTRANK.INC(FILTER($V$2:$V$425, $T$2:$T$425&lt;4.5), $V63), 1)"),0.575)</f>
        <v>0.575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1582</v>
      </c>
      <c r="B64" s="17" t="s">
        <v>134</v>
      </c>
      <c r="C64" s="18">
        <v>3.0</v>
      </c>
      <c r="D64" s="17" t="s">
        <v>38</v>
      </c>
      <c r="E64" s="17" t="s">
        <v>135</v>
      </c>
      <c r="F64" s="18">
        <v>105.0</v>
      </c>
      <c r="G64" s="18">
        <v>31.0</v>
      </c>
      <c r="H64" s="18">
        <v>17.0</v>
      </c>
      <c r="I64" s="19">
        <v>0.548</v>
      </c>
      <c r="J64" s="18">
        <v>1.0</v>
      </c>
      <c r="K64" s="18">
        <v>0.0</v>
      </c>
      <c r="L64" s="18">
        <v>2.0</v>
      </c>
      <c r="M64" s="18">
        <v>3.0</v>
      </c>
      <c r="N64" s="18">
        <v>226.0</v>
      </c>
      <c r="O64" s="22">
        <v>1.83</v>
      </c>
      <c r="P64" s="22">
        <v>20.91</v>
      </c>
      <c r="Q64" s="15"/>
      <c r="R64" s="37">
        <v>1.83</v>
      </c>
      <c r="S64" s="16">
        <v>-0.21</v>
      </c>
      <c r="T64" s="16">
        <v>4.0</v>
      </c>
      <c r="U64" s="14">
        <f t="array" ref="U64">XLOOKUP(E64, 'Conference Match'!$A$2:$A$25, 'Conference Match'!$C$2:$C$25)</f>
        <v>0.9</v>
      </c>
      <c r="V64" s="20">
        <f t="shared" si="1"/>
        <v>3.01555</v>
      </c>
      <c r="W64" s="20">
        <f t="shared" si="2"/>
        <v>64.14357884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1)"),0.92)</f>
        <v>0.92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1583</v>
      </c>
      <c r="B65" s="14" t="s">
        <v>218</v>
      </c>
      <c r="C65" s="14">
        <v>6.0</v>
      </c>
      <c r="D65" s="14" t="s">
        <v>38</v>
      </c>
      <c r="E65" s="14" t="s">
        <v>219</v>
      </c>
      <c r="F65" s="14">
        <v>113.0</v>
      </c>
      <c r="G65" s="14">
        <v>58.0</v>
      </c>
      <c r="H65" s="14">
        <v>30.0</v>
      </c>
      <c r="I65" s="46">
        <v>0.517</v>
      </c>
      <c r="J65" s="14">
        <v>2.0</v>
      </c>
      <c r="K65" s="14">
        <v>2.0</v>
      </c>
      <c r="L65" s="14">
        <v>7.0</v>
      </c>
      <c r="M65" s="14">
        <v>8.0</v>
      </c>
      <c r="N65" s="14">
        <v>304.0</v>
      </c>
      <c r="O65" s="20">
        <v>3.133796</v>
      </c>
      <c r="P65" s="20">
        <v>63.03030695673581</v>
      </c>
      <c r="Q65" s="15"/>
      <c r="R65" s="20">
        <v>3.133796</v>
      </c>
      <c r="U65" s="14">
        <f t="array" ref="U65">XLOOKUP(E65, 'Conference Match'!$A$2:$A$25, 'Conference Match'!$C$2:$C$25)</f>
        <v>1</v>
      </c>
      <c r="V65" s="20">
        <f t="shared" si="1"/>
        <v>0.4700694</v>
      </c>
      <c r="W65" s="20">
        <f t="shared" si="2"/>
        <v>9.998817336</v>
      </c>
      <c r="Y65" s="20">
        <f>IFERROR(__xludf.DUMMYFUNCTION("iferror(PERCENTRANK.INC(FILTER($V$2:$V$425, $T$2:$T$425&lt;3.75), $V65), 1)"),0.962)</f>
        <v>0.962</v>
      </c>
      <c r="Z65" s="20">
        <f>IFERROR(__xludf.DUMMYFUNCTION("iferror(PERCENTRANK.INC(FILTER($V$2:$V$425, $T$2:$T$425&lt;4.5), $V65), 1)"),0.862)</f>
        <v>0.862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1584</v>
      </c>
      <c r="B66" s="14" t="s">
        <v>218</v>
      </c>
      <c r="C66" s="14">
        <v>15.0</v>
      </c>
      <c r="D66" s="14" t="s">
        <v>38</v>
      </c>
      <c r="E66" s="14" t="s">
        <v>219</v>
      </c>
      <c r="F66" s="14">
        <v>156.0</v>
      </c>
      <c r="G66" s="14">
        <v>33.0</v>
      </c>
      <c r="H66" s="14">
        <v>18.0</v>
      </c>
      <c r="I66" s="46">
        <v>0.545</v>
      </c>
      <c r="J66" s="14">
        <v>3.0</v>
      </c>
      <c r="K66" s="14">
        <v>0.0</v>
      </c>
      <c r="L66" s="14">
        <v>5.0</v>
      </c>
      <c r="M66" s="14">
        <v>6.0</v>
      </c>
      <c r="N66" s="14">
        <v>281.0</v>
      </c>
      <c r="O66" s="20">
        <v>2.77346</v>
      </c>
      <c r="P66" s="20">
        <v>51.35791751428535</v>
      </c>
      <c r="Q66" s="15"/>
      <c r="R66" s="20">
        <v>2.77346</v>
      </c>
      <c r="U66" s="14">
        <f t="array" ref="U66">XLOOKUP(E66, 'Conference Match'!$A$2:$A$25, 'Conference Match'!$C$2:$C$25)</f>
        <v>1</v>
      </c>
      <c r="V66" s="20">
        <f t="shared" si="1"/>
        <v>0.416019</v>
      </c>
      <c r="W66" s="20">
        <f t="shared" si="2"/>
        <v>8.849114597</v>
      </c>
      <c r="Y66" s="20">
        <f>IFERROR(__xludf.DUMMYFUNCTION("iferror(PERCENTRANK.INC(FILTER($V$2:$V$425, $T$2:$T$425&lt;3.75), $V66), 1)"),0.897)</f>
        <v>0.897</v>
      </c>
      <c r="Z66" s="20">
        <f>IFERROR(__xludf.DUMMYFUNCTION("iferror(PERCENTRANK.INC(FILTER($V$2:$V$425, $T$2:$T$425&lt;4.5), $V66), 1)"),0.805)</f>
        <v>0.805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1585</v>
      </c>
      <c r="B67" s="14" t="s">
        <v>218</v>
      </c>
      <c r="C67" s="14">
        <v>14.0</v>
      </c>
      <c r="D67" s="14" t="s">
        <v>38</v>
      </c>
      <c r="E67" s="14" t="s">
        <v>219</v>
      </c>
      <c r="F67" s="14">
        <v>59.0</v>
      </c>
      <c r="G67" s="14">
        <v>27.0</v>
      </c>
      <c r="H67" s="14">
        <v>19.0</v>
      </c>
      <c r="I67" s="46">
        <v>0.704</v>
      </c>
      <c r="J67" s="14">
        <v>1.0</v>
      </c>
      <c r="K67" s="14">
        <v>0.0</v>
      </c>
      <c r="L67" s="14">
        <v>2.0</v>
      </c>
      <c r="M67" s="14">
        <v>3.0</v>
      </c>
      <c r="N67" s="14">
        <v>192.0</v>
      </c>
      <c r="O67" s="20">
        <v>1.831552</v>
      </c>
      <c r="P67" s="20">
        <v>20.84662528991798</v>
      </c>
      <c r="Q67" s="15"/>
      <c r="R67" s="20">
        <v>1.831552</v>
      </c>
      <c r="U67" s="14">
        <f t="array" ref="U67">XLOOKUP(E67, 'Conference Match'!$A$2:$A$25, 'Conference Match'!$C$2:$C$25)</f>
        <v>1</v>
      </c>
      <c r="V67" s="20">
        <f t="shared" si="1"/>
        <v>0.2747328</v>
      </c>
      <c r="W67" s="20">
        <f t="shared" si="2"/>
        <v>5.843824515</v>
      </c>
      <c r="Y67" s="20">
        <f>IFERROR(__xludf.DUMMYFUNCTION("iferror(PERCENTRANK.INC(FILTER($V$2:$V$425, $T$2:$T$425&lt;3.75), $V67), 1)"),0.59)</f>
        <v>0.59</v>
      </c>
      <c r="Z67" s="20">
        <f>IFERROR(__xludf.DUMMYFUNCTION("iferror(PERCENTRANK.INC(FILTER($V$2:$V$425, $T$2:$T$425&lt;4.5), $V67), 1)"),0.529)</f>
        <v>0.529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1586</v>
      </c>
      <c r="B68" s="14" t="s">
        <v>218</v>
      </c>
      <c r="C68" s="14">
        <v>24.0</v>
      </c>
      <c r="D68" s="14" t="s">
        <v>38</v>
      </c>
      <c r="E68" s="14" t="s">
        <v>219</v>
      </c>
      <c r="F68" s="14">
        <v>8.0</v>
      </c>
      <c r="G68" s="14">
        <v>22.0</v>
      </c>
      <c r="H68" s="14">
        <v>12.0</v>
      </c>
      <c r="I68" s="46">
        <v>0.545</v>
      </c>
      <c r="J68" s="14">
        <v>0.0</v>
      </c>
      <c r="K68" s="14">
        <v>0.0</v>
      </c>
      <c r="L68" s="14">
        <v>3.0</v>
      </c>
      <c r="M68" s="14">
        <v>4.0</v>
      </c>
      <c r="N68" s="14">
        <v>157.0</v>
      </c>
      <c r="O68" s="20">
        <v>1.81346</v>
      </c>
      <c r="P68" s="20">
        <v>20.26056985889579</v>
      </c>
      <c r="Q68" s="15"/>
      <c r="R68" s="20">
        <v>1.81346</v>
      </c>
      <c r="U68" s="14">
        <f t="array" ref="U68">XLOOKUP(E68, 'Conference Match'!$A$2:$A$25, 'Conference Match'!$C$2:$C$25)</f>
        <v>1</v>
      </c>
      <c r="V68" s="20">
        <f t="shared" si="1"/>
        <v>0.272019</v>
      </c>
      <c r="W68" s="20">
        <f t="shared" si="2"/>
        <v>5.786099442</v>
      </c>
      <c r="Y68" s="20">
        <f>IFERROR(__xludf.DUMMYFUNCTION("iferror(PERCENTRANK.INC(FILTER($V$2:$V$425, $T$2:$T$425&lt;3.75), $V68), 1)"),0.538)</f>
        <v>0.538</v>
      </c>
      <c r="Z68" s="20">
        <f>IFERROR(__xludf.DUMMYFUNCTION("iferror(PERCENTRANK.INC(FILTER($V$2:$V$425, $T$2:$T$425&lt;4.5), $V68), 1)"),0.483)</f>
        <v>0.483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1587</v>
      </c>
      <c r="B69" s="14" t="s">
        <v>218</v>
      </c>
      <c r="C69" s="14">
        <v>21.0</v>
      </c>
      <c r="D69" s="14" t="s">
        <v>38</v>
      </c>
      <c r="E69" s="14" t="s">
        <v>219</v>
      </c>
      <c r="F69" s="14">
        <v>5.0</v>
      </c>
      <c r="G69" s="14">
        <v>21.0</v>
      </c>
      <c r="H69" s="14">
        <v>11.0</v>
      </c>
      <c r="I69" s="46">
        <v>0.524</v>
      </c>
      <c r="J69" s="14">
        <v>1.0</v>
      </c>
      <c r="K69" s="14">
        <v>1.0</v>
      </c>
      <c r="L69" s="14">
        <v>0.0</v>
      </c>
      <c r="M69" s="14">
        <v>0.0</v>
      </c>
      <c r="N69" s="14">
        <v>54.0</v>
      </c>
      <c r="O69" s="20">
        <v>1.493712</v>
      </c>
      <c r="P69" s="20">
        <v>9.902950360858803</v>
      </c>
      <c r="Q69" s="15"/>
      <c r="R69" s="20">
        <v>1.493712</v>
      </c>
      <c r="U69" s="14">
        <f t="array" ref="U69">XLOOKUP(E69, 'Conference Match'!$A$2:$A$25, 'Conference Match'!$C$2:$C$25)</f>
        <v>1</v>
      </c>
      <c r="V69" s="20">
        <f t="shared" si="1"/>
        <v>0.2240568</v>
      </c>
      <c r="W69" s="20">
        <f t="shared" si="2"/>
        <v>4.765898431</v>
      </c>
      <c r="Y69" s="20">
        <f>IFERROR(__xludf.DUMMYFUNCTION("iferror(PERCENTRANK.INC(FILTER($V$2:$V$425, $T$2:$T$425&lt;3.75), $V69), 1)"),0.321)</f>
        <v>0.321</v>
      </c>
      <c r="Z69" s="20">
        <f>IFERROR(__xludf.DUMMYFUNCTION("iferror(PERCENTRANK.INC(FILTER($V$2:$V$425, $T$2:$T$425&lt;4.5), $V69), 1)"),0.287)</f>
        <v>0.287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7" t="s">
        <v>1588</v>
      </c>
      <c r="B70" s="17" t="s">
        <v>439</v>
      </c>
      <c r="C70" s="18">
        <v>29.0</v>
      </c>
      <c r="D70" s="17" t="s">
        <v>38</v>
      </c>
      <c r="E70" s="17" t="s">
        <v>117</v>
      </c>
      <c r="F70" s="18">
        <v>17.0</v>
      </c>
      <c r="G70" s="18">
        <v>48.0</v>
      </c>
      <c r="H70" s="18">
        <v>28.0</v>
      </c>
      <c r="I70" s="19">
        <v>0.583</v>
      </c>
      <c r="J70" s="18">
        <v>2.0</v>
      </c>
      <c r="K70" s="18">
        <v>0.0</v>
      </c>
      <c r="L70" s="18">
        <v>6.0</v>
      </c>
      <c r="M70" s="18">
        <v>7.0</v>
      </c>
      <c r="N70" s="18">
        <v>361.0</v>
      </c>
      <c r="O70" s="22">
        <v>2.75</v>
      </c>
      <c r="P70" s="22">
        <v>50.7</v>
      </c>
      <c r="Q70" s="15"/>
      <c r="R70" s="37">
        <v>2.75</v>
      </c>
      <c r="S70" s="16">
        <v>0.4</v>
      </c>
      <c r="T70" s="16">
        <v>4.3</v>
      </c>
      <c r="U70" s="14">
        <f t="array" ref="U70">XLOOKUP(E70, 'Conference Match'!$A$2:$A$25, 'Conference Match'!$C$2:$C$25)</f>
        <v>0.9</v>
      </c>
      <c r="V70" s="20">
        <f t="shared" si="1"/>
        <v>3.44125</v>
      </c>
      <c r="W70" s="20">
        <f t="shared" si="2"/>
        <v>73.19861739</v>
      </c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1)"),0.977)</f>
        <v>0.977</v>
      </c>
      <c r="AA70" s="20">
        <f>IFERROR(__xludf.DUMMYFUNCTION("iferror(PERCENTRANK.INC(FILTER($V$2:$V$425, $T$2:$T$425&gt;4.1), $V70), 0.01)"),0.267)</f>
        <v>0.267</v>
      </c>
    </row>
    <row r="71" ht="14.25" customHeight="1">
      <c r="A71" s="17" t="s">
        <v>1589</v>
      </c>
      <c r="B71" s="17" t="s">
        <v>421</v>
      </c>
      <c r="C71" s="18">
        <v>6.0</v>
      </c>
      <c r="D71" s="17" t="s">
        <v>38</v>
      </c>
      <c r="E71" s="17" t="s">
        <v>108</v>
      </c>
      <c r="F71" s="18">
        <v>54.0</v>
      </c>
      <c r="G71" s="18">
        <v>42.0</v>
      </c>
      <c r="H71" s="18">
        <v>21.0</v>
      </c>
      <c r="I71" s="19">
        <v>0.5</v>
      </c>
      <c r="J71" s="18">
        <v>2.0</v>
      </c>
      <c r="K71" s="18">
        <v>0.0</v>
      </c>
      <c r="L71" s="18">
        <v>7.0</v>
      </c>
      <c r="M71" s="18">
        <v>11.0</v>
      </c>
      <c r="N71" s="18">
        <v>245.0</v>
      </c>
      <c r="O71" s="22">
        <v>3.17</v>
      </c>
      <c r="P71" s="22">
        <v>64.33</v>
      </c>
      <c r="Q71" s="15"/>
      <c r="R71" s="37">
        <v>3.17</v>
      </c>
      <c r="S71" s="16">
        <v>0.62</v>
      </c>
      <c r="T71" s="16">
        <v>5.5</v>
      </c>
      <c r="U71" s="14">
        <f t="array" ref="U71">XLOOKUP(E71, 'Conference Match'!$A$2:$A$25, 'Conference Match'!$C$2:$C$25)</f>
        <v>0.95</v>
      </c>
      <c r="V71" s="20">
        <f t="shared" si="1"/>
        <v>4.394725</v>
      </c>
      <c r="W71" s="20">
        <f t="shared" si="2"/>
        <v>93.47992555</v>
      </c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0.01)"),0.933)</f>
        <v>0.933</v>
      </c>
    </row>
    <row r="72" ht="14.25" customHeight="1">
      <c r="A72" s="14" t="s">
        <v>1590</v>
      </c>
      <c r="B72" s="14" t="s">
        <v>369</v>
      </c>
      <c r="C72" s="14">
        <v>16.0</v>
      </c>
      <c r="D72" s="14" t="s">
        <v>38</v>
      </c>
      <c r="E72" s="14" t="s">
        <v>130</v>
      </c>
      <c r="F72" s="14">
        <v>102.0</v>
      </c>
      <c r="G72" s="14">
        <v>51.0</v>
      </c>
      <c r="H72" s="14">
        <v>31.0</v>
      </c>
      <c r="I72" s="46">
        <v>0.608</v>
      </c>
      <c r="J72" s="14">
        <v>1.0</v>
      </c>
      <c r="K72" s="14">
        <v>0.0</v>
      </c>
      <c r="L72" s="14">
        <v>4.0</v>
      </c>
      <c r="M72" s="14">
        <v>6.0</v>
      </c>
      <c r="N72" s="14">
        <v>332.0</v>
      </c>
      <c r="O72" s="20">
        <v>2.272704</v>
      </c>
      <c r="P72" s="20">
        <v>35.13689311582466</v>
      </c>
      <c r="Q72" s="15"/>
      <c r="R72" s="20">
        <v>2.272704</v>
      </c>
      <c r="U72" s="14">
        <f t="array" ref="U72">XLOOKUP(E72, 'Conference Match'!$A$2:$A$25, 'Conference Match'!$C$2:$C$25)</f>
        <v>1</v>
      </c>
      <c r="V72" s="20">
        <f t="shared" si="1"/>
        <v>0.3409056</v>
      </c>
      <c r="W72" s="20">
        <f t="shared" si="2"/>
        <v>7.251382079</v>
      </c>
      <c r="Y72" s="20">
        <f>IFERROR(__xludf.DUMMYFUNCTION("iferror(PERCENTRANK.INC(FILTER($V$2:$V$425, $T$2:$T$425&lt;3.75), $V72), 1)"),0.782)</f>
        <v>0.782</v>
      </c>
      <c r="Z72" s="20">
        <f>IFERROR(__xludf.DUMMYFUNCTION("iferror(PERCENTRANK.INC(FILTER($V$2:$V$425, $T$2:$T$425&lt;4.5), $V72), 1)"),0.701)</f>
        <v>0.701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1591</v>
      </c>
      <c r="B73" s="14" t="s">
        <v>369</v>
      </c>
      <c r="C73" s="14">
        <v>10.0</v>
      </c>
      <c r="D73" s="14" t="s">
        <v>38</v>
      </c>
      <c r="E73" s="14" t="s">
        <v>130</v>
      </c>
      <c r="F73" s="14">
        <v>42.0</v>
      </c>
      <c r="G73" s="14">
        <v>40.0</v>
      </c>
      <c r="H73" s="14">
        <v>27.0</v>
      </c>
      <c r="I73" s="46">
        <v>0.675</v>
      </c>
      <c r="J73" s="14">
        <v>3.0</v>
      </c>
      <c r="K73" s="14">
        <v>0.0</v>
      </c>
      <c r="L73" s="14">
        <v>0.0</v>
      </c>
      <c r="M73" s="14">
        <v>3.0</v>
      </c>
      <c r="N73" s="14">
        <v>177.0</v>
      </c>
      <c r="O73" s="20">
        <v>2.0319</v>
      </c>
      <c r="P73" s="20">
        <v>27.336512173315878</v>
      </c>
      <c r="Q73" s="15"/>
      <c r="R73" s="20">
        <v>2.0319</v>
      </c>
      <c r="U73" s="14">
        <f t="array" ref="U73">XLOOKUP(E73, 'Conference Match'!$A$2:$A$25, 'Conference Match'!$C$2:$C$25)</f>
        <v>1</v>
      </c>
      <c r="V73" s="20">
        <f t="shared" si="1"/>
        <v>0.304785</v>
      </c>
      <c r="W73" s="20">
        <f t="shared" si="2"/>
        <v>6.483063015</v>
      </c>
      <c r="Y73" s="20">
        <f>IFERROR(__xludf.DUMMYFUNCTION("iferror(PERCENTRANK.INC(FILTER($V$2:$V$425, $T$2:$T$425&lt;3.75), $V73), 1)"),0.692)</f>
        <v>0.692</v>
      </c>
      <c r="Z73" s="20">
        <f>IFERROR(__xludf.DUMMYFUNCTION("iferror(PERCENTRANK.INC(FILTER($V$2:$V$425, $T$2:$T$425&lt;4.5), $V73), 1)"),0.621)</f>
        <v>0.621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1592</v>
      </c>
      <c r="B74" s="14" t="s">
        <v>369</v>
      </c>
      <c r="C74" s="14">
        <v>1.0</v>
      </c>
      <c r="D74" s="14" t="s">
        <v>38</v>
      </c>
      <c r="E74" s="14" t="s">
        <v>130</v>
      </c>
      <c r="F74" s="14">
        <v>106.0</v>
      </c>
      <c r="G74" s="14">
        <v>60.0</v>
      </c>
      <c r="H74" s="14">
        <v>29.0</v>
      </c>
      <c r="I74" s="46">
        <v>0.483</v>
      </c>
      <c r="J74" s="14">
        <v>1.0</v>
      </c>
      <c r="K74" s="14">
        <v>0.0</v>
      </c>
      <c r="L74" s="14">
        <v>9.0</v>
      </c>
      <c r="M74" s="14">
        <v>12.0</v>
      </c>
      <c r="N74" s="14">
        <v>346.0</v>
      </c>
      <c r="O74" s="20">
        <v>3.2542039999999997</v>
      </c>
      <c r="P74" s="20">
        <v>66.93069178641304</v>
      </c>
      <c r="Q74" s="15"/>
      <c r="R74" s="20">
        <v>3.2542039999999997</v>
      </c>
      <c r="U74" s="14">
        <f t="array" ref="U74">XLOOKUP(E74, 'Conference Match'!$A$2:$A$25, 'Conference Match'!$C$2:$C$25)</f>
        <v>1</v>
      </c>
      <c r="V74" s="20">
        <f t="shared" si="1"/>
        <v>0.4881306</v>
      </c>
      <c r="W74" s="20">
        <f t="shared" si="2"/>
        <v>10.38299601</v>
      </c>
      <c r="Y74" s="20">
        <f>IFERROR(__xludf.DUMMYFUNCTION("iferror(PERCENTRANK.INC(FILTER($V$2:$V$425, $T$2:$T$425&lt;3.75), $V74), 1)"),0.974)</f>
        <v>0.974</v>
      </c>
      <c r="Z74" s="20">
        <f>IFERROR(__xludf.DUMMYFUNCTION("iferror(PERCENTRANK.INC(FILTER($V$2:$V$425, $T$2:$T$425&lt;4.5), $V74), 1)"),0.874)</f>
        <v>0.874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1593</v>
      </c>
      <c r="B75" s="14" t="s">
        <v>369</v>
      </c>
      <c r="C75" s="14">
        <v>32.0</v>
      </c>
      <c r="D75" s="14" t="s">
        <v>38</v>
      </c>
      <c r="E75" s="14" t="s">
        <v>130</v>
      </c>
      <c r="F75" s="14">
        <v>22.0</v>
      </c>
      <c r="G75" s="14">
        <v>8.0</v>
      </c>
      <c r="H75" s="14">
        <v>6.0</v>
      </c>
      <c r="I75" s="46">
        <v>0.75</v>
      </c>
      <c r="J75" s="14">
        <v>0.0</v>
      </c>
      <c r="K75" s="14">
        <v>0.0</v>
      </c>
      <c r="L75" s="14">
        <v>0.0</v>
      </c>
      <c r="M75" s="14">
        <v>0.0</v>
      </c>
      <c r="N75" s="14">
        <v>57.0</v>
      </c>
      <c r="O75" s="20">
        <v>1.1909999999999998</v>
      </c>
      <c r="P75" s="20">
        <v>0.09717921142308886</v>
      </c>
      <c r="Q75" s="15"/>
      <c r="R75" s="20">
        <v>1.1909999999999998</v>
      </c>
      <c r="U75" s="14">
        <f t="array" ref="U75">XLOOKUP(E75, 'Conference Match'!$A$2:$A$25, 'Conference Match'!$C$2:$C$25)</f>
        <v>1</v>
      </c>
      <c r="V75" s="20">
        <f t="shared" si="1"/>
        <v>0.17865</v>
      </c>
      <c r="W75" s="20">
        <f t="shared" si="2"/>
        <v>3.800053177</v>
      </c>
      <c r="Y75" s="20">
        <f>IFERROR(__xludf.DUMMYFUNCTION("iferror(PERCENTRANK.INC(FILTER($V$2:$V$425, $T$2:$T$425&lt;3.75), $V75), 1)"),0.09)</f>
        <v>0.09</v>
      </c>
      <c r="Z75" s="20">
        <f>IFERROR(__xludf.DUMMYFUNCTION("iferror(PERCENTRANK.INC(FILTER($V$2:$V$425, $T$2:$T$425&lt;4.5), $V75), 1)"),0.08)</f>
        <v>0.08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1594</v>
      </c>
      <c r="B76" s="14" t="s">
        <v>369</v>
      </c>
      <c r="C76" s="14">
        <v>24.0</v>
      </c>
      <c r="D76" s="14" t="s">
        <v>38</v>
      </c>
      <c r="E76" s="14" t="s">
        <v>130</v>
      </c>
      <c r="F76" s="14">
        <v>6.0</v>
      </c>
      <c r="G76" s="14">
        <v>9.0</v>
      </c>
      <c r="H76" s="14">
        <v>8.0</v>
      </c>
      <c r="I76" s="46">
        <v>0.889</v>
      </c>
      <c r="J76" s="14">
        <v>0.0</v>
      </c>
      <c r="K76" s="14">
        <v>0.0</v>
      </c>
      <c r="L76" s="14">
        <v>0.0</v>
      </c>
      <c r="M76" s="14">
        <v>0.0</v>
      </c>
      <c r="N76" s="14">
        <v>58.0</v>
      </c>
      <c r="O76" s="20">
        <v>1.189332</v>
      </c>
      <c r="P76" s="20">
        <v>0.0431475698718566</v>
      </c>
      <c r="Q76" s="15"/>
      <c r="R76" s="20">
        <v>1.189332</v>
      </c>
      <c r="U76" s="14">
        <f t="array" ref="U76">XLOOKUP(E76, 'Conference Match'!$A$2:$A$25, 'Conference Match'!$C$2:$C$25)</f>
        <v>1</v>
      </c>
      <c r="V76" s="20">
        <f t="shared" si="1"/>
        <v>0.1783998</v>
      </c>
      <c r="W76" s="20">
        <f t="shared" si="2"/>
        <v>3.794731189</v>
      </c>
      <c r="Y76" s="20">
        <f>IFERROR(__xludf.DUMMYFUNCTION("iferror(PERCENTRANK.INC(FILTER($V$2:$V$425, $T$2:$T$425&lt;3.75), $V76), 1)"),0.077)</f>
        <v>0.077</v>
      </c>
      <c r="Z76" s="20">
        <f>IFERROR(__xludf.DUMMYFUNCTION("iferror(PERCENTRANK.INC(FILTER($V$2:$V$425, $T$2:$T$425&lt;4.5), $V76), 1)"),0.069)</f>
        <v>0.069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7" t="s">
        <v>1595</v>
      </c>
      <c r="B77" s="17" t="s">
        <v>339</v>
      </c>
      <c r="C77" s="18">
        <v>4.0</v>
      </c>
      <c r="D77" s="17" t="s">
        <v>38</v>
      </c>
      <c r="E77" s="17" t="s">
        <v>105</v>
      </c>
      <c r="F77" s="18">
        <v>17.0</v>
      </c>
      <c r="G77" s="18">
        <v>15.0</v>
      </c>
      <c r="H77" s="18">
        <v>7.0</v>
      </c>
      <c r="I77" s="19">
        <v>0.467</v>
      </c>
      <c r="J77" s="18">
        <v>1.0</v>
      </c>
      <c r="K77" s="18">
        <v>0.0</v>
      </c>
      <c r="L77" s="18">
        <v>1.0</v>
      </c>
      <c r="M77" s="18">
        <v>2.0</v>
      </c>
      <c r="N77" s="18">
        <v>127.0</v>
      </c>
      <c r="O77" s="22">
        <v>1.65</v>
      </c>
      <c r="P77" s="22">
        <v>15.11</v>
      </c>
      <c r="Q77" s="15"/>
      <c r="R77" s="37">
        <v>1.65</v>
      </c>
      <c r="S77" s="16">
        <v>0.31</v>
      </c>
      <c r="T77" s="16">
        <v>5.0</v>
      </c>
      <c r="U77" s="14">
        <f t="array" ref="U77">XLOOKUP(E77, 'Conference Match'!$A$2:$A$25, 'Conference Match'!$C$2:$C$25)</f>
        <v>0.9</v>
      </c>
      <c r="V77" s="20">
        <f t="shared" si="1"/>
        <v>3.76925</v>
      </c>
      <c r="W77" s="20">
        <f t="shared" si="2"/>
        <v>80.17548524</v>
      </c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1)"),0.999)</f>
        <v>0.999</v>
      </c>
      <c r="AA77" s="20">
        <f>IFERROR(__xludf.DUMMYFUNCTION("iferror(PERCENTRANK.INC(FILTER($V$2:$V$425, $T$2:$T$425&gt;4.1), $V77), 0.01)"),0.733)</f>
        <v>0.733</v>
      </c>
    </row>
    <row r="78" ht="14.25" customHeight="1">
      <c r="A78" s="14" t="s">
        <v>1596</v>
      </c>
      <c r="B78" s="14" t="s">
        <v>265</v>
      </c>
      <c r="C78" s="14">
        <v>4.0</v>
      </c>
      <c r="D78" s="14" t="s">
        <v>38</v>
      </c>
      <c r="E78" s="14" t="s">
        <v>108</v>
      </c>
      <c r="F78" s="14">
        <v>127.0</v>
      </c>
      <c r="G78" s="14">
        <v>37.0</v>
      </c>
      <c r="H78" s="14">
        <v>22.0</v>
      </c>
      <c r="I78" s="46">
        <v>0.595</v>
      </c>
      <c r="J78" s="14">
        <v>1.0</v>
      </c>
      <c r="K78" s="14">
        <v>0.0</v>
      </c>
      <c r="L78" s="14">
        <v>2.0</v>
      </c>
      <c r="M78" s="14">
        <v>6.0</v>
      </c>
      <c r="N78" s="14">
        <v>278.0</v>
      </c>
      <c r="O78" s="20">
        <v>2.07286</v>
      </c>
      <c r="P78" s="20">
        <v>28.66333233994584</v>
      </c>
      <c r="Q78" s="15"/>
      <c r="R78" s="20">
        <v>2.07286</v>
      </c>
      <c r="U78" s="14">
        <f t="array" ref="U78">XLOOKUP(E78, 'Conference Match'!$A$2:$A$25, 'Conference Match'!$C$2:$C$25)</f>
        <v>0.95</v>
      </c>
      <c r="V78" s="20">
        <f t="shared" si="1"/>
        <v>0.29538255</v>
      </c>
      <c r="W78" s="20">
        <f t="shared" si="2"/>
        <v>6.283064079</v>
      </c>
      <c r="Y78" s="20">
        <f>IFERROR(__xludf.DUMMYFUNCTION("iferror(PERCENTRANK.INC(FILTER($V$2:$V$425, $T$2:$T$425&lt;3.75), $V78), 1)"),0.667)</f>
        <v>0.667</v>
      </c>
      <c r="Z78" s="20">
        <f>IFERROR(__xludf.DUMMYFUNCTION("iferror(PERCENTRANK.INC(FILTER($V$2:$V$425, $T$2:$T$425&lt;4.5), $V78), 1)"),0.598)</f>
        <v>0.598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1597</v>
      </c>
      <c r="B79" s="14" t="s">
        <v>265</v>
      </c>
      <c r="C79" s="14">
        <v>23.0</v>
      </c>
      <c r="D79" s="14" t="s">
        <v>38</v>
      </c>
      <c r="E79" s="14" t="s">
        <v>108</v>
      </c>
      <c r="F79" s="14">
        <v>20.0</v>
      </c>
      <c r="G79" s="14">
        <v>20.0</v>
      </c>
      <c r="H79" s="14">
        <v>16.0</v>
      </c>
      <c r="I79" s="46">
        <v>0.8</v>
      </c>
      <c r="J79" s="14">
        <v>0.0</v>
      </c>
      <c r="K79" s="14">
        <v>1.0</v>
      </c>
      <c r="L79" s="14">
        <v>1.0</v>
      </c>
      <c r="M79" s="14">
        <v>1.0</v>
      </c>
      <c r="N79" s="14">
        <v>129.0</v>
      </c>
      <c r="O79" s="20">
        <v>1.4704</v>
      </c>
      <c r="P79" s="20">
        <v>9.147803101960427</v>
      </c>
      <c r="Q79" s="15"/>
      <c r="R79" s="20">
        <v>1.4704</v>
      </c>
      <c r="U79" s="14">
        <f t="array" ref="U79">XLOOKUP(E79, 'Conference Match'!$A$2:$A$25, 'Conference Match'!$C$2:$C$25)</f>
        <v>0.95</v>
      </c>
      <c r="V79" s="20">
        <f t="shared" si="1"/>
        <v>0.209532</v>
      </c>
      <c r="W79" s="20">
        <f t="shared" si="2"/>
        <v>4.456942303</v>
      </c>
      <c r="Y79" s="20">
        <f>IFERROR(__xludf.DUMMYFUNCTION("iferror(PERCENTRANK.INC(FILTER($V$2:$V$425, $T$2:$T$425&lt;3.75), $V79), 1)"),0.231)</f>
        <v>0.231</v>
      </c>
      <c r="Z79" s="20">
        <f>IFERROR(__xludf.DUMMYFUNCTION("iferror(PERCENTRANK.INC(FILTER($V$2:$V$425, $T$2:$T$425&lt;4.5), $V79), 1)"),0.207)</f>
        <v>0.207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1598</v>
      </c>
      <c r="B80" s="14" t="s">
        <v>265</v>
      </c>
      <c r="C80" s="14">
        <v>18.0</v>
      </c>
      <c r="D80" s="14" t="s">
        <v>38</v>
      </c>
      <c r="E80" s="14" t="s">
        <v>108</v>
      </c>
      <c r="F80" s="14">
        <v>22.0</v>
      </c>
      <c r="G80" s="14">
        <v>7.0</v>
      </c>
      <c r="H80" s="14">
        <v>5.0</v>
      </c>
      <c r="I80" s="46">
        <v>0.714</v>
      </c>
      <c r="J80" s="14">
        <v>1.0</v>
      </c>
      <c r="K80" s="14">
        <v>0.0</v>
      </c>
      <c r="L80" s="14">
        <v>0.0</v>
      </c>
      <c r="M80" s="14">
        <v>0.0</v>
      </c>
      <c r="N80" s="14">
        <v>90.0</v>
      </c>
      <c r="O80" s="20">
        <v>1.3914319999999998</v>
      </c>
      <c r="P80" s="20">
        <v>6.589787112740836</v>
      </c>
      <c r="Q80" s="15"/>
      <c r="R80" s="20">
        <v>1.3914319999999998</v>
      </c>
      <c r="U80" s="14">
        <f t="array" ref="U80">XLOOKUP(E80, 'Conference Match'!$A$2:$A$25, 'Conference Match'!$C$2:$C$25)</f>
        <v>0.95</v>
      </c>
      <c r="V80" s="20">
        <f t="shared" si="1"/>
        <v>0.19827906</v>
      </c>
      <c r="W80" s="20">
        <f t="shared" si="2"/>
        <v>4.217581707</v>
      </c>
      <c r="Y80" s="20">
        <f>IFERROR(__xludf.DUMMYFUNCTION("iferror(PERCENTRANK.INC(FILTER($V$2:$V$425, $T$2:$T$425&lt;3.75), $V80), 1)"),0.154)</f>
        <v>0.154</v>
      </c>
      <c r="Z80" s="20">
        <f>IFERROR(__xludf.DUMMYFUNCTION("iferror(PERCENTRANK.INC(FILTER($V$2:$V$425, $T$2:$T$425&lt;4.5), $V80), 1)"),0.138)</f>
        <v>0.138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1599</v>
      </c>
      <c r="B81" s="14" t="s">
        <v>265</v>
      </c>
      <c r="C81" s="14">
        <v>20.0</v>
      </c>
      <c r="D81" s="14" t="s">
        <v>38</v>
      </c>
      <c r="E81" s="14" t="s">
        <v>108</v>
      </c>
      <c r="F81" s="14">
        <v>23.0</v>
      </c>
      <c r="G81" s="14">
        <v>10.0</v>
      </c>
      <c r="H81" s="14">
        <v>8.0</v>
      </c>
      <c r="I81" s="46">
        <v>0.8</v>
      </c>
      <c r="J81" s="14">
        <v>0.0</v>
      </c>
      <c r="K81" s="14">
        <v>0.0</v>
      </c>
      <c r="L81" s="14">
        <v>0.0</v>
      </c>
      <c r="M81" s="14">
        <v>0.0</v>
      </c>
      <c r="N81" s="14">
        <v>84.0</v>
      </c>
      <c r="O81" s="20">
        <v>1.1904</v>
      </c>
      <c r="P81" s="20">
        <v>0.07774336913847252</v>
      </c>
      <c r="Q81" s="15"/>
      <c r="R81" s="20">
        <v>1.1904</v>
      </c>
      <c r="U81" s="14">
        <f t="array" ref="U81">XLOOKUP(E81, 'Conference Match'!$A$2:$A$25, 'Conference Match'!$C$2:$C$25)</f>
        <v>0.95</v>
      </c>
      <c r="V81" s="20">
        <f t="shared" si="1"/>
        <v>0.169632</v>
      </c>
      <c r="W81" s="20">
        <f t="shared" si="2"/>
        <v>3.608231853</v>
      </c>
      <c r="Y81" s="20">
        <f>IFERROR(__xludf.DUMMYFUNCTION("iferror(PERCENTRANK.INC(FILTER($V$2:$V$425, $T$2:$T$425&lt;3.75), $V81), 1)"),0.026)</f>
        <v>0.026</v>
      </c>
      <c r="Z81" s="20">
        <f>IFERROR(__xludf.DUMMYFUNCTION("iferror(PERCENTRANK.INC(FILTER($V$2:$V$425, $T$2:$T$425&lt;4.5), $V81), 1)"),0.023)</f>
        <v>0.023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1600</v>
      </c>
      <c r="B82" s="14" t="s">
        <v>449</v>
      </c>
      <c r="C82" s="14">
        <v>29.0</v>
      </c>
      <c r="D82" s="14" t="s">
        <v>38</v>
      </c>
      <c r="E82" s="14" t="s">
        <v>102</v>
      </c>
      <c r="F82" s="14">
        <v>68.0</v>
      </c>
      <c r="G82" s="14">
        <v>45.0</v>
      </c>
      <c r="H82" s="14">
        <v>21.0</v>
      </c>
      <c r="I82" s="46">
        <v>0.467</v>
      </c>
      <c r="J82" s="14">
        <v>1.0</v>
      </c>
      <c r="K82" s="14">
        <v>0.0</v>
      </c>
      <c r="L82" s="14">
        <v>6.0</v>
      </c>
      <c r="M82" s="14">
        <v>9.0</v>
      </c>
      <c r="N82" s="14">
        <v>236.0</v>
      </c>
      <c r="O82" s="20">
        <v>2.714396</v>
      </c>
      <c r="P82" s="20">
        <v>49.44465319978749</v>
      </c>
      <c r="Q82" s="15"/>
      <c r="R82" s="20">
        <v>2.714396</v>
      </c>
      <c r="U82" s="14">
        <f t="array" ref="U82">XLOOKUP(E82, 'Conference Match'!$A$2:$A$25, 'Conference Match'!$C$2:$C$25)</f>
        <v>1</v>
      </c>
      <c r="V82" s="20">
        <f t="shared" si="1"/>
        <v>0.4071594</v>
      </c>
      <c r="W82" s="20">
        <f t="shared" si="2"/>
        <v>8.66066259</v>
      </c>
      <c r="Y82" s="20">
        <f>IFERROR(__xludf.DUMMYFUNCTION("iferror(PERCENTRANK.INC(FILTER($V$2:$V$425, $T$2:$T$425&lt;3.75), $V82), 1)"),0.885)</f>
        <v>0.885</v>
      </c>
      <c r="Z82" s="20">
        <f>IFERROR(__xludf.DUMMYFUNCTION("iferror(PERCENTRANK.INC(FILTER($V$2:$V$425, $T$2:$T$425&lt;4.5), $V82), 1)"),0.793)</f>
        <v>0.793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1601</v>
      </c>
      <c r="B83" s="14" t="s">
        <v>449</v>
      </c>
      <c r="C83" s="14">
        <v>7.0</v>
      </c>
      <c r="D83" s="14" t="s">
        <v>38</v>
      </c>
      <c r="E83" s="14" t="s">
        <v>102</v>
      </c>
      <c r="F83" s="14">
        <v>33.0</v>
      </c>
      <c r="G83" s="14">
        <v>33.0</v>
      </c>
      <c r="H83" s="14">
        <v>18.0</v>
      </c>
      <c r="I83" s="46">
        <v>0.545</v>
      </c>
      <c r="J83" s="14">
        <v>1.0</v>
      </c>
      <c r="K83" s="14">
        <v>0.0</v>
      </c>
      <c r="L83" s="14">
        <v>4.0</v>
      </c>
      <c r="M83" s="14">
        <v>5.0</v>
      </c>
      <c r="N83" s="14">
        <v>219.0</v>
      </c>
      <c r="O83" s="20">
        <v>2.19346</v>
      </c>
      <c r="P83" s="20">
        <v>32.56993663915415</v>
      </c>
      <c r="Q83" s="15"/>
      <c r="R83" s="20">
        <v>2.19346</v>
      </c>
      <c r="U83" s="14">
        <f t="array" ref="U83">XLOOKUP(E83, 'Conference Match'!$A$2:$A$25, 'Conference Match'!$C$2:$C$25)</f>
        <v>1</v>
      </c>
      <c r="V83" s="20">
        <f t="shared" si="1"/>
        <v>0.329019</v>
      </c>
      <c r="W83" s="20">
        <f t="shared" si="2"/>
        <v>6.998542941</v>
      </c>
      <c r="Y83" s="20">
        <f>IFERROR(__xludf.DUMMYFUNCTION("iferror(PERCENTRANK.INC(FILTER($V$2:$V$425, $T$2:$T$425&lt;3.75), $V83), 1)"),0.769)</f>
        <v>0.769</v>
      </c>
      <c r="Z83" s="20">
        <f>IFERROR(__xludf.DUMMYFUNCTION("iferror(PERCENTRANK.INC(FILTER($V$2:$V$425, $T$2:$T$425&lt;4.5), $V83), 1)"),0.69)</f>
        <v>0.69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1602</v>
      </c>
      <c r="B84" s="14" t="s">
        <v>449</v>
      </c>
      <c r="C84" s="14">
        <v>5.0</v>
      </c>
      <c r="D84" s="14" t="s">
        <v>38</v>
      </c>
      <c r="E84" s="14" t="s">
        <v>102</v>
      </c>
      <c r="F84" s="14">
        <v>26.0</v>
      </c>
      <c r="G84" s="14">
        <v>20.0</v>
      </c>
      <c r="H84" s="14">
        <v>9.0</v>
      </c>
      <c r="I84" s="46">
        <v>0.45</v>
      </c>
      <c r="J84" s="14">
        <v>0.0</v>
      </c>
      <c r="K84" s="14">
        <v>0.0</v>
      </c>
      <c r="L84" s="14">
        <v>3.0</v>
      </c>
      <c r="M84" s="14">
        <v>4.0</v>
      </c>
      <c r="N84" s="14">
        <v>99.0</v>
      </c>
      <c r="O84" s="20">
        <v>1.8145999999999998</v>
      </c>
      <c r="P84" s="20">
        <v>20.29749795923655</v>
      </c>
      <c r="Q84" s="15"/>
      <c r="R84" s="20">
        <v>1.8145999999999998</v>
      </c>
      <c r="U84" s="14">
        <f t="array" ref="U84">XLOOKUP(E84, 'Conference Match'!$A$2:$A$25, 'Conference Match'!$C$2:$C$25)</f>
        <v>1</v>
      </c>
      <c r="V84" s="20">
        <f t="shared" si="1"/>
        <v>0.27219</v>
      </c>
      <c r="W84" s="20">
        <f t="shared" si="2"/>
        <v>5.789736772</v>
      </c>
      <c r="Y84" s="20">
        <f>IFERROR(__xludf.DUMMYFUNCTION("iferror(PERCENTRANK.INC(FILTER($V$2:$V$425, $T$2:$T$425&lt;3.75), $V84), 1)"),0.564)</f>
        <v>0.564</v>
      </c>
      <c r="Z84" s="20">
        <f>IFERROR(__xludf.DUMMYFUNCTION("iferror(PERCENTRANK.INC(FILTER($V$2:$V$425, $T$2:$T$425&lt;4.5), $V84), 1)"),0.506)</f>
        <v>0.506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1603</v>
      </c>
      <c r="B85" s="14" t="s">
        <v>449</v>
      </c>
      <c r="C85" s="14">
        <v>4.0</v>
      </c>
      <c r="D85" s="14" t="s">
        <v>38</v>
      </c>
      <c r="E85" s="14" t="s">
        <v>102</v>
      </c>
      <c r="F85" s="14">
        <v>14.0</v>
      </c>
      <c r="G85" s="14">
        <v>21.0</v>
      </c>
      <c r="H85" s="14">
        <v>13.0</v>
      </c>
      <c r="I85" s="46">
        <v>0.619</v>
      </c>
      <c r="J85" s="14">
        <v>2.0</v>
      </c>
      <c r="K85" s="14">
        <v>0.0</v>
      </c>
      <c r="L85" s="14">
        <v>1.0</v>
      </c>
      <c r="M85" s="14">
        <v>1.0</v>
      </c>
      <c r="N85" s="14">
        <v>198.0</v>
      </c>
      <c r="O85" s="20">
        <v>1.772572</v>
      </c>
      <c r="P85" s="20">
        <v>18.936081993339986</v>
      </c>
      <c r="Q85" s="15"/>
      <c r="R85" s="20">
        <v>1.772572</v>
      </c>
      <c r="U85" s="14">
        <f t="array" ref="U85">XLOOKUP(E85, 'Conference Match'!$A$2:$A$25, 'Conference Match'!$C$2:$C$25)</f>
        <v>1</v>
      </c>
      <c r="V85" s="20">
        <f t="shared" si="1"/>
        <v>0.2658858</v>
      </c>
      <c r="W85" s="20">
        <f t="shared" si="2"/>
        <v>5.655640521</v>
      </c>
      <c r="Y85" s="20">
        <f>IFERROR(__xludf.DUMMYFUNCTION("iferror(PERCENTRANK.INC(FILTER($V$2:$V$425, $T$2:$T$425&lt;3.75), $V85), 1)"),0.5)</f>
        <v>0.5</v>
      </c>
      <c r="Z85" s="20">
        <f>IFERROR(__xludf.DUMMYFUNCTION("iferror(PERCENTRANK.INC(FILTER($V$2:$V$425, $T$2:$T$425&lt;4.5), $V85), 1)"),0.448)</f>
        <v>0.448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1604</v>
      </c>
      <c r="B86" s="14" t="s">
        <v>419</v>
      </c>
      <c r="C86" s="14">
        <v>18.0</v>
      </c>
      <c r="D86" s="14" t="s">
        <v>38</v>
      </c>
      <c r="E86" s="14" t="s">
        <v>164</v>
      </c>
      <c r="F86" s="14">
        <v>126.0</v>
      </c>
      <c r="G86" s="14">
        <v>49.0</v>
      </c>
      <c r="H86" s="14">
        <v>22.0</v>
      </c>
      <c r="I86" s="46">
        <v>0.449</v>
      </c>
      <c r="J86" s="14">
        <v>0.0</v>
      </c>
      <c r="K86" s="14">
        <v>1.0</v>
      </c>
      <c r="L86" s="14">
        <v>8.0</v>
      </c>
      <c r="M86" s="14">
        <v>10.0</v>
      </c>
      <c r="N86" s="14">
        <v>278.0</v>
      </c>
      <c r="O86" s="20">
        <v>2.8946119999999995</v>
      </c>
      <c r="P86" s="20">
        <v>55.28240278839549</v>
      </c>
      <c r="Q86" s="15"/>
      <c r="R86" s="20">
        <v>2.8946119999999995</v>
      </c>
      <c r="U86" s="14">
        <f t="array" ref="U86">XLOOKUP(E86, 'Conference Match'!$A$2:$A$25, 'Conference Match'!$C$2:$C$25)</f>
        <v>1</v>
      </c>
      <c r="V86" s="20">
        <f t="shared" si="1"/>
        <v>0.4341918</v>
      </c>
      <c r="W86" s="20">
        <f t="shared" si="2"/>
        <v>9.23566711</v>
      </c>
      <c r="Y86" s="20">
        <f>IFERROR(__xludf.DUMMYFUNCTION("iferror(PERCENTRANK.INC(FILTER($V$2:$V$425, $T$2:$T$425&lt;3.75), $V86), 1)"),0.936)</f>
        <v>0.936</v>
      </c>
      <c r="Z86" s="20">
        <f>IFERROR(__xludf.DUMMYFUNCTION("iferror(PERCENTRANK.INC(FILTER($V$2:$V$425, $T$2:$T$425&lt;4.5), $V86), 1)"),0.839)</f>
        <v>0.839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1605</v>
      </c>
      <c r="B87" s="14" t="s">
        <v>419</v>
      </c>
      <c r="C87" s="14">
        <v>2.0</v>
      </c>
      <c r="D87" s="14" t="s">
        <v>38</v>
      </c>
      <c r="E87" s="14" t="s">
        <v>164</v>
      </c>
      <c r="F87" s="14">
        <v>99.0</v>
      </c>
      <c r="G87" s="14">
        <v>33.0</v>
      </c>
      <c r="H87" s="14">
        <v>16.0</v>
      </c>
      <c r="I87" s="46">
        <v>0.485</v>
      </c>
      <c r="J87" s="14">
        <v>0.0</v>
      </c>
      <c r="K87" s="14">
        <v>0.0</v>
      </c>
      <c r="L87" s="14">
        <v>4.0</v>
      </c>
      <c r="M87" s="14">
        <v>7.0</v>
      </c>
      <c r="N87" s="14">
        <v>191.0</v>
      </c>
      <c r="O87" s="20">
        <v>2.15418</v>
      </c>
      <c r="P87" s="20">
        <v>31.297536830921135</v>
      </c>
      <c r="Q87" s="15"/>
      <c r="R87" s="20">
        <v>2.15418</v>
      </c>
      <c r="S87" s="16">
        <v>4.5</v>
      </c>
      <c r="T87" s="16">
        <v>4.0</v>
      </c>
      <c r="U87" s="14">
        <f t="array" ref="U87">XLOOKUP(E87, 'Conference Match'!$A$2:$A$25, 'Conference Match'!$C$2:$C$25)</f>
        <v>1</v>
      </c>
      <c r="V87" s="20">
        <f t="shared" si="1"/>
        <v>3.798127</v>
      </c>
      <c r="W87" s="20">
        <f t="shared" si="2"/>
        <v>80.78972614</v>
      </c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0.01)"),0.757)</f>
        <v>0.757</v>
      </c>
    </row>
    <row r="88" ht="14.25" customHeight="1">
      <c r="A88" s="14" t="s">
        <v>1606</v>
      </c>
      <c r="B88" s="14" t="s">
        <v>419</v>
      </c>
      <c r="C88" s="14">
        <v>3.0</v>
      </c>
      <c r="D88" s="14" t="s">
        <v>38</v>
      </c>
      <c r="E88" s="14" t="s">
        <v>164</v>
      </c>
      <c r="F88" s="14">
        <v>47.0</v>
      </c>
      <c r="G88" s="14">
        <v>12.0</v>
      </c>
      <c r="H88" s="14">
        <v>6.0</v>
      </c>
      <c r="I88" s="46">
        <v>0.5</v>
      </c>
      <c r="J88" s="14">
        <v>0.0</v>
      </c>
      <c r="K88" s="14">
        <v>0.0</v>
      </c>
      <c r="L88" s="14">
        <v>2.0</v>
      </c>
      <c r="M88" s="14">
        <v>2.0</v>
      </c>
      <c r="N88" s="14">
        <v>93.0</v>
      </c>
      <c r="O88" s="20">
        <v>1.5539999999999998</v>
      </c>
      <c r="P88" s="20">
        <v>11.855863793617264</v>
      </c>
      <c r="Q88" s="15"/>
      <c r="R88" s="20">
        <v>1.5539999999999998</v>
      </c>
      <c r="U88" s="14">
        <f t="array" ref="U88">XLOOKUP(E88, 'Conference Match'!$A$2:$A$25, 'Conference Match'!$C$2:$C$25)</f>
        <v>1</v>
      </c>
      <c r="V88" s="20">
        <f t="shared" si="1"/>
        <v>0.2331</v>
      </c>
      <c r="W88" s="20">
        <f t="shared" si="2"/>
        <v>4.958255783</v>
      </c>
      <c r="Y88" s="20">
        <f>IFERROR(__xludf.DUMMYFUNCTION("iferror(PERCENTRANK.INC(FILTER($V$2:$V$425, $T$2:$T$425&lt;3.75), $V88), 1)"),0.346)</f>
        <v>0.346</v>
      </c>
      <c r="Z88" s="20">
        <f>IFERROR(__xludf.DUMMYFUNCTION("iferror(PERCENTRANK.INC(FILTER($V$2:$V$425, $T$2:$T$425&lt;4.5), $V88), 1)"),0.31)</f>
        <v>0.31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7" t="s">
        <v>1607</v>
      </c>
      <c r="B89" s="17" t="s">
        <v>1608</v>
      </c>
      <c r="C89" s="18">
        <v>20.0</v>
      </c>
      <c r="D89" s="17" t="s">
        <v>38</v>
      </c>
      <c r="E89" s="17" t="s">
        <v>219</v>
      </c>
      <c r="F89" s="18">
        <v>16.0</v>
      </c>
      <c r="G89" s="18">
        <v>19.0</v>
      </c>
      <c r="H89" s="18">
        <v>9.0</v>
      </c>
      <c r="I89" s="19">
        <v>0.474</v>
      </c>
      <c r="J89" s="18">
        <v>0.0</v>
      </c>
      <c r="K89" s="18">
        <v>0.0</v>
      </c>
      <c r="L89" s="18">
        <v>2.0</v>
      </c>
      <c r="M89" s="18">
        <v>3.0</v>
      </c>
      <c r="N89" s="18">
        <v>133.0</v>
      </c>
      <c r="O89" s="22">
        <v>1.63</v>
      </c>
      <c r="P89" s="22">
        <v>14.46</v>
      </c>
      <c r="Q89" s="15"/>
      <c r="R89" s="37">
        <v>1.63</v>
      </c>
      <c r="S89" s="16">
        <v>0.01</v>
      </c>
      <c r="T89" s="16">
        <v>5.0</v>
      </c>
      <c r="U89" s="14">
        <f t="array" ref="U89">XLOOKUP(E89, 'Conference Match'!$A$2:$A$25, 'Conference Match'!$C$2:$C$25)</f>
        <v>1</v>
      </c>
      <c r="V89" s="20">
        <f t="shared" si="1"/>
        <v>3.746</v>
      </c>
      <c r="W89" s="20">
        <f t="shared" si="2"/>
        <v>79.68093592</v>
      </c>
      <c r="Y89" s="20">
        <f>IFERROR(__xludf.DUMMYFUNCTION("iferror(PERCENTRANK.INC(FILTER($V$2:$V$425, $T$2:$T$425&lt;3.75), $V89), 1)"),1.0)</f>
        <v>1</v>
      </c>
      <c r="Z89" s="20">
        <f>IFERROR(__xludf.DUMMYFUNCTION("iferror(PERCENTRANK.INC(FILTER($V$2:$V$425, $T$2:$T$425&lt;4.5), $V89), 1)"),0.997)</f>
        <v>0.997</v>
      </c>
      <c r="AA89" s="20">
        <f>IFERROR(__xludf.DUMMYFUNCTION("iferror(PERCENTRANK.INC(FILTER($V$2:$V$425, $T$2:$T$425&gt;4.1), $V89), 0.01)"),0.667)</f>
        <v>0.667</v>
      </c>
    </row>
    <row r="90" ht="14.25" customHeight="1">
      <c r="A90" s="17" t="s">
        <v>1609</v>
      </c>
      <c r="B90" s="17" t="s">
        <v>1608</v>
      </c>
      <c r="C90" s="18">
        <v>13.0</v>
      </c>
      <c r="D90" s="17" t="s">
        <v>38</v>
      </c>
      <c r="E90" s="17" t="s">
        <v>219</v>
      </c>
      <c r="F90" s="18">
        <v>36.0</v>
      </c>
      <c r="G90" s="18">
        <v>60.0</v>
      </c>
      <c r="H90" s="18">
        <v>38.0</v>
      </c>
      <c r="I90" s="19">
        <v>0.633</v>
      </c>
      <c r="J90" s="18">
        <v>4.0</v>
      </c>
      <c r="K90" s="18">
        <v>1.0</v>
      </c>
      <c r="L90" s="18">
        <v>3.0</v>
      </c>
      <c r="M90" s="18">
        <v>5.0</v>
      </c>
      <c r="N90" s="18">
        <v>357.0</v>
      </c>
      <c r="O90" s="22">
        <v>2.79</v>
      </c>
      <c r="P90" s="22">
        <v>51.97</v>
      </c>
      <c r="Q90" s="15"/>
      <c r="R90" s="37">
        <v>2.79</v>
      </c>
      <c r="S90" s="16">
        <v>0.52</v>
      </c>
      <c r="T90" s="16">
        <v>4.4</v>
      </c>
      <c r="U90" s="14">
        <f t="array" ref="U90">XLOOKUP(E90, 'Conference Match'!$A$2:$A$25, 'Conference Match'!$C$2:$C$25)</f>
        <v>1</v>
      </c>
      <c r="V90" s="20">
        <f t="shared" si="1"/>
        <v>3.5765</v>
      </c>
      <c r="W90" s="20">
        <f t="shared" si="2"/>
        <v>76.07551183</v>
      </c>
      <c r="Y90" s="20">
        <f>IFERROR(__xludf.DUMMYFUNCTION("iferror(PERCENTRANK.INC(FILTER($V$2:$V$425, $T$2:$T$425&lt;3.75), $V90), 1)"),1.0)</f>
        <v>1</v>
      </c>
      <c r="Z90" s="20">
        <f>IFERROR(__xludf.DUMMYFUNCTION("iferror(PERCENTRANK.INC(FILTER($V$2:$V$425, $T$2:$T$425&lt;4.5), $V90), 1)"),0.989)</f>
        <v>0.989</v>
      </c>
      <c r="AA90" s="20">
        <f>IFERROR(__xludf.DUMMYFUNCTION("iferror(PERCENTRANK.INC(FILTER($V$2:$V$425, $T$2:$T$425&gt;4.1), $V90), 0.01)"),0.4)</f>
        <v>0.4</v>
      </c>
    </row>
    <row r="91" ht="14.25" customHeight="1">
      <c r="A91" s="17" t="s">
        <v>1610</v>
      </c>
      <c r="B91" s="17" t="s">
        <v>151</v>
      </c>
      <c r="C91" s="18">
        <v>3.0</v>
      </c>
      <c r="D91" s="17" t="s">
        <v>38</v>
      </c>
      <c r="E91" s="17" t="s">
        <v>152</v>
      </c>
      <c r="F91" s="18">
        <v>57.0</v>
      </c>
      <c r="G91" s="18">
        <v>29.0</v>
      </c>
      <c r="H91" s="18">
        <v>15.0</v>
      </c>
      <c r="I91" s="19">
        <v>0.517</v>
      </c>
      <c r="J91" s="18">
        <v>1.0</v>
      </c>
      <c r="K91" s="18">
        <v>0.0</v>
      </c>
      <c r="L91" s="18">
        <v>2.0</v>
      </c>
      <c r="M91" s="18">
        <v>2.0</v>
      </c>
      <c r="N91" s="18">
        <v>203.0</v>
      </c>
      <c r="O91" s="22">
        <v>1.75</v>
      </c>
      <c r="P91" s="22">
        <v>18.33</v>
      </c>
      <c r="Q91" s="15"/>
      <c r="R91" s="37">
        <v>1.75</v>
      </c>
      <c r="S91" s="16">
        <v>0.16</v>
      </c>
      <c r="T91" s="16">
        <v>5.4</v>
      </c>
      <c r="U91" s="14">
        <f t="array" ref="U91">XLOOKUP(E91, 'Conference Match'!$A$2:$A$25, 'Conference Match'!$C$2:$C$25)</f>
        <v>0.95</v>
      </c>
      <c r="V91" s="20">
        <f t="shared" si="1"/>
        <v>4.053375</v>
      </c>
      <c r="W91" s="20">
        <f t="shared" si="2"/>
        <v>86.21909067</v>
      </c>
      <c r="Y91" s="20">
        <f>IFERROR(__xludf.DUMMYFUNCTION("iferror(PERCENTRANK.INC(FILTER($V$2:$V$425, $T$2:$T$425&lt;3.75), $V91), 1)"),1.0)</f>
        <v>1</v>
      </c>
      <c r="Z91" s="20">
        <f>IFERROR(__xludf.DUMMYFUNCTION("iferror(PERCENTRANK.INC(FILTER($V$2:$V$425, $T$2:$T$425&lt;4.5), $V91), 1)"),1.0)</f>
        <v>1</v>
      </c>
      <c r="AA91" s="20">
        <f>IFERROR(__xludf.DUMMYFUNCTION("iferror(PERCENTRANK.INC(FILTER($V$2:$V$425, $T$2:$T$425&gt;4.1), $V91), 0.01)"),0.867)</f>
        <v>0.867</v>
      </c>
    </row>
    <row r="92" ht="14.25" customHeight="1">
      <c r="A92" s="17" t="s">
        <v>1611</v>
      </c>
      <c r="B92" s="17" t="s">
        <v>507</v>
      </c>
      <c r="C92" s="18">
        <v>8.0</v>
      </c>
      <c r="D92" s="17" t="s">
        <v>38</v>
      </c>
      <c r="E92" s="17" t="s">
        <v>508</v>
      </c>
      <c r="F92" s="18">
        <v>54.0</v>
      </c>
      <c r="G92" s="18">
        <v>21.0</v>
      </c>
      <c r="H92" s="18">
        <v>11.0</v>
      </c>
      <c r="I92" s="19">
        <v>0.524</v>
      </c>
      <c r="J92" s="18">
        <v>0.0</v>
      </c>
      <c r="K92" s="18">
        <v>0.0</v>
      </c>
      <c r="L92" s="18">
        <v>1.0</v>
      </c>
      <c r="M92" s="18">
        <v>1.0</v>
      </c>
      <c r="N92" s="18">
        <v>161.0</v>
      </c>
      <c r="O92" s="22">
        <v>1.37</v>
      </c>
      <c r="P92" s="22">
        <v>6.02</v>
      </c>
      <c r="Q92" s="15"/>
      <c r="R92" s="37">
        <v>1.37</v>
      </c>
      <c r="S92" s="16">
        <v>0.017</v>
      </c>
      <c r="T92" s="16">
        <v>4.9</v>
      </c>
      <c r="U92" s="14">
        <f t="array" ref="U92">XLOOKUP(E92, 'Conference Match'!$A$2:$A$25, 'Conference Match'!$C$2:$C$25)</f>
        <v>0.95</v>
      </c>
      <c r="V92" s="20">
        <f t="shared" si="1"/>
        <v>3.627775</v>
      </c>
      <c r="W92" s="20">
        <f t="shared" si="2"/>
        <v>77.16617921</v>
      </c>
      <c r="Y92" s="20">
        <f>IFERROR(__xludf.DUMMYFUNCTION("iferror(PERCENTRANK.INC(FILTER($V$2:$V$425, $T$2:$T$425&lt;3.75), $V92), 1)"),1.0)</f>
        <v>1</v>
      </c>
      <c r="Z92" s="20">
        <f>IFERROR(__xludf.DUMMYFUNCTION("iferror(PERCENTRANK.INC(FILTER($V$2:$V$425, $T$2:$T$425&lt;4.5), $V92), 1)"),0.991)</f>
        <v>0.991</v>
      </c>
      <c r="AA92" s="20">
        <f>IFERROR(__xludf.DUMMYFUNCTION("iferror(PERCENTRANK.INC(FILTER($V$2:$V$425, $T$2:$T$425&gt;4.1), $V92), 0.01)"),0.467)</f>
        <v>0.467</v>
      </c>
    </row>
    <row r="93" ht="14.25" customHeight="1">
      <c r="A93" s="14" t="s">
        <v>1612</v>
      </c>
      <c r="B93" s="14" t="s">
        <v>239</v>
      </c>
      <c r="C93" s="14">
        <v>2.0</v>
      </c>
      <c r="D93" s="14" t="s">
        <v>38</v>
      </c>
      <c r="E93" s="14" t="s">
        <v>164</v>
      </c>
      <c r="F93" s="14">
        <v>10.0</v>
      </c>
      <c r="G93" s="14">
        <v>18.0</v>
      </c>
      <c r="H93" s="14">
        <v>11.0</v>
      </c>
      <c r="I93" s="46">
        <v>0.611</v>
      </c>
      <c r="J93" s="14">
        <v>1.0</v>
      </c>
      <c r="K93" s="14">
        <v>1.0</v>
      </c>
      <c r="L93" s="14">
        <v>2.0</v>
      </c>
      <c r="M93" s="14">
        <v>3.0</v>
      </c>
      <c r="N93" s="14">
        <v>135.0</v>
      </c>
      <c r="O93" s="20">
        <v>1.9326679999999998</v>
      </c>
      <c r="P93" s="20">
        <v>24.12208300400378</v>
      </c>
      <c r="Q93" s="15"/>
      <c r="R93" s="20">
        <v>1.9326679999999998</v>
      </c>
      <c r="U93" s="14">
        <f t="array" ref="U93">XLOOKUP(E93, 'Conference Match'!$A$2:$A$25, 'Conference Match'!$C$2:$C$25)</f>
        <v>1</v>
      </c>
      <c r="V93" s="20">
        <f t="shared" si="1"/>
        <v>0.2899002</v>
      </c>
      <c r="W93" s="20">
        <f t="shared" si="2"/>
        <v>6.166449349</v>
      </c>
      <c r="Y93" s="20">
        <f>IFERROR(__xludf.DUMMYFUNCTION("iferror(PERCENTRANK.INC(FILTER($V$2:$V$425, $T$2:$T$425&lt;3.75), $V93), 1)"),0.654)</f>
        <v>0.654</v>
      </c>
      <c r="Z93" s="20">
        <f>IFERROR(__xludf.DUMMYFUNCTION("iferror(PERCENTRANK.INC(FILTER($V$2:$V$425, $T$2:$T$425&lt;4.5), $V93), 1)"),0.586)</f>
        <v>0.586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1613</v>
      </c>
      <c r="B94" s="14" t="s">
        <v>239</v>
      </c>
      <c r="C94" s="14">
        <v>6.0</v>
      </c>
      <c r="D94" s="14" t="s">
        <v>38</v>
      </c>
      <c r="E94" s="14" t="s">
        <v>164</v>
      </c>
      <c r="F94" s="14">
        <v>41.0</v>
      </c>
      <c r="G94" s="14">
        <v>9.0</v>
      </c>
      <c r="H94" s="14">
        <v>5.0</v>
      </c>
      <c r="I94" s="46">
        <v>0.556</v>
      </c>
      <c r="J94" s="14">
        <v>0.0</v>
      </c>
      <c r="K94" s="14">
        <v>0.0</v>
      </c>
      <c r="L94" s="14">
        <v>1.0</v>
      </c>
      <c r="M94" s="14">
        <v>1.0</v>
      </c>
      <c r="N94" s="14">
        <v>113.0</v>
      </c>
      <c r="O94" s="20">
        <v>1.3733279999999999</v>
      </c>
      <c r="P94" s="20">
        <v>6.003342964872952</v>
      </c>
      <c r="Q94" s="15"/>
      <c r="R94" s="20">
        <v>1.3733279999999999</v>
      </c>
      <c r="U94" s="14">
        <f t="array" ref="U94">XLOOKUP(E94, 'Conference Match'!$A$2:$A$25, 'Conference Match'!$C$2:$C$25)</f>
        <v>1</v>
      </c>
      <c r="V94" s="20">
        <f t="shared" si="1"/>
        <v>0.2059992</v>
      </c>
      <c r="W94" s="20">
        <f t="shared" si="2"/>
        <v>4.381796331</v>
      </c>
      <c r="Y94" s="20">
        <f>IFERROR(__xludf.DUMMYFUNCTION("iferror(PERCENTRANK.INC(FILTER($V$2:$V$425, $T$2:$T$425&lt;3.75), $V94), 1)"),0.205)</f>
        <v>0.205</v>
      </c>
      <c r="Z94" s="20">
        <f>IFERROR(__xludf.DUMMYFUNCTION("iferror(PERCENTRANK.INC(FILTER($V$2:$V$425, $T$2:$T$425&lt;4.5), $V94), 1)"),0.184)</f>
        <v>0.184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1614</v>
      </c>
      <c r="B95" s="14" t="s">
        <v>239</v>
      </c>
      <c r="C95" s="14">
        <v>0.0</v>
      </c>
      <c r="D95" s="14" t="s">
        <v>38</v>
      </c>
      <c r="E95" s="14" t="s">
        <v>164</v>
      </c>
      <c r="F95" s="14">
        <v>31.0</v>
      </c>
      <c r="G95" s="14">
        <v>30.0</v>
      </c>
      <c r="H95" s="14">
        <v>22.0</v>
      </c>
      <c r="I95" s="46">
        <v>0.733</v>
      </c>
      <c r="J95" s="14">
        <v>0.0</v>
      </c>
      <c r="K95" s="14">
        <v>0.0</v>
      </c>
      <c r="L95" s="14">
        <v>0.0</v>
      </c>
      <c r="M95" s="14">
        <v>1.0</v>
      </c>
      <c r="N95" s="14">
        <v>149.0</v>
      </c>
      <c r="O95" s="20">
        <v>1.271204</v>
      </c>
      <c r="P95" s="20">
        <v>2.6952330357489944</v>
      </c>
      <c r="Q95" s="15"/>
      <c r="R95" s="20">
        <v>1.271204</v>
      </c>
      <c r="U95" s="14">
        <f t="array" ref="U95">XLOOKUP(E95, 'Conference Match'!$A$2:$A$25, 'Conference Match'!$C$2:$C$25)</f>
        <v>1</v>
      </c>
      <c r="V95" s="20">
        <f t="shared" si="1"/>
        <v>0.1906806</v>
      </c>
      <c r="W95" s="20">
        <f t="shared" si="2"/>
        <v>4.055955331</v>
      </c>
      <c r="Y95" s="20">
        <f>IFERROR(__xludf.DUMMYFUNCTION("iferror(PERCENTRANK.INC(FILTER($V$2:$V$425, $T$2:$T$425&lt;3.75), $V95), 1)"),0.115)</f>
        <v>0.115</v>
      </c>
      <c r="Z95" s="20">
        <f>IFERROR(__xludf.DUMMYFUNCTION("iferror(PERCENTRANK.INC(FILTER($V$2:$V$425, $T$2:$T$425&lt;4.5), $V95), 1)"),0.103)</f>
        <v>0.103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1615</v>
      </c>
      <c r="B96" s="14" t="s">
        <v>529</v>
      </c>
      <c r="C96" s="14">
        <v>12.0</v>
      </c>
      <c r="D96" s="14" t="s">
        <v>38</v>
      </c>
      <c r="E96" s="14" t="s">
        <v>125</v>
      </c>
      <c r="F96" s="14">
        <v>1.0</v>
      </c>
      <c r="G96" s="14">
        <v>55.0</v>
      </c>
      <c r="H96" s="14">
        <v>33.0</v>
      </c>
      <c r="I96" s="46">
        <v>0.6</v>
      </c>
      <c r="J96" s="14">
        <v>2.0</v>
      </c>
      <c r="K96" s="14">
        <v>2.0</v>
      </c>
      <c r="L96" s="14">
        <v>4.0</v>
      </c>
      <c r="M96" s="14">
        <v>5.0</v>
      </c>
      <c r="N96" s="14">
        <v>295.0</v>
      </c>
      <c r="O96" s="20">
        <v>2.5927999999999995</v>
      </c>
      <c r="P96" s="20">
        <v>45.50578540238671</v>
      </c>
      <c r="Q96" s="15"/>
      <c r="R96" s="20">
        <v>2.5927999999999995</v>
      </c>
      <c r="U96" s="14">
        <f t="array" ref="U96">XLOOKUP(E96, 'Conference Match'!$A$2:$A$25, 'Conference Match'!$C$2:$C$25)</f>
        <v>0.95</v>
      </c>
      <c r="V96" s="20">
        <f t="shared" si="1"/>
        <v>0.369474</v>
      </c>
      <c r="W96" s="20">
        <f t="shared" si="2"/>
        <v>7.859058761</v>
      </c>
      <c r="Y96" s="20">
        <f>IFERROR(__xludf.DUMMYFUNCTION("iferror(PERCENTRANK.INC(FILTER($V$2:$V$425, $T$2:$T$425&lt;3.75), $V96), 1)"),0.859)</f>
        <v>0.859</v>
      </c>
      <c r="Z96" s="20">
        <f>IFERROR(__xludf.DUMMYFUNCTION("iferror(PERCENTRANK.INC(FILTER($V$2:$V$425, $T$2:$T$425&lt;4.5), $V96), 1)"),0.77)</f>
        <v>0.77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1616</v>
      </c>
      <c r="B97" s="14" t="s">
        <v>529</v>
      </c>
      <c r="C97" s="14">
        <v>8.0</v>
      </c>
      <c r="D97" s="14" t="s">
        <v>38</v>
      </c>
      <c r="E97" s="14" t="s">
        <v>125</v>
      </c>
      <c r="F97" s="14">
        <v>93.0</v>
      </c>
      <c r="G97" s="14">
        <v>40.0</v>
      </c>
      <c r="H97" s="14">
        <v>22.0</v>
      </c>
      <c r="I97" s="46">
        <v>0.55</v>
      </c>
      <c r="J97" s="14">
        <v>0.0</v>
      </c>
      <c r="K97" s="14">
        <v>1.0</v>
      </c>
      <c r="L97" s="14">
        <v>4.0</v>
      </c>
      <c r="M97" s="14">
        <v>4.0</v>
      </c>
      <c r="N97" s="14">
        <v>263.0</v>
      </c>
      <c r="O97" s="20">
        <v>2.0134</v>
      </c>
      <c r="P97" s="20">
        <v>26.737240369540142</v>
      </c>
      <c r="Q97" s="15"/>
      <c r="R97" s="20">
        <v>2.0134</v>
      </c>
      <c r="U97" s="14">
        <f t="array" ref="U97">XLOOKUP(E97, 'Conference Match'!$A$2:$A$25, 'Conference Match'!$C$2:$C$25)</f>
        <v>0.95</v>
      </c>
      <c r="V97" s="20">
        <f t="shared" si="1"/>
        <v>0.2869095</v>
      </c>
      <c r="W97" s="20">
        <f t="shared" si="2"/>
        <v>6.102834353</v>
      </c>
      <c r="Y97" s="20">
        <f>IFERROR(__xludf.DUMMYFUNCTION("iferror(PERCENTRANK.INC(FILTER($V$2:$V$425, $T$2:$T$425&lt;3.75), $V97), 1)"),0.628)</f>
        <v>0.628</v>
      </c>
      <c r="Z97" s="20">
        <f>IFERROR(__xludf.DUMMYFUNCTION("iferror(PERCENTRANK.INC(FILTER($V$2:$V$425, $T$2:$T$425&lt;4.5), $V97), 1)"),0.563)</f>
        <v>0.563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1617</v>
      </c>
      <c r="B98" s="14" t="s">
        <v>529</v>
      </c>
      <c r="C98" s="14">
        <v>7.0</v>
      </c>
      <c r="D98" s="14" t="s">
        <v>38</v>
      </c>
      <c r="E98" s="14" t="s">
        <v>125</v>
      </c>
      <c r="F98" s="14">
        <v>49.0</v>
      </c>
      <c r="G98" s="14">
        <v>19.0</v>
      </c>
      <c r="H98" s="14">
        <v>11.0</v>
      </c>
      <c r="I98" s="46">
        <v>0.579</v>
      </c>
      <c r="J98" s="14">
        <v>1.0</v>
      </c>
      <c r="K98" s="14">
        <v>0.0</v>
      </c>
      <c r="L98" s="14">
        <v>0.0</v>
      </c>
      <c r="M98" s="14">
        <v>1.0</v>
      </c>
      <c r="N98" s="14">
        <v>106.0</v>
      </c>
      <c r="O98" s="20">
        <v>1.473052</v>
      </c>
      <c r="P98" s="20">
        <v>9.233709524858444</v>
      </c>
      <c r="Q98" s="15"/>
      <c r="R98" s="20">
        <v>1.473052</v>
      </c>
      <c r="U98" s="14">
        <f t="array" ref="U98">XLOOKUP(E98, 'Conference Match'!$A$2:$A$25, 'Conference Match'!$C$2:$C$25)</f>
        <v>0.95</v>
      </c>
      <c r="V98" s="20">
        <f t="shared" si="1"/>
        <v>0.20990991</v>
      </c>
      <c r="W98" s="20">
        <f t="shared" si="2"/>
        <v>4.464980803</v>
      </c>
      <c r="Y98" s="20">
        <f>IFERROR(__xludf.DUMMYFUNCTION("iferror(PERCENTRANK.INC(FILTER($V$2:$V$425, $T$2:$T$425&lt;3.75), $V98), 1)"),0.256)</f>
        <v>0.256</v>
      </c>
      <c r="Z98" s="20">
        <f>IFERROR(__xludf.DUMMYFUNCTION("iferror(PERCENTRANK.INC(FILTER($V$2:$V$425, $T$2:$T$425&lt;4.5), $V98), 1)"),0.23)</f>
        <v>0.23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1618</v>
      </c>
      <c r="B99" s="14" t="s">
        <v>529</v>
      </c>
      <c r="C99" s="14">
        <v>13.0</v>
      </c>
      <c r="D99" s="14" t="s">
        <v>38</v>
      </c>
      <c r="E99" s="14" t="s">
        <v>125</v>
      </c>
      <c r="F99" s="14">
        <v>6.0</v>
      </c>
      <c r="G99" s="14">
        <v>4.0</v>
      </c>
      <c r="H99" s="14">
        <v>4.0</v>
      </c>
      <c r="I99" s="47">
        <v>1.0</v>
      </c>
      <c r="J99" s="14">
        <v>0.0</v>
      </c>
      <c r="K99" s="14">
        <v>0.0</v>
      </c>
      <c r="L99" s="14">
        <v>0.0</v>
      </c>
      <c r="M99" s="14">
        <v>0.0</v>
      </c>
      <c r="N99" s="14">
        <v>55.0</v>
      </c>
      <c r="O99" s="20">
        <v>1.188</v>
      </c>
      <c r="P99" s="20">
        <v>0.0</v>
      </c>
      <c r="Q99" s="15"/>
      <c r="R99" s="20">
        <v>1.188</v>
      </c>
      <c r="U99" s="14">
        <f t="array" ref="U99">XLOOKUP(E99, 'Conference Match'!$A$2:$A$25, 'Conference Match'!$C$2:$C$25)</f>
        <v>0.95</v>
      </c>
      <c r="V99" s="20">
        <f t="shared" si="1"/>
        <v>0.16929</v>
      </c>
      <c r="W99" s="20">
        <f t="shared" si="2"/>
        <v>3.600957192</v>
      </c>
      <c r="Y99" s="20">
        <f>IFERROR(__xludf.DUMMYFUNCTION("iferror(PERCENTRANK.INC(FILTER($V$2:$V$425, $T$2:$T$425&lt;3.75), $V99), 1)"),0.013)</f>
        <v>0.013</v>
      </c>
      <c r="Z99" s="20">
        <f>IFERROR(__xludf.DUMMYFUNCTION("iferror(PERCENTRANK.INC(FILTER($V$2:$V$425, $T$2:$T$425&lt;4.5), $V99), 1)"),0.011)</f>
        <v>0.011</v>
      </c>
      <c r="AA99" s="20">
        <f>IFERROR(__xludf.DUMMYFUNCTION("iferror(PERCENTRANK.INC(FILTER($V$2:$V$425, $T$2:$T$425&gt;4.1), $V99), 0.01)"),0.01)</f>
        <v>0.01</v>
      </c>
    </row>
    <row r="100" ht="14.25" customHeight="1">
      <c r="I100" s="46"/>
      <c r="O100" s="20"/>
      <c r="P100" s="20"/>
      <c r="Q100" s="15"/>
      <c r="R100" s="20"/>
      <c r="V100" s="20"/>
      <c r="W100" s="20"/>
      <c r="Y100" s="20">
        <f>IFERROR(__xludf.DUMMYFUNCTION("iferror(PERCENTRANK.INC(FILTER($V$2:$V$425, $T$2:$T$425&lt;3.75), $V100), 1)"),0.0)</f>
        <v>0</v>
      </c>
      <c r="Z100" s="20">
        <f>IFERROR(__xludf.DUMMYFUNCTION("iferror(PERCENTRANK.INC(FILTER($V$2:$V$425, $T$2:$T$425&lt;4.5), $V100), 1)"),0.0)</f>
        <v>0</v>
      </c>
      <c r="AA100" s="20">
        <f>IFERROR(__xludf.DUMMYFUNCTION("iferror(PERCENTRANK.INC(FILTER($V$2:$V$425, $T$2:$T$425&gt;4.1), $V100), 0.01)"),0.01)</f>
        <v>0.01</v>
      </c>
    </row>
    <row r="101" ht="14.25" customHeight="1">
      <c r="I101" s="46"/>
      <c r="O101" s="20"/>
      <c r="P101" s="20"/>
      <c r="Q101" s="15"/>
      <c r="R101" s="20"/>
      <c r="V101" s="20"/>
      <c r="W101" s="20"/>
      <c r="Y101" s="20">
        <f>IFERROR(__xludf.DUMMYFUNCTION("iferror(PERCENTRANK.INC(FILTER($V$2:$V$425, $T$2:$T$425&lt;3.75), $V101), 1)"),0.0)</f>
        <v>0</v>
      </c>
      <c r="Z101" s="20">
        <f>IFERROR(__xludf.DUMMYFUNCTION("iferror(PERCENTRANK.INC(FILTER($V$2:$V$425, $T$2:$T$425&lt;4.5), $V101), 1)"),0.0)</f>
        <v>0</v>
      </c>
      <c r="AA101" s="20">
        <f>IFERROR(__xludf.DUMMYFUNCTION("iferror(PERCENTRANK.INC(FILTER($V$2:$V$425, $T$2:$T$425&gt;4.1), $V101), 0.01)"),0.01)</f>
        <v>0.01</v>
      </c>
    </row>
    <row r="102" ht="14.25" customHeight="1">
      <c r="I102" s="46"/>
      <c r="O102" s="20"/>
      <c r="P102" s="20"/>
      <c r="Q102" s="15"/>
      <c r="R102" s="20"/>
      <c r="V102" s="20"/>
      <c r="W102" s="20"/>
      <c r="Y102" s="20">
        <f>IFERROR(__xludf.DUMMYFUNCTION("iferror(PERCENTRANK.INC(FILTER($V$2:$V$425, $T$2:$T$425&lt;3.75), $V102), 1)"),0.0)</f>
        <v>0</v>
      </c>
      <c r="Z102" s="20">
        <f>IFERROR(__xludf.DUMMYFUNCTION("iferror(PERCENTRANK.INC(FILTER($V$2:$V$425, $T$2:$T$425&lt;4.5), $V102), 1)"),0.0)</f>
        <v>0</v>
      </c>
      <c r="AA102" s="20">
        <f>IFERROR(__xludf.DUMMYFUNCTION("iferror(PERCENTRANK.INC(FILTER($V$2:$V$425, $T$2:$T$425&gt;4.1), $V102), 0.01)"),0.01)</f>
        <v>0.01</v>
      </c>
    </row>
    <row r="103" ht="14.25" customHeight="1">
      <c r="I103" s="46"/>
      <c r="O103" s="20"/>
      <c r="P103" s="20"/>
      <c r="Q103" s="15"/>
      <c r="R103" s="20"/>
      <c r="V103" s="20"/>
      <c r="W103" s="20"/>
      <c r="Y103" s="20">
        <f>IFERROR(__xludf.DUMMYFUNCTION("iferror(PERCENTRANK.INC(FILTER($V$2:$V$425, $T$2:$T$425&lt;3.75), $V103), 1)"),0.0)</f>
        <v>0</v>
      </c>
      <c r="Z103" s="20">
        <f>IFERROR(__xludf.DUMMYFUNCTION("iferror(PERCENTRANK.INC(FILTER($V$2:$V$425, $T$2:$T$425&lt;4.5), $V103), 1)"),0.0)</f>
        <v>0</v>
      </c>
      <c r="AA103" s="20">
        <f>IFERROR(__xludf.DUMMYFUNCTION("iferror(PERCENTRANK.INC(FILTER($V$2:$V$425, $T$2:$T$425&gt;4.1), $V103), 0.01)"),0.01)</f>
        <v>0.01</v>
      </c>
    </row>
    <row r="104" ht="14.25" customHeight="1">
      <c r="I104" s="46"/>
      <c r="O104" s="20"/>
      <c r="P104" s="20"/>
      <c r="Q104" s="15"/>
      <c r="R104" s="20"/>
      <c r="V104" s="20"/>
      <c r="W104" s="20"/>
      <c r="Y104" s="20">
        <f>IFERROR(__xludf.DUMMYFUNCTION("iferror(PERCENTRANK.INC(FILTER($V$2:$V$425, $T$2:$T$425&lt;3.75), $V104), 1)"),0.0)</f>
        <v>0</v>
      </c>
      <c r="Z104" s="20">
        <f>IFERROR(__xludf.DUMMYFUNCTION("iferror(PERCENTRANK.INC(FILTER($V$2:$V$425, $T$2:$T$425&lt;4.5), $V104), 1)"),0.0)</f>
        <v>0</v>
      </c>
      <c r="AA104" s="20">
        <f>IFERROR(__xludf.DUMMYFUNCTION("iferror(PERCENTRANK.INC(FILTER($V$2:$V$425, $T$2:$T$425&gt;4.1), $V104), 0.01)"),0.01)</f>
        <v>0.01</v>
      </c>
    </row>
    <row r="105" ht="14.25" customHeight="1">
      <c r="I105" s="46"/>
      <c r="O105" s="20"/>
      <c r="P105" s="20"/>
      <c r="Q105" s="15"/>
      <c r="R105" s="20"/>
      <c r="V105" s="20"/>
      <c r="W105" s="20"/>
      <c r="Y105" s="20">
        <f>IFERROR(__xludf.DUMMYFUNCTION("iferror(PERCENTRANK.INC(FILTER($V$2:$V$425, $T$2:$T$425&lt;3.75), $V105), 1)"),0.0)</f>
        <v>0</v>
      </c>
      <c r="Z105" s="20">
        <f>IFERROR(__xludf.DUMMYFUNCTION("iferror(PERCENTRANK.INC(FILTER($V$2:$V$425, $T$2:$T$425&lt;4.5), $V105), 1)"),0.0)</f>
        <v>0</v>
      </c>
      <c r="AA105" s="20">
        <f>IFERROR(__xludf.DUMMYFUNCTION("iferror(PERCENTRANK.INC(FILTER($V$2:$V$425, $T$2:$T$425&gt;4.1), $V105), 0.01)"),0.01)</f>
        <v>0.01</v>
      </c>
    </row>
    <row r="106" ht="14.25" customHeight="1">
      <c r="I106" s="46"/>
      <c r="O106" s="20"/>
      <c r="P106" s="20"/>
      <c r="Q106" s="15"/>
      <c r="R106" s="20"/>
      <c r="V106" s="20"/>
      <c r="W106" s="20"/>
      <c r="Y106" s="20">
        <f>IFERROR(__xludf.DUMMYFUNCTION("iferror(PERCENTRANK.INC(FILTER($V$2:$V$425, $T$2:$T$425&lt;3.75), $V106), 1)"),0.0)</f>
        <v>0</v>
      </c>
      <c r="Z106" s="20">
        <f>IFERROR(__xludf.DUMMYFUNCTION("iferror(PERCENTRANK.INC(FILTER($V$2:$V$425, $T$2:$T$425&lt;4.5), $V106), 1)"),0.0)</f>
        <v>0</v>
      </c>
      <c r="AA106" s="20">
        <f>IFERROR(__xludf.DUMMYFUNCTION("iferror(PERCENTRANK.INC(FILTER($V$2:$V$425, $T$2:$T$425&gt;4.1), $V106), 0.01)"),0.01)</f>
        <v>0.01</v>
      </c>
    </row>
    <row r="107" ht="14.25" customHeight="1">
      <c r="I107" s="46"/>
      <c r="O107" s="20"/>
      <c r="P107" s="20"/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I108" s="46"/>
      <c r="O108" s="20"/>
      <c r="P108" s="20"/>
      <c r="Q108" s="15"/>
      <c r="R108" s="20"/>
      <c r="V108" s="20"/>
      <c r="W108" s="20"/>
      <c r="Y108" s="20">
        <f>IFERROR(__xludf.DUMMYFUNCTION("iferror(PERCENTRANK.INC(FILTER($V$2:$V$425, $T$2:$T$425&lt;3.75), $V108), 1)"),0.0)</f>
        <v>0</v>
      </c>
      <c r="Z108" s="20">
        <f>IFERROR(__xludf.DUMMYFUNCTION("iferror(PERCENTRANK.INC(FILTER($V$2:$V$425, $T$2:$T$425&lt;4.5), $V108), 1)"),0.0)</f>
        <v>0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46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46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46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46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46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46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46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46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46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46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46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46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46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46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46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46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46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46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ref="B1:B126"/>
      <sortCondition descending="1" ref="T1:T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1511</v>
      </c>
      <c r="G1" s="14" t="s">
        <v>1512</v>
      </c>
      <c r="H1" s="14" t="s">
        <v>1513</v>
      </c>
      <c r="I1" s="14" t="s">
        <v>79</v>
      </c>
      <c r="J1" s="14" t="s">
        <v>83</v>
      </c>
      <c r="K1" s="14" t="s">
        <v>1514</v>
      </c>
      <c r="L1" s="14" t="s">
        <v>1515</v>
      </c>
      <c r="M1" s="14" t="s">
        <v>1516</v>
      </c>
      <c r="N1" s="14" t="s">
        <v>1517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1619</v>
      </c>
      <c r="B2" s="17" t="s">
        <v>543</v>
      </c>
      <c r="C2" s="18">
        <v>7.0</v>
      </c>
      <c r="D2" s="17" t="s">
        <v>1620</v>
      </c>
      <c r="E2" s="17" t="s">
        <v>149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7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2" si="1">IFERROR(T2*0.7+R2*U2*0.15+S2*0.15, 0)</f>
        <v>3.427275</v>
      </c>
      <c r="W2" s="20">
        <f t="shared" ref="W2:W62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1)"),0.983)</f>
        <v>0.983</v>
      </c>
      <c r="AA2" s="20">
        <f>IFERROR(__xludf.DUMMYFUNCTION("iferror(PERCENTRANK.INC(FILTER($V$2:$V$425, $T$2:$T$425&gt;4.1), $V2), 0.01)"),0.4)</f>
        <v>0.4</v>
      </c>
    </row>
    <row r="3" ht="14.25" customHeight="1">
      <c r="A3" s="17" t="s">
        <v>1621</v>
      </c>
      <c r="B3" s="17" t="s">
        <v>166</v>
      </c>
      <c r="C3" s="18">
        <v>17.0</v>
      </c>
      <c r="D3" s="17" t="s">
        <v>1620</v>
      </c>
      <c r="E3" s="17" t="s">
        <v>157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7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1)"),0.991)</f>
        <v>0.991</v>
      </c>
      <c r="AA3" s="20">
        <f>IFERROR(__xludf.DUMMYFUNCTION("iferror(PERCENTRANK.INC(FILTER($V$2:$V$425, $T$2:$T$425&gt;4.1), $V3), 0.01)"),0.6)</f>
        <v>0.6</v>
      </c>
    </row>
    <row r="4" ht="14.25" customHeight="1">
      <c r="A4" s="14" t="s">
        <v>1622</v>
      </c>
      <c r="B4" s="14" t="s">
        <v>419</v>
      </c>
      <c r="C4" s="14">
        <v>28.0</v>
      </c>
      <c r="D4" s="14" t="s">
        <v>38</v>
      </c>
      <c r="E4" s="14" t="s">
        <v>164</v>
      </c>
      <c r="F4" s="14">
        <v>39.0</v>
      </c>
      <c r="G4" s="14">
        <v>21.0</v>
      </c>
      <c r="H4" s="14">
        <v>10.0</v>
      </c>
      <c r="I4" s="46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1)"),0.998)</f>
        <v>0.998</v>
      </c>
      <c r="AA4" s="20">
        <f>IFERROR(__xludf.DUMMYFUNCTION("iferror(PERCENTRANK.INC(FILTER($V$2:$V$425, $T$2:$T$425&gt;4.1), $V4), 0.01)"),0.8)</f>
        <v>0.8</v>
      </c>
    </row>
    <row r="5" ht="14.25" customHeight="1">
      <c r="A5" s="17" t="s">
        <v>1623</v>
      </c>
      <c r="B5" s="17" t="s">
        <v>433</v>
      </c>
      <c r="C5" s="18">
        <v>23.0</v>
      </c>
      <c r="D5" s="17" t="s">
        <v>1620</v>
      </c>
      <c r="E5" s="17" t="s">
        <v>120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1)"),0.982)</f>
        <v>0.982</v>
      </c>
      <c r="AA5" s="20">
        <f>IFERROR(__xludf.DUMMYFUNCTION("iferror(PERCENTRANK.INC(FILTER($V$2:$V$425, $T$2:$T$425&gt;4.1), $V5), 0.01)"),0.2)</f>
        <v>0.2</v>
      </c>
    </row>
    <row r="6" ht="14.25" customHeight="1">
      <c r="A6" s="17" t="s">
        <v>1624</v>
      </c>
      <c r="B6" s="17" t="s">
        <v>423</v>
      </c>
      <c r="C6" s="18">
        <v>4.0</v>
      </c>
      <c r="D6" s="17" t="s">
        <v>1620</v>
      </c>
      <c r="E6" s="17" t="s">
        <v>188</v>
      </c>
      <c r="F6" s="18">
        <v>9.0</v>
      </c>
      <c r="G6" s="18">
        <v>26.0</v>
      </c>
      <c r="H6" s="18">
        <v>15.0</v>
      </c>
      <c r="I6" s="48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7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1625</v>
      </c>
      <c r="B7" s="17" t="s">
        <v>525</v>
      </c>
      <c r="C7" s="18">
        <v>1.0</v>
      </c>
      <c r="D7" s="17" t="s">
        <v>1620</v>
      </c>
      <c r="E7" s="17" t="s">
        <v>188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7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1)"),0.965)</f>
        <v>0.965</v>
      </c>
      <c r="AA7" s="20">
        <f>IFERROR(__xludf.DUMMYFUNCTION("iferror(PERCENTRANK.INC(FILTER($V$2:$V$425, $T$2:$T$425&gt;4.1), $V7), 0.01)"),0.0)</f>
        <v>0</v>
      </c>
    </row>
    <row r="8" ht="14.25" customHeight="1">
      <c r="A8" s="17" t="s">
        <v>1626</v>
      </c>
      <c r="B8" s="17" t="s">
        <v>655</v>
      </c>
      <c r="C8" s="18">
        <v>2.0</v>
      </c>
      <c r="D8" s="23" t="s">
        <v>1620</v>
      </c>
      <c r="E8" s="17" t="s">
        <v>188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7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1)"),0.947)</f>
        <v>0.947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1627</v>
      </c>
      <c r="B9" s="17" t="s">
        <v>181</v>
      </c>
      <c r="C9" s="18">
        <v>5.0</v>
      </c>
      <c r="D9" s="17" t="s">
        <v>1620</v>
      </c>
      <c r="E9" s="17" t="s">
        <v>102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7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1)"),0.93)</f>
        <v>0.93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1628</v>
      </c>
      <c r="B10" s="17" t="s">
        <v>1629</v>
      </c>
      <c r="C10" s="18">
        <v>3.0</v>
      </c>
      <c r="D10" s="17" t="s">
        <v>1620</v>
      </c>
      <c r="E10" s="17" t="s">
        <v>130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7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1)"),0.912)</f>
        <v>0.912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1630</v>
      </c>
      <c r="B11" s="17" t="s">
        <v>299</v>
      </c>
      <c r="C11" s="18">
        <v>16.0</v>
      </c>
      <c r="D11" s="17" t="s">
        <v>1620</v>
      </c>
      <c r="E11" s="17" t="s">
        <v>120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7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1)"),0.877)</f>
        <v>0.877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1631</v>
      </c>
      <c r="B12" s="17" t="s">
        <v>727</v>
      </c>
      <c r="C12" s="18">
        <v>14.0</v>
      </c>
      <c r="D12" s="17" t="s">
        <v>1620</v>
      </c>
      <c r="E12" s="17" t="s">
        <v>102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1)"),0.895)</f>
        <v>0.895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1632</v>
      </c>
      <c r="B13" s="17" t="s">
        <v>321</v>
      </c>
      <c r="C13" s="18">
        <v>6.0</v>
      </c>
      <c r="D13" s="17" t="s">
        <v>1620</v>
      </c>
      <c r="E13" s="17" t="s">
        <v>100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1)"),0.86)</f>
        <v>0.86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1633</v>
      </c>
      <c r="B14" s="14" t="s">
        <v>331</v>
      </c>
      <c r="C14" s="14">
        <v>16.0</v>
      </c>
      <c r="D14" s="14" t="s">
        <v>1620</v>
      </c>
      <c r="E14" s="14" t="s">
        <v>179</v>
      </c>
      <c r="F14" s="14">
        <v>2.0</v>
      </c>
      <c r="G14" s="14">
        <v>11.0</v>
      </c>
      <c r="H14" s="14">
        <v>10.0</v>
      </c>
      <c r="I14" s="46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1)"),0.474)</f>
        <v>0.474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1634</v>
      </c>
      <c r="B15" s="14" t="s">
        <v>331</v>
      </c>
      <c r="C15" s="14">
        <v>3.0</v>
      </c>
      <c r="D15" s="14" t="s">
        <v>1620</v>
      </c>
      <c r="E15" s="14" t="s">
        <v>179</v>
      </c>
      <c r="F15" s="14">
        <v>2.0</v>
      </c>
      <c r="G15" s="14">
        <v>15.0</v>
      </c>
      <c r="H15" s="14">
        <v>9.0</v>
      </c>
      <c r="I15" s="46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1)"),0.246)</f>
        <v>0.246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1635</v>
      </c>
      <c r="B16" s="14" t="s">
        <v>351</v>
      </c>
      <c r="C16" s="14">
        <v>0.0</v>
      </c>
      <c r="D16" s="14" t="s">
        <v>1620</v>
      </c>
      <c r="E16" s="14" t="s">
        <v>130</v>
      </c>
      <c r="F16" s="14">
        <v>10.0</v>
      </c>
      <c r="G16" s="14">
        <v>23.0</v>
      </c>
      <c r="H16" s="14">
        <v>19.0</v>
      </c>
      <c r="I16" s="46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1)"),0.509)</f>
        <v>0.509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1636</v>
      </c>
      <c r="B17" s="14" t="s">
        <v>351</v>
      </c>
      <c r="C17" s="14">
        <v>20.0</v>
      </c>
      <c r="D17" s="14" t="s">
        <v>1620</v>
      </c>
      <c r="E17" s="14" t="s">
        <v>130</v>
      </c>
      <c r="F17" s="14">
        <v>0.0</v>
      </c>
      <c r="G17" s="14">
        <v>4.0</v>
      </c>
      <c r="H17" s="14">
        <v>2.0</v>
      </c>
      <c r="I17" s="46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1)"),0.263)</f>
        <v>0.263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1637</v>
      </c>
      <c r="B18" s="14" t="s">
        <v>351</v>
      </c>
      <c r="C18" s="14">
        <v>27.0</v>
      </c>
      <c r="D18" s="14" t="s">
        <v>1620</v>
      </c>
      <c r="E18" s="14" t="s">
        <v>130</v>
      </c>
      <c r="F18" s="14">
        <v>1.0</v>
      </c>
      <c r="G18" s="14">
        <v>8.0</v>
      </c>
      <c r="H18" s="14">
        <v>6.0</v>
      </c>
      <c r="I18" s="46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1)"),0.088)</f>
        <v>0.088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1638</v>
      </c>
      <c r="B19" s="14" t="s">
        <v>412</v>
      </c>
      <c r="C19" s="14">
        <v>6.0</v>
      </c>
      <c r="D19" s="14" t="s">
        <v>1620</v>
      </c>
      <c r="E19" s="14" t="s">
        <v>149</v>
      </c>
      <c r="F19" s="14">
        <v>4.0</v>
      </c>
      <c r="G19" s="14">
        <v>19.0</v>
      </c>
      <c r="H19" s="14">
        <v>9.0</v>
      </c>
      <c r="I19" s="46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1)"),0.632)</f>
        <v>0.632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1639</v>
      </c>
      <c r="B20" s="14" t="s">
        <v>124</v>
      </c>
      <c r="C20" s="14">
        <v>12.0</v>
      </c>
      <c r="D20" s="14" t="s">
        <v>1620</v>
      </c>
      <c r="E20" s="14" t="s">
        <v>125</v>
      </c>
      <c r="F20" s="14">
        <v>1.0</v>
      </c>
      <c r="G20" s="14">
        <v>14.0</v>
      </c>
      <c r="H20" s="14">
        <v>9.0</v>
      </c>
      <c r="I20" s="46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1)"),0.649)</f>
        <v>0.649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1640</v>
      </c>
      <c r="B21" s="14" t="s">
        <v>124</v>
      </c>
      <c r="C21" s="14">
        <v>18.0</v>
      </c>
      <c r="D21" s="14" t="s">
        <v>1620</v>
      </c>
      <c r="E21" s="14" t="s">
        <v>125</v>
      </c>
      <c r="F21" s="14">
        <v>18.0</v>
      </c>
      <c r="G21" s="14">
        <v>19.0</v>
      </c>
      <c r="H21" s="14">
        <v>13.0</v>
      </c>
      <c r="I21" s="46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1)"),0.333)</f>
        <v>0.333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1641</v>
      </c>
      <c r="B22" s="14" t="s">
        <v>511</v>
      </c>
      <c r="C22" s="14">
        <v>7.0</v>
      </c>
      <c r="D22" s="14" t="s">
        <v>1620</v>
      </c>
      <c r="E22" s="14" t="s">
        <v>102</v>
      </c>
      <c r="F22" s="14">
        <v>5.0</v>
      </c>
      <c r="G22" s="14">
        <v>27.0</v>
      </c>
      <c r="H22" s="14">
        <v>19.0</v>
      </c>
      <c r="I22" s="46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U22" s="14">
        <f t="array" ref="U22">XLOOKUP(E22, 'Conference Match'!$A$2:$A$25, 'Conference Match'!$C$2:$C$25)</f>
        <v>1</v>
      </c>
      <c r="V22" s="20">
        <f t="shared" si="1"/>
        <v>0.2627328</v>
      </c>
      <c r="W22" s="20">
        <f t="shared" si="2"/>
        <v>2.681117175</v>
      </c>
      <c r="Y22" s="20">
        <f>IFERROR(__xludf.DUMMYFUNCTION("iferror(PERCENTRANK.INC(FILTER($V$2:$V$425, $T$2:$T$425&lt;3.75), $V22), 1)"),0.66)</f>
        <v>0.66</v>
      </c>
      <c r="Z22" s="20">
        <f>IFERROR(__xludf.DUMMYFUNCTION("iferror(PERCENTRANK.INC(FILTER($V$2:$V$425, $T$2:$T$425&lt;4.5), $V22), 1)"),0.614)</f>
        <v>0.614</v>
      </c>
      <c r="AA22" s="20">
        <f>IFERROR(__xludf.DUMMYFUNCTION("iferror(PERCENTRANK.INC(FILTER($V$2:$V$425, $T$2:$T$425&gt;4.1), $V22), 0.01)"),0.01)</f>
        <v>0.01</v>
      </c>
    </row>
    <row r="23" ht="14.25" customHeight="1">
      <c r="A23" s="14" t="s">
        <v>1642</v>
      </c>
      <c r="B23" s="14" t="s">
        <v>511</v>
      </c>
      <c r="C23" s="14">
        <v>23.0</v>
      </c>
      <c r="D23" s="14" t="s">
        <v>1620</v>
      </c>
      <c r="E23" s="14" t="s">
        <v>102</v>
      </c>
      <c r="F23" s="14">
        <v>4.0</v>
      </c>
      <c r="G23" s="14">
        <v>10.0</v>
      </c>
      <c r="H23" s="14">
        <v>5.0</v>
      </c>
      <c r="I23" s="46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1)"),0.439)</f>
        <v>0.439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1643</v>
      </c>
      <c r="B24" s="14" t="s">
        <v>511</v>
      </c>
      <c r="C24" s="14">
        <v>13.0</v>
      </c>
      <c r="D24" s="14" t="s">
        <v>1620</v>
      </c>
      <c r="E24" s="14" t="s">
        <v>102</v>
      </c>
      <c r="F24" s="14">
        <v>0.0</v>
      </c>
      <c r="G24" s="14">
        <v>2.0</v>
      </c>
      <c r="H24" s="14">
        <v>1.0</v>
      </c>
      <c r="I24" s="46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1)"),0.316)</f>
        <v>0.316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1644</v>
      </c>
      <c r="B25" s="14" t="s">
        <v>161</v>
      </c>
      <c r="C25" s="14">
        <v>35.0</v>
      </c>
      <c r="D25" s="14" t="s">
        <v>1620</v>
      </c>
      <c r="E25" s="14" t="s">
        <v>130</v>
      </c>
      <c r="F25" s="14">
        <v>3.0</v>
      </c>
      <c r="G25" s="14">
        <v>7.0</v>
      </c>
      <c r="H25" s="14">
        <v>6.0</v>
      </c>
      <c r="I25" s="46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1)"),0.491)</f>
        <v>0.491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1645</v>
      </c>
      <c r="B26" s="14" t="s">
        <v>161</v>
      </c>
      <c r="C26" s="14">
        <v>8.0</v>
      </c>
      <c r="D26" s="14" t="s">
        <v>1620</v>
      </c>
      <c r="E26" s="14" t="s">
        <v>130</v>
      </c>
      <c r="F26" s="14">
        <v>3.0</v>
      </c>
      <c r="G26" s="14">
        <v>35.0</v>
      </c>
      <c r="H26" s="14">
        <v>22.0</v>
      </c>
      <c r="I26" s="46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1)"),0.281)</f>
        <v>0.281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1646</v>
      </c>
      <c r="B27" s="14" t="s">
        <v>161</v>
      </c>
      <c r="C27" s="14">
        <v>26.0</v>
      </c>
      <c r="D27" s="14" t="s">
        <v>1620</v>
      </c>
      <c r="E27" s="14" t="s">
        <v>130</v>
      </c>
      <c r="F27" s="14">
        <v>2.0</v>
      </c>
      <c r="G27" s="14">
        <v>5.0</v>
      </c>
      <c r="H27" s="14">
        <v>5.0</v>
      </c>
      <c r="I27" s="47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1)"),0.035)</f>
        <v>0.035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1647</v>
      </c>
      <c r="B28" s="14" t="s">
        <v>333</v>
      </c>
      <c r="C28" s="14">
        <v>4.0</v>
      </c>
      <c r="D28" s="14" t="s">
        <v>1620</v>
      </c>
      <c r="E28" s="14" t="s">
        <v>149</v>
      </c>
      <c r="F28" s="14">
        <v>0.0</v>
      </c>
      <c r="G28" s="14">
        <v>10.0</v>
      </c>
      <c r="H28" s="14">
        <v>8.0</v>
      </c>
      <c r="I28" s="46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1)"),0.702)</f>
        <v>0.702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1648</v>
      </c>
      <c r="B29" s="14" t="s">
        <v>931</v>
      </c>
      <c r="C29" s="14">
        <v>7.0</v>
      </c>
      <c r="D29" s="14" t="s">
        <v>1620</v>
      </c>
      <c r="E29" s="14" t="s">
        <v>164</v>
      </c>
      <c r="F29" s="14">
        <v>7.0</v>
      </c>
      <c r="G29" s="14">
        <v>20.0</v>
      </c>
      <c r="H29" s="14">
        <v>15.0</v>
      </c>
      <c r="I29" s="46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1)"),0.228)</f>
        <v>0.228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1649</v>
      </c>
      <c r="B30" s="14" t="s">
        <v>931</v>
      </c>
      <c r="C30" s="14">
        <v>0.0</v>
      </c>
      <c r="D30" s="14" t="s">
        <v>1620</v>
      </c>
      <c r="E30" s="14" t="s">
        <v>164</v>
      </c>
      <c r="F30" s="14">
        <v>0.0</v>
      </c>
      <c r="G30" s="14">
        <v>4.0</v>
      </c>
      <c r="H30" s="14">
        <v>2.0</v>
      </c>
      <c r="I30" s="46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1)"),0.14)</f>
        <v>0.14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1650</v>
      </c>
      <c r="B31" s="14" t="s">
        <v>931</v>
      </c>
      <c r="C31" s="14">
        <v>2.0</v>
      </c>
      <c r="D31" s="14" t="s">
        <v>1620</v>
      </c>
      <c r="E31" s="14" t="s">
        <v>164</v>
      </c>
      <c r="F31" s="14">
        <v>2.0</v>
      </c>
      <c r="G31" s="14">
        <v>6.0</v>
      </c>
      <c r="H31" s="14">
        <v>5.0</v>
      </c>
      <c r="I31" s="46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1)"),0.053)</f>
        <v>0.053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1651</v>
      </c>
      <c r="B32" s="14" t="s">
        <v>285</v>
      </c>
      <c r="C32" s="14">
        <v>13.0</v>
      </c>
      <c r="D32" s="14" t="s">
        <v>1620</v>
      </c>
      <c r="E32" s="14" t="s">
        <v>108</v>
      </c>
      <c r="F32" s="14">
        <v>1.0</v>
      </c>
      <c r="G32" s="14">
        <v>16.0</v>
      </c>
      <c r="H32" s="14">
        <v>7.0</v>
      </c>
      <c r="I32" s="46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1)"),0.849)</f>
        <v>0.849</v>
      </c>
      <c r="Z32" s="20">
        <f>IFERROR(__xludf.DUMMYFUNCTION("iferror(PERCENTRANK.INC(FILTER($V$2:$V$425, $T$2:$T$425&lt;4.5), $V32), 1)"),0.789)</f>
        <v>0.789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1652</v>
      </c>
      <c r="B33" s="14" t="s">
        <v>577</v>
      </c>
      <c r="C33" s="14">
        <v>7.0</v>
      </c>
      <c r="D33" s="14" t="s">
        <v>1620</v>
      </c>
      <c r="E33" s="14" t="s">
        <v>120</v>
      </c>
      <c r="F33" s="14">
        <v>2.0</v>
      </c>
      <c r="G33" s="14">
        <v>9.0</v>
      </c>
      <c r="H33" s="14">
        <v>5.0</v>
      </c>
      <c r="I33" s="46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1653</v>
      </c>
      <c r="B34" s="14" t="s">
        <v>856</v>
      </c>
      <c r="C34" s="14">
        <v>0.0</v>
      </c>
      <c r="D34" s="14" t="s">
        <v>1620</v>
      </c>
      <c r="E34" s="14" t="s">
        <v>179</v>
      </c>
      <c r="F34" s="14">
        <v>6.0</v>
      </c>
      <c r="G34" s="14">
        <v>30.0</v>
      </c>
      <c r="H34" s="14">
        <v>21.0</v>
      </c>
      <c r="I34" s="46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1)"),0.83)</f>
        <v>0.83</v>
      </c>
      <c r="Z34" s="20">
        <f>IFERROR(__xludf.DUMMYFUNCTION("iferror(PERCENTRANK.INC(FILTER($V$2:$V$425, $T$2:$T$425&lt;4.5), $V34), 1)"),0.772)</f>
        <v>0.772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1654</v>
      </c>
      <c r="B35" s="14" t="s">
        <v>856</v>
      </c>
      <c r="C35" s="14">
        <v>10.0</v>
      </c>
      <c r="D35" s="14" t="s">
        <v>1620</v>
      </c>
      <c r="E35" s="14" t="s">
        <v>179</v>
      </c>
      <c r="F35" s="14">
        <v>2.0</v>
      </c>
      <c r="G35" s="14">
        <v>8.0</v>
      </c>
      <c r="H35" s="14">
        <v>5.0</v>
      </c>
      <c r="I35" s="46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1)"),0.526)</f>
        <v>0.526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1655</v>
      </c>
      <c r="B36" s="14" t="s">
        <v>311</v>
      </c>
      <c r="C36" s="14">
        <v>13.0</v>
      </c>
      <c r="D36" s="14" t="s">
        <v>1620</v>
      </c>
      <c r="E36" s="14" t="s">
        <v>164</v>
      </c>
      <c r="F36" s="14">
        <v>4.0</v>
      </c>
      <c r="G36" s="14">
        <v>14.0</v>
      </c>
      <c r="H36" s="14">
        <v>10.0</v>
      </c>
      <c r="I36" s="46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1)"),0.684)</f>
        <v>0.684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1656</v>
      </c>
      <c r="B37" s="14" t="s">
        <v>311</v>
      </c>
      <c r="C37" s="14">
        <v>33.0</v>
      </c>
      <c r="D37" s="14" t="s">
        <v>1620</v>
      </c>
      <c r="E37" s="14" t="s">
        <v>164</v>
      </c>
      <c r="F37" s="14">
        <v>5.0</v>
      </c>
      <c r="G37" s="14">
        <v>26.0</v>
      </c>
      <c r="H37" s="14">
        <v>18.0</v>
      </c>
      <c r="I37" s="46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1)"),0.667)</f>
        <v>0.667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1657</v>
      </c>
      <c r="B38" s="14" t="s">
        <v>311</v>
      </c>
      <c r="C38" s="14">
        <v>7.0</v>
      </c>
      <c r="D38" s="14" t="s">
        <v>1620</v>
      </c>
      <c r="E38" s="14" t="s">
        <v>164</v>
      </c>
      <c r="F38" s="14">
        <v>3.0</v>
      </c>
      <c r="G38" s="14">
        <v>5.0</v>
      </c>
      <c r="H38" s="14">
        <v>3.0</v>
      </c>
      <c r="I38" s="46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1)"),0.123)</f>
        <v>0.123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1658</v>
      </c>
      <c r="B39" s="14" t="s">
        <v>345</v>
      </c>
      <c r="C39" s="14">
        <v>39.0</v>
      </c>
      <c r="D39" s="14" t="s">
        <v>1620</v>
      </c>
      <c r="E39" s="14" t="s">
        <v>120</v>
      </c>
      <c r="F39" s="14">
        <v>0.0</v>
      </c>
      <c r="G39" s="14">
        <v>8.0</v>
      </c>
      <c r="H39" s="14">
        <v>6.0</v>
      </c>
      <c r="I39" s="46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1)"),0.368)</f>
        <v>0.368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1659</v>
      </c>
      <c r="B40" s="14" t="s">
        <v>345</v>
      </c>
      <c r="C40" s="14">
        <v>18.0</v>
      </c>
      <c r="D40" s="14" t="s">
        <v>1620</v>
      </c>
      <c r="E40" s="14" t="s">
        <v>120</v>
      </c>
      <c r="F40" s="14">
        <v>1.0</v>
      </c>
      <c r="G40" s="14">
        <v>11.0</v>
      </c>
      <c r="H40" s="14">
        <v>8.0</v>
      </c>
      <c r="I40" s="46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1)"),0.211)</f>
        <v>0.211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1660</v>
      </c>
      <c r="B41" s="14" t="s">
        <v>349</v>
      </c>
      <c r="C41" s="14">
        <v>14.0</v>
      </c>
      <c r="D41" s="14" t="s">
        <v>1620</v>
      </c>
      <c r="E41" s="14" t="s">
        <v>164</v>
      </c>
      <c r="F41" s="14">
        <v>22.0</v>
      </c>
      <c r="G41" s="14">
        <v>28.0</v>
      </c>
      <c r="H41" s="14">
        <v>19.0</v>
      </c>
      <c r="I41" s="46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1)"),0.868)</f>
        <v>0.868</v>
      </c>
      <c r="Z41" s="20">
        <f>IFERROR(__xludf.DUMMYFUNCTION("iferror(PERCENTRANK.INC(FILTER($V$2:$V$425, $T$2:$T$425&lt;4.5), $V41), 1)"),0.807)</f>
        <v>0.807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1661</v>
      </c>
      <c r="B42" s="14" t="s">
        <v>349</v>
      </c>
      <c r="C42" s="14">
        <v>3.0</v>
      </c>
      <c r="D42" s="14" t="s">
        <v>1620</v>
      </c>
      <c r="E42" s="14" t="s">
        <v>164</v>
      </c>
      <c r="F42" s="14">
        <v>1.0</v>
      </c>
      <c r="G42" s="14">
        <v>25.0</v>
      </c>
      <c r="H42" s="14">
        <v>21.0</v>
      </c>
      <c r="I42" s="46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1)"),0.561)</f>
        <v>0.561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1662</v>
      </c>
      <c r="B43" s="14" t="s">
        <v>349</v>
      </c>
      <c r="C43" s="14">
        <v>7.0</v>
      </c>
      <c r="D43" s="14" t="s">
        <v>1620</v>
      </c>
      <c r="E43" s="14" t="s">
        <v>164</v>
      </c>
      <c r="F43" s="14">
        <v>0.0</v>
      </c>
      <c r="G43" s="14">
        <v>10.0</v>
      </c>
      <c r="H43" s="14">
        <v>6.0</v>
      </c>
      <c r="I43" s="46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1)"),0.193)</f>
        <v>0.193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1663</v>
      </c>
      <c r="B44" s="17" t="s">
        <v>1664</v>
      </c>
      <c r="C44" s="18">
        <v>9.0</v>
      </c>
      <c r="D44" s="17" t="s">
        <v>1620</v>
      </c>
      <c r="E44" s="17" t="s">
        <v>179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7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1)"),0.175)</f>
        <v>0.175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1665</v>
      </c>
      <c r="B45" s="14" t="s">
        <v>443</v>
      </c>
      <c r="C45" s="14">
        <v>16.0</v>
      </c>
      <c r="D45" s="14" t="s">
        <v>1620</v>
      </c>
      <c r="E45" s="14" t="s">
        <v>130</v>
      </c>
      <c r="F45" s="14">
        <v>2.0</v>
      </c>
      <c r="G45" s="14">
        <v>11.0</v>
      </c>
      <c r="H45" s="14">
        <v>6.0</v>
      </c>
      <c r="I45" s="46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1)"),0.421)</f>
        <v>0.421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1666</v>
      </c>
      <c r="B46" s="14" t="s">
        <v>443</v>
      </c>
      <c r="C46" s="14">
        <v>12.0</v>
      </c>
      <c r="D46" s="14" t="s">
        <v>1620</v>
      </c>
      <c r="E46" s="14" t="s">
        <v>130</v>
      </c>
      <c r="F46" s="14">
        <v>3.0</v>
      </c>
      <c r="G46" s="14">
        <v>12.0</v>
      </c>
      <c r="H46" s="14">
        <v>7.0</v>
      </c>
      <c r="I46" s="46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1)"),0.298)</f>
        <v>0.298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1667</v>
      </c>
      <c r="B47" s="14" t="s">
        <v>307</v>
      </c>
      <c r="C47" s="14">
        <v>21.0</v>
      </c>
      <c r="D47" s="14" t="s">
        <v>1620</v>
      </c>
      <c r="E47" s="14" t="s">
        <v>164</v>
      </c>
      <c r="F47" s="14">
        <v>2.0</v>
      </c>
      <c r="G47" s="14">
        <v>24.0</v>
      </c>
      <c r="H47" s="14">
        <v>18.0</v>
      </c>
      <c r="I47" s="46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1)"),0.088)</f>
        <v>0.088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1668</v>
      </c>
      <c r="B48" s="14" t="s">
        <v>218</v>
      </c>
      <c r="C48" s="14">
        <v>9.0</v>
      </c>
      <c r="D48" s="14" t="s">
        <v>1620</v>
      </c>
      <c r="E48" s="14" t="s">
        <v>219</v>
      </c>
      <c r="F48" s="14">
        <v>1.0</v>
      </c>
      <c r="G48" s="14">
        <v>20.0</v>
      </c>
      <c r="H48" s="14">
        <v>13.0</v>
      </c>
      <c r="I48" s="46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1)"),0.842)</f>
        <v>0.842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1669</v>
      </c>
      <c r="B49" s="14" t="s">
        <v>218</v>
      </c>
      <c r="C49" s="14">
        <v>8.0</v>
      </c>
      <c r="D49" s="14" t="s">
        <v>1620</v>
      </c>
      <c r="E49" s="14" t="s">
        <v>219</v>
      </c>
      <c r="F49" s="14">
        <v>4.0</v>
      </c>
      <c r="G49" s="14">
        <v>23.0</v>
      </c>
      <c r="H49" s="14">
        <v>15.0</v>
      </c>
      <c r="I49" s="46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1)"),0.811)</f>
        <v>0.811</v>
      </c>
      <c r="Z49" s="20">
        <f>IFERROR(__xludf.DUMMYFUNCTION("iferror(PERCENTRANK.INC(FILTER($V$2:$V$425, $T$2:$T$425&lt;4.5), $V49), 1)"),0.754)</f>
        <v>0.754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1670</v>
      </c>
      <c r="B50" s="14" t="s">
        <v>218</v>
      </c>
      <c r="C50" s="14">
        <v>28.0</v>
      </c>
      <c r="D50" s="14" t="s">
        <v>1620</v>
      </c>
      <c r="E50" s="14" t="s">
        <v>219</v>
      </c>
      <c r="F50" s="14">
        <v>6.0</v>
      </c>
      <c r="G50" s="14">
        <v>12.0</v>
      </c>
      <c r="H50" s="14">
        <v>4.0</v>
      </c>
      <c r="I50" s="46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1)"),0.719)</f>
        <v>0.719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1671</v>
      </c>
      <c r="B51" s="14" t="s">
        <v>369</v>
      </c>
      <c r="C51" s="14">
        <v>0.0</v>
      </c>
      <c r="D51" s="14" t="s">
        <v>1620</v>
      </c>
      <c r="E51" s="14" t="s">
        <v>130</v>
      </c>
      <c r="F51" s="14">
        <v>6.0</v>
      </c>
      <c r="G51" s="14">
        <v>21.0</v>
      </c>
      <c r="H51" s="14">
        <v>15.0</v>
      </c>
      <c r="I51" s="46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1)"),0.596)</f>
        <v>0.596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1672</v>
      </c>
      <c r="B52" s="14" t="s">
        <v>369</v>
      </c>
      <c r="C52" s="14">
        <v>19.0</v>
      </c>
      <c r="D52" s="14" t="s">
        <v>1620</v>
      </c>
      <c r="E52" s="14" t="s">
        <v>130</v>
      </c>
      <c r="F52" s="14">
        <v>13.0</v>
      </c>
      <c r="G52" s="14">
        <v>17.0</v>
      </c>
      <c r="H52" s="14">
        <v>9.0</v>
      </c>
      <c r="I52" s="46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1)"),0.351)</f>
        <v>0.351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1673</v>
      </c>
      <c r="B53" s="14" t="s">
        <v>265</v>
      </c>
      <c r="C53" s="14">
        <v>22.0</v>
      </c>
      <c r="D53" s="14" t="s">
        <v>1620</v>
      </c>
      <c r="E53" s="14" t="s">
        <v>108</v>
      </c>
      <c r="F53" s="14">
        <v>5.0</v>
      </c>
      <c r="G53" s="14">
        <v>16.0</v>
      </c>
      <c r="H53" s="14">
        <v>9.0</v>
      </c>
      <c r="I53" s="46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1)"),0.544)</f>
        <v>0.544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1674</v>
      </c>
      <c r="B54" s="14" t="s">
        <v>265</v>
      </c>
      <c r="C54" s="14">
        <v>7.0</v>
      </c>
      <c r="D54" s="14" t="s">
        <v>1620</v>
      </c>
      <c r="E54" s="14" t="s">
        <v>108</v>
      </c>
      <c r="F54" s="14">
        <v>2.0</v>
      </c>
      <c r="G54" s="14">
        <v>24.0</v>
      </c>
      <c r="H54" s="14">
        <v>20.0</v>
      </c>
      <c r="I54" s="46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1)"),0.456)</f>
        <v>0.456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1675</v>
      </c>
      <c r="B55" s="14" t="s">
        <v>265</v>
      </c>
      <c r="C55" s="14">
        <v>10.0</v>
      </c>
      <c r="D55" s="14" t="s">
        <v>1620</v>
      </c>
      <c r="E55" s="14" t="s">
        <v>108</v>
      </c>
      <c r="F55" s="14">
        <v>2.0</v>
      </c>
      <c r="G55" s="14">
        <v>4.0</v>
      </c>
      <c r="H55" s="14">
        <v>1.0</v>
      </c>
      <c r="I55" s="46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1)"),0.158)</f>
        <v>0.158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1676</v>
      </c>
      <c r="B56" s="14" t="s">
        <v>449</v>
      </c>
      <c r="C56" s="14">
        <v>8.0</v>
      </c>
      <c r="D56" s="14" t="s">
        <v>1620</v>
      </c>
      <c r="E56" s="14" t="s">
        <v>102</v>
      </c>
      <c r="F56" s="14">
        <v>0.0</v>
      </c>
      <c r="G56" s="14">
        <v>19.0</v>
      </c>
      <c r="H56" s="14">
        <v>14.0</v>
      </c>
      <c r="I56" s="46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1)"),0.579)</f>
        <v>0.579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1677</v>
      </c>
      <c r="B57" s="14" t="s">
        <v>419</v>
      </c>
      <c r="C57" s="14">
        <v>21.0</v>
      </c>
      <c r="D57" s="14" t="s">
        <v>1620</v>
      </c>
      <c r="E57" s="14" t="s">
        <v>164</v>
      </c>
      <c r="F57" s="14">
        <v>11.0</v>
      </c>
      <c r="G57" s="14">
        <v>27.0</v>
      </c>
      <c r="H57" s="14">
        <v>18.0</v>
      </c>
      <c r="I57" s="46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U57" s="14">
        <f t="array" ref="U57">XLOOKUP(E57, 'Conference Match'!$A$2:$A$25, 'Conference Match'!$C$2:$C$25)</f>
        <v>1</v>
      </c>
      <c r="V57" s="20">
        <f t="shared" si="1"/>
        <v>0.2987994</v>
      </c>
      <c r="W57" s="20">
        <f t="shared" si="2"/>
        <v>3.724438997</v>
      </c>
      <c r="Y57" s="20">
        <f>IFERROR(__xludf.DUMMYFUNCTION("iferror(PERCENTRANK.INC(FILTER($V$2:$V$425, $T$2:$T$425&lt;3.75), $V57), 1)"),0.792)</f>
        <v>0.792</v>
      </c>
      <c r="Z57" s="20">
        <f>IFERROR(__xludf.DUMMYFUNCTION("iferror(PERCENTRANK.INC(FILTER($V$2:$V$425, $T$2:$T$425&lt;4.5), $V57), 1)"),0.737)</f>
        <v>0.737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1678</v>
      </c>
      <c r="B58" s="14" t="s">
        <v>239</v>
      </c>
      <c r="C58" s="14">
        <v>12.0</v>
      </c>
      <c r="D58" s="14" t="s">
        <v>1620</v>
      </c>
      <c r="E58" s="14" t="s">
        <v>164</v>
      </c>
      <c r="F58" s="14">
        <v>2.0</v>
      </c>
      <c r="G58" s="14">
        <v>34.0</v>
      </c>
      <c r="H58" s="14">
        <v>22.0</v>
      </c>
      <c r="I58" s="46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1)"),0.825)</f>
        <v>0.825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1679</v>
      </c>
      <c r="B59" s="14" t="s">
        <v>239</v>
      </c>
      <c r="C59" s="14">
        <v>18.0</v>
      </c>
      <c r="D59" s="14" t="s">
        <v>1620</v>
      </c>
      <c r="E59" s="14" t="s">
        <v>164</v>
      </c>
      <c r="F59" s="14">
        <v>0.0</v>
      </c>
      <c r="G59" s="14">
        <v>6.0</v>
      </c>
      <c r="H59" s="14">
        <v>5.0</v>
      </c>
      <c r="I59" s="46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1)"),0.053)</f>
        <v>0.053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1680</v>
      </c>
      <c r="B60" s="14" t="s">
        <v>529</v>
      </c>
      <c r="C60" s="14">
        <v>4.0</v>
      </c>
      <c r="D60" s="14" t="s">
        <v>1620</v>
      </c>
      <c r="E60" s="14" t="s">
        <v>125</v>
      </c>
      <c r="F60" s="14">
        <v>0.0</v>
      </c>
      <c r="G60" s="14">
        <v>10.0</v>
      </c>
      <c r="H60" s="14">
        <v>4.0</v>
      </c>
      <c r="I60" s="46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1)"),0.404)</f>
        <v>0.404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1681</v>
      </c>
      <c r="B61" s="14" t="s">
        <v>529</v>
      </c>
      <c r="C61" s="14">
        <v>23.0</v>
      </c>
      <c r="D61" s="14" t="s">
        <v>1620</v>
      </c>
      <c r="E61" s="14" t="s">
        <v>125</v>
      </c>
      <c r="F61" s="14">
        <v>1.0</v>
      </c>
      <c r="G61" s="14">
        <v>21.0</v>
      </c>
      <c r="H61" s="14">
        <v>12.0</v>
      </c>
      <c r="I61" s="46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1)"),0.386)</f>
        <v>0.386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1682</v>
      </c>
      <c r="B62" s="14" t="s">
        <v>529</v>
      </c>
      <c r="C62" s="14">
        <v>25.0</v>
      </c>
      <c r="D62" s="14" t="s">
        <v>1620</v>
      </c>
      <c r="E62" s="14" t="s">
        <v>125</v>
      </c>
      <c r="F62" s="14">
        <v>0.0</v>
      </c>
      <c r="G62" s="14">
        <v>6.0</v>
      </c>
      <c r="H62" s="14">
        <v>2.0</v>
      </c>
      <c r="I62" s="46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1)"),0.018)</f>
        <v>0.018</v>
      </c>
      <c r="AA62" s="20">
        <f>IFERROR(__xludf.DUMMYFUNCTION("iferror(PERCENTRANK.INC(FILTER($V$2:$V$425, $T$2:$T$425&gt;4.1), $V62), 0.01)"),0.01)</f>
        <v>0.01</v>
      </c>
    </row>
    <row r="63" ht="14.25" customHeight="1">
      <c r="Q63" s="15"/>
      <c r="R63" s="20"/>
      <c r="V63" s="20"/>
      <c r="W63" s="20"/>
      <c r="Y63" s="20">
        <f>IFERROR(__xludf.DUMMYFUNCTION("iferror(PERCENTRANK.INC(FILTER($V$2:$V$425, $T$2:$T$425&lt;3.75), $V63), 1)"),1.0)</f>
        <v>1</v>
      </c>
      <c r="Z63" s="20">
        <f>IFERROR(__xludf.DUMMYFUNCTION("iferror(PERCENTRANK.INC(FILTER($V$2:$V$425, $T$2:$T$425&lt;4.5), $V63), 1)"),1.0)</f>
        <v>1</v>
      </c>
      <c r="AA63" s="20">
        <f>IFERROR(__xludf.DUMMYFUNCTION("iferror(PERCENTRANK.INC(FILTER($V$2:$V$425, $T$2:$T$425&gt;4.1), $V63), 0.01)"),0.01)</f>
        <v>0.01</v>
      </c>
    </row>
    <row r="64" ht="14.25" customHeight="1">
      <c r="I64" s="46"/>
      <c r="O64" s="20"/>
      <c r="P64" s="20"/>
      <c r="Q64" s="15"/>
      <c r="R64" s="20"/>
      <c r="V64" s="20"/>
      <c r="W64" s="20"/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1)"),1.0)</f>
        <v>1</v>
      </c>
      <c r="AA64" s="20">
        <f>IFERROR(__xludf.DUMMYFUNCTION("iferror(PERCENTRANK.INC(FILTER($V$2:$V$425, $T$2:$T$425&gt;4.1), $V64), 0.01)"),0.01)</f>
        <v>0.01</v>
      </c>
    </row>
    <row r="65" ht="14.25" customHeight="1">
      <c r="I65" s="46"/>
      <c r="O65" s="20"/>
      <c r="P65" s="20"/>
      <c r="Q65" s="15"/>
      <c r="R65" s="20"/>
      <c r="V65" s="20"/>
      <c r="W65" s="20"/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1)"),1.0)</f>
        <v>1</v>
      </c>
      <c r="AA65" s="20">
        <f>IFERROR(__xludf.DUMMYFUNCTION("iferror(PERCENTRANK.INC(FILTER($V$2:$V$425, $T$2:$T$425&gt;4.1), $V65), 0.01)"),0.01)</f>
        <v>0.01</v>
      </c>
    </row>
    <row r="66" ht="14.25" customHeight="1">
      <c r="I66" s="46"/>
      <c r="O66" s="20"/>
      <c r="P66" s="20"/>
      <c r="Q66" s="15"/>
      <c r="R66" s="20"/>
      <c r="V66" s="20"/>
      <c r="W66" s="20"/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1)"),1.0)</f>
        <v>1</v>
      </c>
      <c r="AA66" s="20">
        <f>IFERROR(__xludf.DUMMYFUNCTION("iferror(PERCENTRANK.INC(FILTER($V$2:$V$425, $T$2:$T$425&gt;4.1), $V66), 0.01)"),0.01)</f>
        <v>0.01</v>
      </c>
    </row>
    <row r="67" ht="14.25" customHeight="1">
      <c r="I67" s="46"/>
      <c r="O67" s="20"/>
      <c r="P67" s="20"/>
      <c r="Q67" s="15"/>
      <c r="R67" s="20"/>
      <c r="V67" s="20"/>
      <c r="W67" s="20"/>
      <c r="Y67" s="20">
        <f>IFERROR(__xludf.DUMMYFUNCTION("iferror(PERCENTRANK.INC(FILTER($V$2:$V$425, $T$2:$T$425&lt;3.75), $V67), 1)"),1.0)</f>
        <v>1</v>
      </c>
      <c r="Z67" s="20">
        <f>IFERROR(__xludf.DUMMYFUNCTION("iferror(PERCENTRANK.INC(FILTER($V$2:$V$425, $T$2:$T$425&lt;4.5), $V67), 1)"),1.0)</f>
        <v>1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46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46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46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46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46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46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46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47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46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46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46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46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46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46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46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46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46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46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46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46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46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1216</v>
      </c>
      <c r="B1" s="14" t="s">
        <v>1683</v>
      </c>
      <c r="C1" s="14" t="s">
        <v>1684</v>
      </c>
    </row>
    <row r="2" ht="14.25" customHeight="1">
      <c r="A2" s="14" t="s">
        <v>125</v>
      </c>
      <c r="B2" s="14" t="s">
        <v>1685</v>
      </c>
      <c r="C2" s="14">
        <v>0.95</v>
      </c>
    </row>
    <row r="3" ht="14.25" customHeight="1">
      <c r="A3" s="14" t="s">
        <v>149</v>
      </c>
      <c r="B3" s="14" t="s">
        <v>1685</v>
      </c>
      <c r="C3" s="14">
        <v>0.95</v>
      </c>
    </row>
    <row r="4" ht="14.25" customHeight="1">
      <c r="A4" s="14" t="s">
        <v>108</v>
      </c>
      <c r="B4" s="14" t="s">
        <v>1685</v>
      </c>
      <c r="C4" s="14">
        <v>0.95</v>
      </c>
    </row>
    <row r="5" ht="14.25" customHeight="1">
      <c r="A5" s="14" t="s">
        <v>152</v>
      </c>
      <c r="B5" s="14" t="s">
        <v>1685</v>
      </c>
      <c r="C5" s="14">
        <v>0.95</v>
      </c>
    </row>
    <row r="6" ht="14.25" customHeight="1">
      <c r="A6" s="14" t="s">
        <v>120</v>
      </c>
      <c r="B6" s="14" t="s">
        <v>1685</v>
      </c>
      <c r="C6" s="14">
        <v>0.95</v>
      </c>
    </row>
    <row r="7" ht="14.25" customHeight="1">
      <c r="A7" s="14" t="s">
        <v>508</v>
      </c>
      <c r="B7" s="14" t="s">
        <v>1685</v>
      </c>
      <c r="C7" s="14">
        <v>0.95</v>
      </c>
    </row>
    <row r="8" ht="14.25" customHeight="1">
      <c r="A8" s="14" t="s">
        <v>169</v>
      </c>
      <c r="B8" s="14" t="s">
        <v>1686</v>
      </c>
      <c r="C8" s="14">
        <v>0.9</v>
      </c>
    </row>
    <row r="9" ht="14.25" customHeight="1">
      <c r="A9" s="14" t="s">
        <v>176</v>
      </c>
      <c r="B9" s="14" t="s">
        <v>1686</v>
      </c>
      <c r="C9" s="14">
        <v>0.9</v>
      </c>
    </row>
    <row r="10" ht="14.25" customHeight="1">
      <c r="A10" s="14" t="s">
        <v>105</v>
      </c>
      <c r="B10" s="14" t="s">
        <v>1686</v>
      </c>
      <c r="C10" s="14">
        <v>0.9</v>
      </c>
    </row>
    <row r="11" ht="14.25" customHeight="1">
      <c r="A11" s="14" t="s">
        <v>188</v>
      </c>
      <c r="B11" s="14" t="s">
        <v>1686</v>
      </c>
      <c r="C11" s="14">
        <v>0.9</v>
      </c>
    </row>
    <row r="12" ht="14.25" customHeight="1">
      <c r="A12" s="14" t="s">
        <v>117</v>
      </c>
      <c r="B12" s="14" t="s">
        <v>1686</v>
      </c>
      <c r="C12" s="14">
        <v>0.9</v>
      </c>
    </row>
    <row r="13" ht="14.25" customHeight="1">
      <c r="A13" s="14" t="s">
        <v>146</v>
      </c>
      <c r="B13" s="14" t="s">
        <v>1686</v>
      </c>
      <c r="C13" s="14">
        <v>0.9</v>
      </c>
    </row>
    <row r="14" ht="14.25" customHeight="1">
      <c r="A14" s="14" t="s">
        <v>157</v>
      </c>
      <c r="B14" s="14" t="s">
        <v>1686</v>
      </c>
      <c r="C14" s="14">
        <v>0.9</v>
      </c>
    </row>
    <row r="15" ht="14.25" customHeight="1">
      <c r="A15" s="14" t="s">
        <v>111</v>
      </c>
      <c r="B15" s="14" t="s">
        <v>1686</v>
      </c>
      <c r="C15" s="14">
        <v>0.9</v>
      </c>
    </row>
    <row r="16" ht="14.25" customHeight="1">
      <c r="A16" s="14" t="s">
        <v>135</v>
      </c>
      <c r="B16" s="14" t="s">
        <v>1686</v>
      </c>
      <c r="C16" s="14">
        <v>0.9</v>
      </c>
    </row>
    <row r="17" ht="14.25" customHeight="1">
      <c r="A17" s="14" t="s">
        <v>100</v>
      </c>
      <c r="B17" s="14" t="s">
        <v>1686</v>
      </c>
      <c r="C17" s="14">
        <v>0.9</v>
      </c>
    </row>
    <row r="18" ht="14.25" customHeight="1">
      <c r="A18" s="14" t="s">
        <v>141</v>
      </c>
      <c r="B18" s="14" t="s">
        <v>1686</v>
      </c>
      <c r="C18" s="14">
        <v>0.9</v>
      </c>
    </row>
    <row r="19" ht="14.25" customHeight="1">
      <c r="A19" s="14" t="s">
        <v>209</v>
      </c>
      <c r="B19" s="14" t="s">
        <v>1686</v>
      </c>
      <c r="C19" s="14">
        <v>0.9</v>
      </c>
    </row>
    <row r="20" ht="14.25" customHeight="1">
      <c r="A20" s="14" t="s">
        <v>138</v>
      </c>
      <c r="B20" s="14" t="s">
        <v>1686</v>
      </c>
      <c r="C20" s="14">
        <v>0.9</v>
      </c>
    </row>
    <row r="21" ht="14.25" customHeight="1">
      <c r="A21" s="14" t="s">
        <v>219</v>
      </c>
      <c r="B21" s="14" t="s">
        <v>1687</v>
      </c>
      <c r="C21" s="14">
        <v>1.0</v>
      </c>
    </row>
    <row r="22" ht="14.25" customHeight="1">
      <c r="A22" s="14" t="s">
        <v>130</v>
      </c>
      <c r="B22" s="14" t="s">
        <v>1687</v>
      </c>
      <c r="C22" s="14">
        <v>1.0</v>
      </c>
    </row>
    <row r="23" ht="14.25" customHeight="1">
      <c r="A23" s="14" t="s">
        <v>102</v>
      </c>
      <c r="B23" s="14" t="s">
        <v>1687</v>
      </c>
      <c r="C23" s="14">
        <v>1.0</v>
      </c>
    </row>
    <row r="24" ht="14.25" customHeight="1">
      <c r="A24" s="14" t="s">
        <v>164</v>
      </c>
      <c r="B24" s="14" t="s">
        <v>1687</v>
      </c>
      <c r="C24" s="14">
        <v>1.0</v>
      </c>
    </row>
    <row r="25" ht="14.25" customHeight="1">
      <c r="A25" s="14" t="s">
        <v>179</v>
      </c>
      <c r="B25" s="14" t="s">
        <v>1687</v>
      </c>
      <c r="C25" s="14">
        <v>1.0</v>
      </c>
    </row>
    <row r="26" ht="14.25" customHeight="1">
      <c r="A26" s="16" t="s">
        <v>114</v>
      </c>
      <c r="B26" s="16" t="s">
        <v>1688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