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Sheet'!$A$1:$Z$259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v+CwVZiweoz9lpAxIHN/QIkVMTStO/2tUyJCGoTAWms="/>
    </ext>
  </extLst>
</workbook>
</file>

<file path=xl/sharedStrings.xml><?xml version="1.0" encoding="utf-8"?>
<sst xmlns="http://schemas.openxmlformats.org/spreadsheetml/2006/main" count="5209" uniqueCount="1679">
  <si>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</si>
  <si>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</si>
  <si>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</si>
  <si>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</si>
  <si>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</si>
  <si>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</si>
  <si>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</si>
  <si>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</si>
  <si>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</si>
  <si>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</si>
  <si>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</si>
  <si>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</si>
  <si>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</si>
  <si>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</si>
  <si>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</si>
  <si>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</si>
  <si>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</si>
  <si>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</si>
  <si>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</si>
  <si>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</si>
  <si>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</si>
  <si>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</si>
  <si>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</si>
  <si>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</si>
  <si>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</si>
  <si>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</si>
  <si>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</si>
  <si>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</si>
  <si>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</si>
  <si>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</si>
  <si>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</si>
  <si>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</si>
  <si>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</si>
  <si>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</si>
  <si>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</si>
  <si>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</si>
  <si>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</si>
  <si>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</si>
  <si>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</si>
  <si>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</si>
  <si>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</si>
  <si>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</si>
  <si>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</si>
  <si>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</si>
  <si>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</si>
  <si>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</si>
  <si>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</si>
  <si>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</si>
  <si>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</si>
  <si>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</si>
  <si>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</si>
  <si>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</si>
  <si>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</si>
  <si>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</si>
  <si>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</si>
  <si>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</si>
  <si>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</si>
  <si>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</si>
  <si>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</si>
  <si>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</si>
  <si>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</si>
  <si>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</si>
  <si>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</si>
  <si>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</si>
  <si>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</si>
  <si>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</si>
  <si>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</si>
  <si>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</si>
  <si>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</si>
  <si>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</si>
  <si>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</si>
  <si>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</si>
  <si>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</si>
  <si>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</si>
  <si>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</si>
  <si>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</si>
  <si>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</si>
  <si>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</si>
  <si>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</si>
  <si>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</si>
  <si>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</si>
  <si>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</si>
  <si>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</si>
  <si>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</si>
  <si>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</si>
  <si>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</si>
  <si>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</si>
  <si>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</si>
  <si>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</si>
  <si>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</si>
  <si>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</si>
  <si>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</si>
  <si>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</si>
  <si>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</si>
  <si>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</si>
  <si>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</si>
  <si>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</si>
  <si>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</si>
  <si>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</si>
  <si>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</si>
  <si>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</si>
  <si>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</si>
  <si>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</si>
  <si>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</si>
  <si>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</si>
  <si>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</si>
  <si>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</si>
  <si>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</si>
  <si>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</si>
  <si>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</si>
  <si>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</si>
  <si>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</si>
  <si>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</si>
  <si>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</si>
  <si>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</si>
  <si>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</si>
  <si>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</si>
  <si>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</si>
  <si>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</si>
  <si>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</si>
  <si>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</si>
  <si>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</si>
  <si>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</si>
  <si>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</si>
  <si>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</si>
  <si>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</si>
  <si>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</si>
  <si>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</si>
  <si>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</si>
  <si>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</si>
  <si>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</si>
  <si>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</si>
  <si>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</si>
  <si>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</si>
  <si>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</si>
  <si>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</si>
  <si>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</si>
  <si>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</si>
  <si>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</si>
  <si>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</si>
  <si>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</si>
  <si>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</si>
  <si>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</si>
  <si>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</si>
  <si>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</si>
  <si>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</si>
  <si>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</si>
  <si>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</si>
  <si>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</si>
  <si>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</si>
  <si>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</si>
  <si>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</si>
  <si>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</si>
  <si>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</si>
  <si>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</si>
  <si>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</si>
  <si>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</si>
  <si>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</si>
  <si>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</si>
  <si>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</si>
  <si>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</si>
  <si>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</si>
  <si>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</si>
  <si>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</si>
  <si>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</si>
  <si>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</si>
  <si>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</si>
  <si>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</si>
  <si>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</si>
  <si>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</si>
  <si>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</si>
  <si>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</si>
  <si>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</si>
  <si>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</si>
  <si>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</si>
  <si>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</si>
  <si>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</si>
  <si>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</si>
  <si>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</si>
  <si>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</si>
  <si>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</si>
  <si>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</si>
  <si>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</si>
  <si>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</si>
  <si>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</si>
  <si>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</si>
  <si>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</si>
  <si>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</si>
  <si>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</si>
  <si>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</si>
  <si>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</si>
  <si>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</si>
  <si>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</si>
  <si>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</si>
  <si>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</si>
  <si>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</si>
  <si>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</si>
  <si>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</si>
  <si>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</si>
  <si>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</si>
  <si>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</si>
  <si>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</si>
  <si>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</si>
  <si>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</si>
  <si>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</si>
  <si>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</si>
  <si>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</si>
  <si>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</si>
  <si>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</si>
  <si>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</si>
  <si>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</si>
  <si>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</si>
  <si>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</si>
  <si>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</si>
  <si>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</si>
  <si>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</si>
  <si>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</si>
  <si>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</si>
  <si>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</si>
  <si>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</si>
  <si>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</si>
  <si>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</si>
  <si>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</si>
  <si>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</si>
  <si>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</si>
  <si>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</si>
  <si>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</si>
  <si>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</si>
  <si>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</si>
  <si>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</si>
  <si>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</si>
  <si>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</si>
  <si>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</si>
  <si>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</si>
  <si>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</si>
  <si>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</si>
  <si>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</si>
  <si>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</si>
  <si>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</si>
  <si>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</si>
  <si>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</si>
  <si>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</si>
  <si>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</si>
  <si>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</si>
  <si>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</si>
  <si>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</si>
  <si>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</si>
  <si>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</si>
  <si>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</si>
  <si>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</si>
  <si>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</si>
  <si>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</si>
  <si>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</si>
  <si>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</si>
  <si>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</si>
  <si>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</si>
  <si>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</si>
  <si>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</si>
  <si>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</si>
  <si>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</si>
  <si>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</si>
  <si>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</si>
  <si>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</si>
  <si>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</si>
  <si>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</si>
  <si>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</si>
  <si>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</si>
  <si>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</si>
  <si>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</si>
  <si>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</si>
  <si>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</si>
  <si>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</si>
  <si>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</si>
  <si>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</si>
  <si>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</si>
  <si>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</si>
  <si>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</si>
  <si>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</si>
  <si>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</si>
  <si>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</si>
  <si>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</si>
  <si>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</si>
  <si>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</si>
  <si>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</si>
  <si>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</si>
  <si>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</si>
  <si>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</si>
  <si>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</si>
  <si>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</si>
  <si>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</si>
  <si>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</si>
  <si>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</si>
  <si>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</si>
  <si>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</si>
  <si>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</si>
  <si>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</si>
  <si>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</si>
  <si>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</si>
  <si>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</si>
  <si>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</si>
  <si>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</si>
  <si>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</si>
  <si>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</si>
  <si>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</si>
  <si>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</si>
  <si>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</si>
  <si>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</si>
  <si>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</si>
  <si>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</si>
  <si>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</si>
  <si>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</si>
  <si>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</si>
  <si>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</si>
  <si>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</si>
  <si>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</si>
  <si>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</si>
  <si>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</si>
  <si>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</si>
  <si>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</si>
  <si>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</si>
  <si>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</si>
  <si>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</si>
  <si>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</si>
  <si>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</si>
  <si>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</si>
  <si>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</si>
  <si>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</si>
  <si>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</si>
  <si>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</si>
  <si>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</si>
  <si>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</si>
  <si>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</si>
  <si>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</si>
  <si>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</si>
  <si>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</si>
  <si>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</si>
  <si>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</si>
  <si>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</si>
  <si>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</si>
  <si>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</si>
  <si>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</si>
  <si>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</si>
  <si>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</si>
  <si>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</si>
  <si>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</si>
  <si>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</si>
  <si>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</si>
  <si>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</si>
  <si>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</si>
  <si>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</si>
  <si>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</si>
  <si>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</si>
  <si>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</si>
  <si>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</si>
  <si>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</si>
  <si>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</si>
  <si>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</si>
  <si>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</si>
  <si>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</si>
  <si>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</si>
  <si>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</si>
  <si>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</si>
  <si>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</si>
  <si>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</si>
  <si>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</si>
  <si>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</si>
  <si>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</si>
  <si>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</si>
  <si>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</si>
  <si>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</si>
  <si>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</si>
  <si>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</si>
  <si>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</si>
  <si>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</si>
  <si>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</si>
  <si>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</si>
  <si>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</si>
  <si>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</si>
  <si>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</si>
  <si>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</si>
  <si>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</si>
  <si>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</si>
  <si>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</si>
  <si>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</si>
  <si>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</si>
  <si>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</si>
  <si>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</si>
  <si>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</si>
  <si>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</si>
  <si>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</si>
  <si>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</si>
  <si>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</si>
  <si>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</si>
  <si>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</si>
  <si>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</si>
  <si>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</si>
  <si>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</si>
  <si>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</si>
  <si>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</si>
  <si>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</si>
  <si>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</si>
  <si>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</si>
  <si>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</si>
  <si>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</si>
  <si>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</si>
  <si>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</si>
  <si>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</si>
  <si>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</si>
  <si>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</si>
  <si>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</si>
  <si>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</si>
  <si>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</si>
  <si>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</si>
  <si>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</si>
  <si>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</si>
  <si>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</si>
  <si>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</si>
  <si>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</si>
  <si>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</si>
  <si>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</si>
  <si>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</si>
  <si>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</si>
  <si>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</si>
  <si>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</si>
  <si>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</si>
  <si>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</si>
  <si>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</si>
  <si>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</si>
  <si>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</si>
  <si>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</si>
  <si>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</si>
  <si>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</si>
  <si>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</si>
  <si>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</si>
  <si>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</si>
  <si>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</si>
  <si>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</si>
  <si>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</si>
  <si>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</si>
  <si>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</si>
  <si>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</si>
  <si>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</si>
  <si>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</si>
  <si>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</si>
  <si>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</si>
  <si>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</si>
  <si>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</si>
  <si>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</si>
  <si>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</si>
  <si>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</si>
  <si>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</si>
  <si>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</si>
  <si>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</si>
  <si>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</si>
  <si>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</si>
  <si>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</si>
  <si>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</si>
  <si>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</si>
  <si>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</si>
  <si>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</si>
  <si>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</si>
  <si>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</si>
  <si>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</si>
  <si>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</si>
  <si>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</si>
  <si>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</si>
  <si>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</si>
  <si>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</si>
  <si>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</si>
  <si>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</si>
  <si>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</si>
  <si>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</si>
  <si>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</si>
  <si>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</si>
  <si>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</si>
  <si>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</si>
  <si>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</si>
  <si>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</si>
  <si>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</si>
  <si>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</si>
  <si>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</si>
  <si>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</si>
  <si>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</si>
  <si>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</si>
  <si>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</si>
  <si>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</si>
  <si>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</si>
  <si>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</si>
  <si>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</si>
  <si>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</si>
  <si>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</si>
  <si>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</si>
  <si>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</si>
  <si>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</si>
  <si>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</si>
  <si>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</si>
  <si>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</si>
  <si>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</si>
  <si>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</si>
  <si>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</si>
  <si>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</si>
  <si>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</si>
  <si>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</si>
  <si>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</si>
  <si>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</si>
  <si>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</si>
  <si>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</si>
  <si>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</si>
  <si>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</si>
  <si>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</si>
  <si>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</si>
  <si>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</si>
  <si>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</si>
  <si>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</si>
  <si>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</si>
  <si>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</si>
  <si>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</si>
  <si>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</si>
  <si>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</si>
  <si>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</si>
  <si>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</si>
  <si>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</si>
  <si>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</si>
  <si>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</si>
  <si>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</si>
  <si>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</si>
  <si>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</si>
  <si>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</si>
  <si>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</si>
  <si>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</si>
  <si>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</si>
  <si>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</si>
  <si>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</si>
  <si>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</si>
  <si>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</si>
  <si>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</si>
  <si>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</si>
  <si>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</si>
  <si>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</si>
  <si>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</si>
  <si>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</si>
  <si>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</si>
  <si>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</si>
  <si>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</si>
  <si>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</si>
  <si>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</si>
  <si>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</si>
  <si>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</si>
  <si>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</si>
  <si>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</si>
  <si>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</si>
  <si>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</si>
  <si>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</si>
  <si>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</si>
  <si>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</si>
  <si>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</si>
  <si>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</si>
  <si>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</si>
  <si>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</si>
  <si>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</si>
  <si>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</si>
  <si>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</si>
  <si>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</si>
  <si>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</si>
  <si>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</si>
  <si>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</si>
  <si>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</si>
  <si>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</si>
  <si>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</si>
  <si>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</si>
  <si>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</si>
  <si>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</si>
  <si>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</si>
  <si>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</si>
  <si>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</si>
  <si>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</si>
  <si>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</si>
  <si>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</si>
  <si>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</si>
  <si>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</si>
  <si>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</si>
  <si>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</si>
  <si>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</si>
  <si>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</si>
  <si>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</si>
  <si>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</si>
  <si>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</si>
  <si>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</si>
  <si>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</si>
  <si>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</si>
  <si>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</si>
  <si>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</si>
  <si>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</si>
  <si>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</si>
  <si>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</si>
  <si>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</si>
  <si>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</si>
  <si>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</si>
  <si>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</si>
  <si>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</si>
  <si>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</si>
  <si>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</si>
  <si>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</si>
  <si>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</si>
  <si>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</si>
  <si>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</si>
  <si>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</si>
  <si>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</si>
  <si>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</si>
  <si>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</si>
  <si>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</si>
  <si>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</si>
  <si>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</si>
  <si>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</si>
  <si>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</si>
  <si>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</si>
  <si>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</si>
  <si>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</si>
  <si>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</si>
  <si>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</si>
  <si>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</si>
  <si>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</si>
  <si>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</si>
  <si>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</si>
  <si>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</si>
  <si>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</si>
  <si>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</si>
  <si>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</si>
  <si>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</si>
  <si>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</si>
  <si>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</si>
  <si>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</si>
  <si>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</si>
  <si>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</si>
  <si>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</si>
  <si>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</si>
  <si>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</si>
  <si>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</si>
  <si>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</si>
  <si>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</si>
  <si>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</si>
  <si>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</si>
  <si>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</si>
  <si>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</si>
  <si>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</si>
  <si>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</si>
  <si>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</si>
  <si>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</si>
  <si>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</si>
  <si>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</si>
  <si>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</si>
  <si>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</si>
  <si>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</si>
  <si>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</si>
  <si>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</si>
  <si>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</si>
  <si>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</si>
  <si>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</si>
  <si>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</si>
  <si>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</si>
  <si>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</si>
  <si>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</si>
  <si>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</si>
  <si>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</si>
  <si>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</si>
  <si>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</si>
  <si>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</si>
  <si>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</si>
  <si>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</si>
  <si>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</si>
  <si>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</si>
  <si>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</si>
  <si>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</si>
  <si>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</si>
  <si>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</si>
  <si>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</si>
  <si>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</si>
  <si>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</si>
  <si>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</si>
  <si>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</si>
  <si>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</si>
  <si>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</si>
  <si>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</si>
  <si>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</si>
  <si>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</si>
  <si>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</si>
  <si>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</si>
  <si>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</si>
  <si>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</si>
  <si>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</si>
  <si>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</si>
  <si>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</si>
  <si>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</si>
  <si>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</si>
  <si>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</si>
  <si>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</si>
  <si>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</si>
  <si>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</si>
  <si>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</si>
  <si>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</si>
  <si>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</si>
  <si>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</si>
  <si>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</si>
  <si>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</si>
  <si>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</si>
  <si>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</si>
  <si>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</si>
  <si>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</si>
  <si>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</si>
  <si>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</si>
  <si>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</si>
  <si>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</si>
  <si>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</si>
  <si>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</si>
  <si>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</si>
  <si>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</si>
  <si>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</si>
  <si>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</si>
  <si>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</si>
  <si>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</si>
  <si>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</si>
  <si>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</si>
  <si>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</si>
  <si>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</si>
  <si>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</si>
  <si>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</si>
  <si>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</si>
  <si>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</si>
  <si>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</si>
  <si>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</si>
  <si>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</si>
  <si>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</si>
  <si>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</si>
  <si>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</si>
  <si>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</si>
  <si>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</si>
  <si>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</si>
  <si>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</si>
  <si>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</si>
  <si>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</si>
  <si>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</si>
  <si>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</si>
  <si>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</si>
  <si>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</si>
  <si>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</si>
  <si>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</si>
  <si>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</si>
  <si>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</si>
  <si>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</si>
  <si>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</si>
  <si>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</si>
  <si>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</si>
  <si>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</si>
  <si>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</si>
  <si>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</si>
  <si>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</si>
  <si>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</si>
  <si>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</si>
  <si>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</si>
  <si>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</si>
  <si>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</si>
  <si>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</si>
  <si>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</si>
  <si>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</si>
  <si>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</si>
  <si>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</si>
  <si>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</si>
  <si>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</si>
  <si>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</si>
  <si>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</si>
  <si>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</si>
  <si>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</si>
  <si>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</si>
  <si>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</si>
  <si>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</si>
  <si>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</si>
  <si>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</si>
  <si>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</si>
  <si>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</si>
  <si>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</si>
  <si>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</si>
  <si>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</si>
  <si>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</si>
  <si>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</si>
  <si>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</si>
  <si>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</si>
  <si>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</si>
  <si>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</si>
  <si>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</si>
  <si>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</si>
  <si>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</si>
  <si>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</si>
  <si>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</si>
  <si>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</si>
  <si>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</si>
  <si>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</si>
  <si>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</si>
  <si>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</si>
  <si>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</si>
  <si>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</si>
  <si>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</si>
  <si>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</si>
  <si>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</si>
  <si>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</si>
  <si>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</si>
  <si>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</si>
  <si>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</si>
  <si>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</si>
  <si>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</si>
  <si>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</si>
  <si>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</si>
  <si>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</si>
  <si>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</si>
  <si>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</si>
  <si>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</si>
  <si>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</si>
  <si>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</si>
  <si>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</si>
  <si>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</si>
  <si>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</si>
  <si>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</si>
  <si>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</si>
  <si>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</si>
  <si>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</si>
  <si>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</si>
  <si>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</si>
  <si>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</si>
  <si>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</si>
  <si>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</si>
  <si>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</si>
  <si>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</si>
  <si>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</si>
  <si>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</si>
  <si>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</si>
  <si>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</si>
  <si>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</si>
  <si>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</si>
  <si>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</si>
  <si>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</si>
  <si>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</si>
  <si>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</si>
  <si>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</si>
  <si>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</si>
  <si>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</si>
  <si>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</si>
  <si>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</si>
  <si>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</si>
  <si>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</si>
  <si>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</si>
  <si>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</si>
  <si>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</si>
  <si>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</si>
  <si>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</si>
  <si>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</si>
  <si>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</si>
  <si>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</si>
  <si>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</si>
  <si>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</si>
  <si>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</si>
  <si>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</si>
  <si>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</si>
  <si>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</si>
  <si>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</si>
  <si>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</si>
  <si>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</si>
  <si>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</si>
  <si>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</si>
  <si>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</si>
  <si>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</si>
  <si>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</si>
  <si>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</si>
  <si>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</si>
  <si>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</si>
  <si>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</si>
  <si>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</si>
  <si>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</si>
  <si>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</si>
  <si>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</si>
  <si>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</si>
  <si>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</si>
  <si>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</si>
  <si>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</si>
  <si>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</si>
  <si>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</si>
  <si>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</si>
  <si>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</si>
  <si>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</si>
  <si>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</si>
  <si>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</si>
  <si>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</si>
  <si>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</si>
  <si>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</si>
  <si>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</si>
  <si>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</si>
  <si>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</si>
  <si>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</si>
  <si>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</si>
  <si>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</si>
  <si>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</si>
  <si>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</si>
  <si>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</si>
  <si>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</si>
  <si>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</si>
  <si>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</si>
  <si>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</si>
  <si>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</si>
  <si>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</si>
  <si>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</si>
  <si>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</si>
  <si>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</si>
  <si>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</si>
  <si>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</si>
  <si>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</si>
  <si>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</si>
  <si>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</si>
  <si>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</si>
  <si>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</si>
  <si>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</si>
  <si>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</si>
  <si>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</si>
  <si>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</si>
  <si>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</si>
  <si>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</si>
  <si>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</si>
  <si>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</si>
  <si>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</si>
  <si>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</si>
  <si>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</si>
  <si>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</si>
  <si>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</si>
  <si>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</si>
  <si>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</si>
  <si>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</si>
  <si>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</si>
  <si>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</si>
  <si>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</si>
  <si>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</si>
  <si>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</si>
  <si>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</si>
  <si>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</si>
  <si>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</si>
  <si>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</si>
  <si>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</si>
  <si>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</si>
  <si>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</si>
  <si>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</si>
  <si>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</si>
  <si>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</si>
  <si>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</si>
  <si>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</si>
  <si>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</si>
  <si>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</si>
  <si>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</si>
  <si>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</si>
  <si>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</si>
  <si>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</si>
  <si>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</si>
  <si>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</si>
  <si>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</si>
  <si>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</si>
  <si>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</si>
  <si>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</si>
  <si>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</si>
  <si>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</si>
  <si>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</si>
  <si>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</si>
  <si>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</si>
  <si>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</si>
  <si>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</si>
  <si>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</si>
  <si>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</si>
  <si>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</si>
  <si>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</si>
  <si>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</si>
  <si>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</si>
  <si>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</si>
  <si>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</si>
  <si>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</si>
  <si>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</si>
  <si>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</si>
  <si>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</si>
  <si>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</si>
  <si>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</si>
  <si>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</si>
  <si>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</si>
  <si>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</si>
  <si>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</si>
  <si>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</si>
  <si>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</si>
  <si>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</si>
  <si>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</si>
  <si>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</si>
  <si>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</si>
  <si>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</si>
  <si>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</si>
  <si>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</si>
  <si>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</si>
  <si>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</si>
  <si>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</si>
  <si>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</si>
  <si>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</si>
  <si>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</si>
  <si>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</si>
  <si>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</si>
  <si>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</si>
  <si>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</si>
  <si>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</si>
  <si>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</si>
  <si>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</si>
  <si>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</si>
  <si>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</si>
  <si>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</si>
  <si>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</si>
  <si>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</si>
  <si>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</si>
  <si>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</si>
  <si>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</si>
  <si>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</si>
  <si>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</si>
  <si>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</si>
  <si>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</si>
  <si>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</si>
  <si>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</si>
  <si>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</si>
  <si>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</si>
  <si>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</si>
  <si>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</si>
  <si>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</si>
  <si>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</si>
  <si>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</si>
  <si>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</si>
  <si>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</si>
  <si>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</si>
  <si>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</si>
  <si>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</si>
  <si>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</si>
  <si>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</si>
  <si>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</si>
  <si>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</si>
  <si>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</si>
  <si>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</si>
  <si>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</si>
  <si>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</si>
  <si>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</si>
  <si>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</si>
  <si>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</si>
  <si>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</si>
  <si>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</si>
  <si>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</si>
  <si>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</si>
  <si>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</si>
  <si>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</si>
  <si>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</si>
  <si>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</si>
  <si>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</si>
  <si>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</si>
  <si>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</si>
  <si>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</si>
  <si>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</si>
  <si>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</si>
  <si>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</si>
  <si>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</si>
  <si>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</si>
  <si>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</si>
  <si>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</si>
  <si>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</si>
  <si>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</si>
  <si>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</si>
  <si>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</si>
  <si>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</si>
  <si>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</si>
  <si>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</si>
  <si>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</si>
  <si>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</si>
  <si>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</si>
  <si>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</si>
  <si>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</si>
  <si>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</si>
  <si>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</si>
  <si>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</si>
  <si>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</si>
  <si>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</si>
  <si>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</si>
  <si>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</si>
  <si>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</si>
  <si>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</si>
  <si>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</si>
  <si>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</si>
  <si>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</si>
  <si>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</si>
  <si>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</si>
  <si>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</si>
  <si>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</si>
  <si>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</si>
  <si>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</si>
  <si>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</si>
  <si>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</si>
  <si>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</si>
  <si>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</si>
  <si>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</si>
  <si>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</si>
  <si>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</si>
  <si>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</si>
  <si>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</si>
  <si>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</si>
  <si>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</si>
  <si>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</si>
  <si>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Darius Cannon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</si>
  <si>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</si>
  <si>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</si>
  <si>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</si>
  <si>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</si>
  <si>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</si>
  <si>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</si>
  <si>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</si>
  <si>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</si>
  <si>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</si>
  <si>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</si>
  <si>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</si>
  <si>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</si>
  <si>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</si>
  <si>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</si>
  <si>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</si>
  <si>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</si>
  <si>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</si>
  <si>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</si>
  <si>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</si>
  <si>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</si>
  <si>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</si>
  <si>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</si>
  <si>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</si>
  <si>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</si>
  <si>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</si>
  <si>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</si>
  <si>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</si>
  <si>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</si>
  <si>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</si>
  <si>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</si>
  <si>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</si>
  <si>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</si>
  <si>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</si>
  <si>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</si>
  <si>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</si>
  <si>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</si>
  <si>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</si>
  <si>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</si>
  <si>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</si>
  <si>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</si>
  <si>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</si>
  <si>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</si>
  <si>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</si>
  <si>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</si>
  <si>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</si>
  <si>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</si>
  <si>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</si>
  <si>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</si>
  <si>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</si>
  <si>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</si>
  <si>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</si>
  <si>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</si>
  <si>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</si>
  <si>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</si>
  <si>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</si>
  <si>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</si>
  <si>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</si>
  <si>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</si>
  <si>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</si>
  <si>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</si>
  <si>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</si>
  <si>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</si>
  <si>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</si>
  <si>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</si>
  <si>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</si>
  <si>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</si>
  <si>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</si>
  <si>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</si>
  <si>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</si>
  <si>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</si>
  <si>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</si>
  <si>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</si>
  <si>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</si>
  <si>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</si>
  <si>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</si>
  <si>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</si>
  <si>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</si>
  <si>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</si>
  <si>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</si>
  <si>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</si>
  <si>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</si>
  <si>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</si>
  <si>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</si>
  <si>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</si>
  <si>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</si>
  <si>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</si>
  <si>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</si>
  <si>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</si>
  <si>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</si>
  <si>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</si>
  <si>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</si>
  <si>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</si>
  <si>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</si>
  <si>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</si>
  <si>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</si>
  <si>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</si>
  <si>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</si>
  <si>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</si>
  <si>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</si>
  <si>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</si>
  <si>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</si>
  <si>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</si>
  <si>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</si>
  <si>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</si>
  <si>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</si>
  <si>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</si>
  <si>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</si>
  <si>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</si>
  <si>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</si>
  <si>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</si>
  <si>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</si>
  <si>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</si>
  <si>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</si>
  <si>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</si>
  <si>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</si>
  <si>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</si>
  <si>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</si>
  <si>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</si>
  <si>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</si>
  <si>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</si>
  <si>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</si>
  <si>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</si>
  <si>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</si>
  <si>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</si>
  <si>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</si>
  <si>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</si>
  <si>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</si>
  <si>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</si>
  <si>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</si>
  <si>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</si>
  <si>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</si>
  <si>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</si>
  <si>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</si>
  <si>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</si>
  <si>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</si>
  <si>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</si>
  <si>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</si>
  <si>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</si>
  <si>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</si>
  <si>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</si>
  <si>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</si>
  <si>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</si>
  <si>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</si>
  <si>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</si>
  <si>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</si>
  <si>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</si>
  <si>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</si>
  <si>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</si>
  <si>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</si>
  <si>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</si>
  <si>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</si>
  <si>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</si>
  <si>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</si>
  <si>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</si>
  <si>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</si>
  <si>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</si>
  <si>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</si>
  <si>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</si>
  <si>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</si>
  <si>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</si>
  <si>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</si>
  <si>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</si>
  <si>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</si>
  <si>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</si>
  <si>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</si>
  <si>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</si>
  <si>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</si>
  <si>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</si>
  <si>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</si>
  <si>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</si>
  <si>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</si>
  <si>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</si>
  <si>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</si>
  <si>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</si>
  <si>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</si>
  <si>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</si>
  <si>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</si>
  <si>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</si>
  <si>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</si>
  <si>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</si>
  <si>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</si>
  <si>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</si>
  <si>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</si>
  <si>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</si>
  <si>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</si>
  <si>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</si>
  <si>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</si>
  <si>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</si>
  <si>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</si>
  <si>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</si>
  <si>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</si>
  <si>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</si>
  <si>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</si>
  <si>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</si>
  <si>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</si>
  <si>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</si>
  <si>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</si>
  <si>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</si>
  <si>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</si>
  <si>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</si>
  <si>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</si>
  <si>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</si>
  <si>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</si>
  <si>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</si>
  <si>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</si>
  <si>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</si>
  <si>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</si>
  <si>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</si>
  <si>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</si>
  <si>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</si>
  <si>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</si>
  <si>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</si>
  <si>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</si>
  <si>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</si>
  <si>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</si>
  <si>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</si>
  <si>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</si>
  <si>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</si>
  <si>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</si>
  <si>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</si>
  <si>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</si>
  <si>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</si>
  <si>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</si>
  <si>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</si>
  <si>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</si>
  <si>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</si>
  <si>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</si>
  <si>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</si>
  <si>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</si>
  <si>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</si>
  <si>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</si>
  <si>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</si>
  <si>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</si>
  <si>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</si>
  <si>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</si>
  <si>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</si>
  <si>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</si>
  <si>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</si>
  <si>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</si>
  <si>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</si>
  <si>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</si>
  <si>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</si>
  <si>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</si>
  <si>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</si>
  <si>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</si>
  <si>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</si>
  <si>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</si>
  <si>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</si>
  <si>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</si>
  <si>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</si>
  <si>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</si>
  <si>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</si>
  <si>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</si>
  <si>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</si>
  <si>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</si>
  <si>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</si>
  <si>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</si>
  <si>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</si>
  <si>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</si>
  <si>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</si>
  <si>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</si>
  <si>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</si>
  <si>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</si>
  <si>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</si>
  <si>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</si>
  <si>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</si>
  <si>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</si>
  <si>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</si>
  <si>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</si>
  <si>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</si>
  <si>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</si>
  <si>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</si>
  <si>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</si>
  <si>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</si>
  <si>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</si>
  <si>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</si>
  <si>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</si>
  <si>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</si>
  <si>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</si>
  <si>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</si>
  <si>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</si>
  <si>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</si>
  <si>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</si>
  <si>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</si>
  <si>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</si>
  <si>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</si>
  <si>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</si>
  <si>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</si>
  <si>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</si>
  <si>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</si>
  <si>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</si>
  <si>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</si>
  <si>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</si>
  <si>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</si>
  <si>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</si>
  <si>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</si>
  <si>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</si>
  <si>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</si>
  <si>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</si>
  <si>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</si>
  <si>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</si>
  <si>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</si>
  <si>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</si>
  <si>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</si>
  <si>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</si>
  <si>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</si>
  <si>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</si>
  <si>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</si>
  <si>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</si>
  <si>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</si>
  <si>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</si>
  <si>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</si>
  <si>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</si>
  <si>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</si>
  <si>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</si>
  <si>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</si>
  <si>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</si>
  <si>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</si>
  <si>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</si>
  <si>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</si>
  <si>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</si>
  <si>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</si>
  <si>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</si>
  <si>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</si>
  <si>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</si>
  <si>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</si>
  <si>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</si>
  <si>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</si>
  <si>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</si>
  <si>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</si>
  <si>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</si>
  <si>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</si>
  <si>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</si>
  <si>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</si>
  <si>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</si>
  <si>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</si>
  <si>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</si>
  <si>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</si>
  <si>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</si>
  <si>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</si>
  <si>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</si>
  <si>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</si>
  <si>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</si>
  <si>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</si>
  <si>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</si>
  <si>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</si>
  <si>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</si>
  <si>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</si>
  <si>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</si>
  <si>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</si>
  <si>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</si>
  <si>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</si>
  <si>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</si>
  <si>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</si>
  <si>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</si>
  <si>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</si>
  <si>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</si>
  <si>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</si>
  <si>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</si>
  <si>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</si>
  <si>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</si>
  <si>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</si>
  <si>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</si>
  <si>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</si>
  <si>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</si>
  <si>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</si>
  <si>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</si>
  <si>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</si>
  <si>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</si>
  <si>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</si>
  <si>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</si>
  <si>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</si>
  <si>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</si>
  <si>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</si>
  <si>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</si>
  <si>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</si>
  <si>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</si>
  <si>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</si>
  <si>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</si>
  <si>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</si>
  <si>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</si>
  <si>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</si>
  <si>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</si>
  <si>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</si>
  <si>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</si>
  <si>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</si>
  <si>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</si>
  <si>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</si>
  <si>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</si>
  <si>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</si>
  <si>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</si>
  <si>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</si>
  <si>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</si>
  <si>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</si>
  <si>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</si>
  <si>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</si>
  <si>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</si>
  <si>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</si>
  <si>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</si>
  <si>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</si>
  <si>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</si>
  <si>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</si>
  <si>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</si>
  <si>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</si>
  <si>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</si>
  <si>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</si>
  <si>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</si>
  <si>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</si>
  <si>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Chris Rhodes</t>
  </si>
  <si>
    <t>Raion Strader</t>
  </si>
  <si>
    <t>Auburn</t>
  </si>
  <si>
    <t>Osiris Gilbert</t>
  </si>
  <si>
    <t>UCONN</t>
  </si>
  <si>
    <t>Kenny Worthy III</t>
  </si>
  <si>
    <t>Zach Cody</t>
  </si>
  <si>
    <t>Javan Robinson</t>
  </si>
  <si>
    <t>Cam Chadwick</t>
  </si>
  <si>
    <t>Paul Omodia</t>
  </si>
  <si>
    <t>Lamar</t>
  </si>
  <si>
    <t>CJ Fraser</t>
  </si>
  <si>
    <t>Victor Evans III</t>
  </si>
  <si>
    <t>Dexter Ricks Jr.</t>
  </si>
  <si>
    <t>Jaire Rawlison</t>
  </si>
  <si>
    <t>Aidan McCowan</t>
  </si>
  <si>
    <t>Teon Parks</t>
  </si>
  <si>
    <t>Christian Gray</t>
  </si>
  <si>
    <t>PJ Woodland</t>
  </si>
  <si>
    <t>Justin Eaglin</t>
  </si>
  <si>
    <t>Rodrick Pleasant</t>
  </si>
  <si>
    <t>John Nestor</t>
  </si>
  <si>
    <t>Leonard Moore</t>
  </si>
  <si>
    <t>DJ Barksdale</t>
  </si>
  <si>
    <t>Jayden Bellamy</t>
  </si>
  <si>
    <t>JeRico Washington Jr.</t>
  </si>
  <si>
    <t>Desman Hearns</t>
  </si>
  <si>
    <t>Isaiah Farris</t>
  </si>
  <si>
    <t>Jamare Glasker</t>
  </si>
  <si>
    <t>Dontay Joyner</t>
  </si>
  <si>
    <t>Kaleb Cost</t>
  </si>
  <si>
    <t>Andrew Marshall</t>
  </si>
  <si>
    <t>Chris Peal</t>
  </si>
  <si>
    <t>CJ Blocker</t>
  </si>
  <si>
    <t>Antione Jackson</t>
  </si>
  <si>
    <t>Kobi Blackwell</t>
  </si>
  <si>
    <t>Andre Jordan Jr.</t>
  </si>
  <si>
    <t>DJ McKinney</t>
  </si>
  <si>
    <t>Jaiden Patterson</t>
  </si>
  <si>
    <t>Mekhi Toms</t>
  </si>
  <si>
    <t>Khamari Terrell</t>
  </si>
  <si>
    <t>La'khi Roland</t>
  </si>
  <si>
    <t>Davien Kerr</t>
  </si>
  <si>
    <t>Tyrese Boss</t>
  </si>
  <si>
    <t>Joe Hall III</t>
  </si>
  <si>
    <t>Ashton Cunningham</t>
  </si>
  <si>
    <t>Rahshawn Clark</t>
  </si>
  <si>
    <t>Donovan Jones</t>
  </si>
  <si>
    <t>Jackson Lowe</t>
  </si>
  <si>
    <t>Tanner Heckel</t>
  </si>
  <si>
    <t>Caleb Coley</t>
  </si>
  <si>
    <t>Dallas Golden</t>
  </si>
  <si>
    <t>DJ Bell</t>
  </si>
  <si>
    <t>Syair Torrence</t>
  </si>
  <si>
    <t>Mark Zackery IV</t>
  </si>
  <si>
    <t>Jaheim Clarke</t>
  </si>
  <si>
    <t>Braeden Marshall</t>
  </si>
  <si>
    <t>Caleb Dobbs</t>
  </si>
  <si>
    <t>Max Tucker</t>
  </si>
  <si>
    <t>Moussa Kane</t>
  </si>
  <si>
    <t>Landan Callahan</t>
  </si>
  <si>
    <t>TJ Green</t>
  </si>
  <si>
    <t>Za'Quan Bryan</t>
  </si>
  <si>
    <t>Kaleb Patterson</t>
  </si>
  <si>
    <t>DJ Pickett</t>
  </si>
  <si>
    <t>Braydon Lee</t>
  </si>
  <si>
    <t>Oliver Bridges</t>
  </si>
  <si>
    <t>Kimari Robinson</t>
  </si>
  <si>
    <t>Robert Stafford III</t>
  </si>
  <si>
    <t>Carter Davis</t>
  </si>
  <si>
    <t>Keontez Bradley</t>
  </si>
  <si>
    <t>Karson Hobbs</t>
  </si>
  <si>
    <t>Jaheim Singletary</t>
  </si>
  <si>
    <t>Markie Grant</t>
  </si>
  <si>
    <t>Jaivian Norman</t>
  </si>
  <si>
    <t>Amarion Atwood</t>
  </si>
  <si>
    <t>Makari Vickers</t>
  </si>
  <si>
    <t>RJ Johnson</t>
  </si>
  <si>
    <t>Craig Royal Jr.</t>
  </si>
  <si>
    <t>Christian Bodnar</t>
  </si>
  <si>
    <t>Dylan Robinson</t>
  </si>
  <si>
    <t>Jayden Shipps</t>
  </si>
  <si>
    <t>Kevyn Humes</t>
  </si>
  <si>
    <t>Keshawn Davila</t>
  </si>
  <si>
    <t>Charles McCartherens</t>
  </si>
  <si>
    <t>Donmiel Rogers</t>
  </si>
  <si>
    <t>Leroy Bryant</t>
  </si>
  <si>
    <t>Mister Clark</t>
  </si>
  <si>
    <t>Demetres Samuel Jr.</t>
  </si>
  <si>
    <t>James Monds III</t>
  </si>
  <si>
    <t>Devan Carlisle</t>
  </si>
  <si>
    <t>Greg Delaine</t>
  </si>
  <si>
    <t>Malik Willis</t>
  </si>
  <si>
    <t>Ibn McDaniels</t>
  </si>
  <si>
    <t>Tre Miller</t>
  </si>
  <si>
    <t>Ian Bell</t>
  </si>
  <si>
    <t>Kaleb Hutchinson</t>
  </si>
  <si>
    <t>S</t>
  </si>
  <si>
    <t>Scooter Jackson</t>
  </si>
  <si>
    <t>Ashton Whitner</t>
  </si>
  <si>
    <t>Jessiah McGrew</t>
  </si>
  <si>
    <t>Landyn Cleveland</t>
  </si>
  <si>
    <t>J.J. O'Neal</t>
  </si>
  <si>
    <t>Joshua Tarver</t>
  </si>
  <si>
    <t>Tae Johnson</t>
  </si>
  <si>
    <t>Alex McLaughlin</t>
  </si>
  <si>
    <t>Kerry Brown</t>
  </si>
  <si>
    <t>Tyler Brown</t>
  </si>
  <si>
    <t>Tamarcus Cooley</t>
  </si>
  <si>
    <t>Adon Shuler</t>
  </si>
  <si>
    <t>Cole Martin</t>
  </si>
  <si>
    <t>Luke Talich</t>
  </si>
  <si>
    <t>Juan Salas</t>
  </si>
  <si>
    <t>Lavain Scruggs</t>
  </si>
  <si>
    <t>Messiah Delhomme</t>
  </si>
  <si>
    <t>Jace Bellah</t>
  </si>
  <si>
    <t>Miles Greer</t>
  </si>
  <si>
    <t>Tawfiq Byard</t>
  </si>
  <si>
    <t>Braheem Long Jr.</t>
  </si>
  <si>
    <t>Demari Henderson</t>
  </si>
  <si>
    <t>Koi Perich</t>
  </si>
  <si>
    <t>Will Mitchell II</t>
  </si>
  <si>
    <t>Dashawn Spears</t>
  </si>
  <si>
    <t>Omar Thornton</t>
  </si>
  <si>
    <t>Andrew Pellicciotta</t>
  </si>
  <si>
    <t>Miguel Mitchell</t>
  </si>
  <si>
    <t>Ryan Nolan</t>
  </si>
  <si>
    <t>Carter Stoutmire</t>
  </si>
  <si>
    <t>Coleman Bryson</t>
  </si>
  <si>
    <t>Justin Taylor</t>
  </si>
  <si>
    <t>Jones Thomas</t>
  </si>
  <si>
    <t>Christofer Noble</t>
  </si>
  <si>
    <t>Cornell Perry</t>
  </si>
  <si>
    <t>AJ Noland</t>
  </si>
  <si>
    <t>John Slaughter</t>
  </si>
  <si>
    <t>Greg Smith</t>
  </si>
  <si>
    <t>DaShawn Stone</t>
  </si>
  <si>
    <t>Marcus Upton</t>
  </si>
  <si>
    <t>Larry Worth III</t>
  </si>
  <si>
    <t>Matthew Bailey</t>
  </si>
  <si>
    <t>Kalen Woods</t>
  </si>
  <si>
    <t>Aidan Gousby</t>
  </si>
  <si>
    <t>Javis Mynatt</t>
  </si>
  <si>
    <t>Mac Resetich</t>
  </si>
  <si>
    <t>Gavin Edwards</t>
  </si>
  <si>
    <t>Omarion Davis</t>
  </si>
  <si>
    <t>Rex Guthrie</t>
  </si>
  <si>
    <t>Saboor Karriem</t>
  </si>
  <si>
    <t>Rylon Dillard-Allen</t>
  </si>
  <si>
    <t>Ma'khi Jones</t>
  </si>
  <si>
    <t>Brooklyn Cheek</t>
  </si>
  <si>
    <t>Devin Henderson</t>
  </si>
  <si>
    <t>Dylan Phelps</t>
  </si>
  <si>
    <t>Christian Harrison</t>
  </si>
  <si>
    <t>Edwin Joseph</t>
  </si>
  <si>
    <t>FLORIDA ST</t>
  </si>
  <si>
    <t>Dionte Thornton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</si>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</sst>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0.01)"),0.545)</f>
        <v>0.545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0.01)"),0.909)</f>
        <v>0.909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0.01)"),0.636)</f>
        <v>0.636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0.01)"),0.455)</f>
        <v>0.455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0.01)"),0.818)</f>
        <v>0.818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0.01)"),0.364)</f>
        <v>0.364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0.01)"),0.16)</f>
        <v>0.16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0.01)"),0.168)</f>
        <v>0.168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0.01)"),0.273)</f>
        <v>0.273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1)"),0.976)</f>
        <v>0.976</v>
      </c>
      <c r="AD12" s="20">
        <f>IFERROR(__xludf.DUMMYFUNCTION("iferror(PERCENTRANK.INC(FILTER($X$2:$X$421, $U$2:$U$421&gt;=4.1), $X12), 0.01)"),0.106)</f>
        <v>0.106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0.01)"),0.182)</f>
        <v>0.182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0.01)"),0.307)</f>
        <v>0.307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0.01)"),0.727)</f>
        <v>0.727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0.01)"),0.176)</f>
        <v>0.176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0.01)"),0.123)</f>
        <v>0.123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$U$2:$U$421&lt;4.25), $X19), 1)"),0.971)</f>
        <v>0.971</v>
      </c>
      <c r="AD19" s="20">
        <f>IFERROR(__xludf.DUMMYFUNCTION("iferror(PERCENTRANK.INC(FILTER($X$2:$X$421, $U$2:$U$421&gt;=4.1), $X19), 0.01)"),0.032)</f>
        <v>0.032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0.01)"),0.091)</f>
        <v>0.091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0.01)"),0.163)</f>
        <v>0.163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$U$2:$U$421&lt;4.25), $X24), 1)"),0.949)</f>
        <v>0.949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1)"),0.917)</f>
        <v>0.917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$U$2:$U$421&lt;4.25), $X28), 1)"),0.934)</f>
        <v>0.934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1)"),0.922)</f>
        <v>0.922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1)"),0.927)</f>
        <v>0.927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$U$2:$U$421&lt;4.25), $X33), 1)"),0.866)</f>
        <v>0.866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$U$2:$U$421&lt;4.25), $X34), 1)"),0.915)</f>
        <v>0.915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$U$2:$U$421&lt;4.25), $X35), 1)"),0.844)</f>
        <v>0.844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$U$2:$U$421&lt;4.25), $X36), 1)"),0.88)</f>
        <v>0.88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1)"),0.932)</f>
        <v>0.932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$U$2:$U$421&lt;4.25), $X38), 1)"),0.81)</f>
        <v>0.81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$U$2:$U$421&lt;4.25), $X39), 1)"),0.824)</f>
        <v>0.824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$U$2:$U$421&lt;4.25), $X40), 1)"),0.902)</f>
        <v>0.902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$U$2:$U$421&lt;4.25), $X41), 1)"),0.854)</f>
        <v>0.854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$U$2:$U$421&lt;4.25), $X42), 1)"),0.846)</f>
        <v>0.846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$U$2:$U$421&lt;4.25), $X43), 1)"),0.851)</f>
        <v>0.851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$U$2:$U$421&lt;4.25), $X44), 1)"),0.885)</f>
        <v>0.885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$U$2:$U$421&lt;4.25), $X46), 1)"),0.839)</f>
        <v>0.839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$U$2:$U$421&lt;4.25), $X47), 1)"),0.895)</f>
        <v>0.895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$U$2:$U$421&lt;4.25), $X48), 1)"),0.644)</f>
        <v>0.644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$U$2:$U$421&lt;4.25), $X49), 1)"),0.883)</f>
        <v>0.883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$U$2:$U$421&lt;4.25), $X50), 1)"),0.863)</f>
        <v>0.863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$U$2:$U$421&lt;4.25), $X51), 1)"),0.061)</f>
        <v>0.061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$U$2:$U$421&lt;4.25), $X52), 1)"),0.8)</f>
        <v>0.8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$U$2:$U$421&lt;4.25), $X53), 1)"),0.856)</f>
        <v>0.856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$U$2:$U$421&lt;4.25), $X54), 1)"),0.89)</f>
        <v>0.89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$U$2:$U$421&lt;4.25), $X55), 1)"),0.859)</f>
        <v>0.859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$U$2:$U$421&lt;4.25), $X56), 1)"),0.868)</f>
        <v>0.868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$U$2:$U$421&lt;4.25), $X57), 1)"),0.861)</f>
        <v>0.861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$U$2:$U$421&lt;4.25), $X58), 1)"),0.817)</f>
        <v>0.817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$U$2:$U$421&lt;4.25), $X59), 1)"),0.827)</f>
        <v>0.827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$U$2:$U$421&lt;4.25), $X60), 1)"),0.829)</f>
        <v>0.829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$U$2:$U$421&lt;4.25), $X61), 1)"),0.876)</f>
        <v>0.876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$U$2:$U$421&lt;4.25), $X62), 1)"),0.795)</f>
        <v>0.795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$U$2:$U$421&lt;4.25), $X63), 1)"),0.849)</f>
        <v>0.849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$U$2:$U$421&lt;4.25), $X64), 1)"),0.771)</f>
        <v>0.771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$U$2:$U$421&lt;4.25), $X65), 1)"),0.832)</f>
        <v>0.832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$U$2:$U$421&lt;4.25), $X66), 1)"),0.841)</f>
        <v>0.841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$U$2:$U$421&lt;4.25), $X67), 1)"),0.878)</f>
        <v>0.878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$U$2:$U$421&lt;4.25), $X68), 1)"),0.783)</f>
        <v>0.783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$U$2:$U$421&lt;4.25), $X69), 1)"),0.766)</f>
        <v>0.766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$U$2:$U$421&lt;4.25), $X70), 1)"),0.78)</f>
        <v>0.78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$U$2:$U$421&lt;4.25), $X71), 1)"),0.707)</f>
        <v>0.707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$U$2:$U$421&lt;4.25), $X72), 1)"),0.939)</f>
        <v>0.939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$U$2:$U$421&lt;4.25), $X73), 1)"),0.249)</f>
        <v>0.249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$U$2:$U$421&lt;4.25), $X74), 1)"),0.778)</f>
        <v>0.778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$U$2:$U$421&lt;4.25), $X75), 1)"),0.759)</f>
        <v>0.759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$U$2:$U$421&lt;4.25), $X76), 1)"),0.739)</f>
        <v>0.739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$U$2:$U$421&lt;4.25), $X77), 1)"),0.837)</f>
        <v>0.837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$U$2:$U$421&lt;4.25), $X79), 1)"),0.805)</f>
        <v>0.805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$U$2:$U$421&lt;4.25), $X80), 1)"),0.905)</f>
        <v>0.905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$U$2:$U$421&lt;4.25), $X81), 1)"),0.741)</f>
        <v>0.741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$U$2:$U$421&lt;4.25), $X82), 1)"),0.79)</f>
        <v>0.79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$U$2:$U$421&lt;4.25), $X83), 1)"),0.763)</f>
        <v>0.763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$U$2:$U$421&lt;4.25), $X84), 1)"),0.559)</f>
        <v>0.559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$U$2:$U$421&lt;4.25), $X85), 1)"),0.756)</f>
        <v>0.756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$U$2:$U$421&lt;4.25), $X86), 1)"),0.768)</f>
        <v>0.768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$U$2:$U$421&lt;4.25), $X87), 1)"),0.793)</f>
        <v>0.793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$U$2:$U$421&lt;4.25), $X88), 1)"),0.812)</f>
        <v>0.812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$U$2:$U$421&lt;4.25), $X89), 1)"),0.737)</f>
        <v>0.737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$U$2:$U$421&lt;4.25), $X90), 1)"),0.62)</f>
        <v>0.62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$U$2:$U$421&lt;4.25), $X91), 1)"),0.788)</f>
        <v>0.788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1)"),0.937)</f>
        <v>0.937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$U$2:$U$421&lt;4.25), $X93), 1)"),0.893)</f>
        <v>0.893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$U$2:$U$421&lt;4.25), $X94), 1)"),0.815)</f>
        <v>0.815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$U$2:$U$421&lt;4.25), $X95), 1)"),0.722)</f>
        <v>0.722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$U$2:$U$421&lt;4.25), $X96), 1)"),0.72)</f>
        <v>0.72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$U$2:$U$421&lt;4.25), $X97), 1)"),0.959)</f>
        <v>0.959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$U$2:$U$421&lt;4.25), $X98), 1)"),0.954)</f>
        <v>0.954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$U$2:$U$421&lt;4.25), $X99), 1)"),0.732)</f>
        <v>0.732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$U$2:$U$421&lt;4.25), $X100), 1)"),0.683)</f>
        <v>0.683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$U$2:$U$421&lt;4.25), $X101), 1)"),0.776)</f>
        <v>0.776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$U$2:$U$421&lt;4.25), $X102), 1)"),0.751)</f>
        <v>0.751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$U$2:$U$421&lt;4.25), $X103), 1)"),0.888)</f>
        <v>0.888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$U$2:$U$421&lt;4.25), $X104), 1)"),0.785)</f>
        <v>0.785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$U$2:$U$421&lt;4.25), $X105), 1)"),0.717)</f>
        <v>0.717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$U$2:$U$421&lt;4.25), $X106), 1)"),0.52)</f>
        <v>0.52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$U$2:$U$421&lt;4.25), $X107), 1)"),0.734)</f>
        <v>0.734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$U$2:$U$421&lt;4.25), $X108), 1)"),0.71)</f>
        <v>0.71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$U$2:$U$421&lt;4.25), $X109), 1)"),0.695)</f>
        <v>0.695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$U$2:$U$421&lt;4.25), $X110), 1)"),0.651)</f>
        <v>0.651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$U$2:$U$421&lt;4.25), $X111), 1)"),0.576)</f>
        <v>0.576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$U$2:$U$421&lt;4.25), $X112), 1)"),0.249)</f>
        <v>0.249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$U$2:$U$421&lt;4.25), $X113), 1)"),0.92)</f>
        <v>0.92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$U$2:$U$421&lt;4.25), $X114), 1)"),0.761)</f>
        <v>0.761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$U$2:$U$421&lt;4.25), $X115), 1)"),0.522)</f>
        <v>0.522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$U$2:$U$421&lt;4.25), $X116), 1)"),0.729)</f>
        <v>0.729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$U$2:$U$421&lt;4.25), $X117), 1)"),0.749)</f>
        <v>0.749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$U$2:$U$421&lt;4.25), $X118), 1)"),0.688)</f>
        <v>0.688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$U$2:$U$421&lt;4.25), $X119), 1)"),0.31)</f>
        <v>0.31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$U$2:$U$421&lt;4.25), $X120), 1)"),0.195)</f>
        <v>0.195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$U$2:$U$421&lt;4.25), $X121), 1)"),0.649)</f>
        <v>0.649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$U$2:$U$421&lt;4.25), $X122), 1)"),0.668)</f>
        <v>0.668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$U$2:$U$421&lt;4.25), $X123), 1)"),0.871)</f>
        <v>0.871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$U$2:$U$421&lt;4.25), $X125), 1)"),0.656)</f>
        <v>0.656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$U$2:$U$421&lt;4.25), $X126), 1)"),0.556)</f>
        <v>0.556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$U$2:$U$421&lt;4.25), $X127), 1)"),0.249)</f>
        <v>0.249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$U$2:$U$421&lt;4.25), $X128), 1)"),0.912)</f>
        <v>0.912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$U$2:$U$421&lt;4.25), $X129), 1)"),0.727)</f>
        <v>0.727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$U$2:$U$421&lt;4.25), $X130), 1)"),0.588)</f>
        <v>0.588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$U$2:$U$421&lt;4.25), $X131), 1)"),0.724)</f>
        <v>0.724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$U$2:$U$421&lt;4.25), $X132), 1)"),0.898)</f>
        <v>0.898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$U$2:$U$421&lt;4.25), $X133), 1)"),0.693)</f>
        <v>0.693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$U$2:$U$421&lt;4.25), $X134), 1)"),0.705)</f>
        <v>0.705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$U$2:$U$421&lt;4.25), $X135), 1)"),0.546)</f>
        <v>0.546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$U$2:$U$421&lt;4.25), $X136), 1)"),0.654)</f>
        <v>0.654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$U$2:$U$421&lt;4.25), $X137), 1)"),0.385)</f>
        <v>0.385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$U$2:$U$421&lt;4.25), $X138), 1)"),0.663)</f>
        <v>0.663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$U$2:$U$421&lt;4.25), $X139), 1)"),0.744)</f>
        <v>0.744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$U$2:$U$421&lt;4.25), $X140), 1)"),0.307)</f>
        <v>0.307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$U$2:$U$421&lt;4.25), $X141), 1)"),0.678)</f>
        <v>0.678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$U$2:$U$421&lt;4.25), $X142), 1)"),0.802)</f>
        <v>0.802</v>
      </c>
      <c r="AD142" s="20">
        <f>IFERROR(__xludf.DUMMYFUNCTION("iferror(PERCENTRANK.INC(FILTER($X$2:$X$421, $U$2:$U$421&gt;=4.1), $X142), 0.01)"),0.01)</f>
        <v>0.01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$U$2:$U$421&lt;4.25), $X143), 1)"),0.773)</f>
        <v>0.773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$U$2:$U$421&lt;4.25), $X144), 1)"),0.834)</f>
        <v>0.834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$U$2:$U$421&lt;4.25), $X146), 1)"),0.602)</f>
        <v>0.602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$U$2:$U$421&lt;4.25), $X147), 1)"),0.873)</f>
        <v>0.873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$U$2:$U$421&lt;4.25), $X148), 1)"),0.69)</f>
        <v>0.69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$U$2:$U$421&lt;4.25), $X149), 1)"),0.568)</f>
        <v>0.568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$U$2:$U$421&lt;4.25), $X150), 1)"),0.249)</f>
        <v>0.249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$U$2:$U$421&lt;4.25), $X151), 1)"),0.634)</f>
        <v>0.634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$U$2:$U$421&lt;4.25), $X152), 1)"),0.646)</f>
        <v>0.646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$U$2:$U$421&lt;4.25), $X153), 1)"),0.685)</f>
        <v>0.685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$U$2:$U$421&lt;4.25), $X154), 1)"),0.463)</f>
        <v>0.463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$U$2:$U$421&lt;4.25), $X156), 1)"),0.544)</f>
        <v>0.544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$U$2:$U$421&lt;4.25), $X157), 1)"),0.107)</f>
        <v>0.107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$U$2:$U$421&lt;4.25), $X158), 1)"),0.598)</f>
        <v>0.598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$U$2:$U$421&lt;4.25), $X159), 1)"),0.702)</f>
        <v>0.702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$U$2:$U$421&lt;4.25), $X160), 1)"),0.637)</f>
        <v>0.637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$U$2:$U$421&lt;4.25), $X161), 1)"),0.639)</f>
        <v>0.639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$U$2:$U$421&lt;4.25), $X162), 1)"),0.473)</f>
        <v>0.473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$U$2:$U$421&lt;4.25), $X163), 1)"),0.617)</f>
        <v>0.617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$U$2:$U$421&lt;4.25), $X164), 1)"),0.641)</f>
        <v>0.641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$U$2:$U$421&lt;4.25), $X165), 1)"),0.188)</f>
        <v>0.188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$U$2:$U$421&lt;4.25), $X166), 1)"),0.61)</f>
        <v>0.61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$U$2:$U$421&lt;4.25), $X168), 1)"),0.468)</f>
        <v>0.468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1)"),0.373)</f>
        <v>0.373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$U$2:$U$421&lt;4.25), $X171), 1)"),0.412)</f>
        <v>0.412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$U$2:$U$421&lt;4.25), $X172), 1)"),0.629)</f>
        <v>0.629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$U$2:$U$421&lt;4.25), $X173), 1)"),0.549)</f>
        <v>0.549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$U$2:$U$421&lt;4.25), $X174), 1)"),0.178)</f>
        <v>0.178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$U$2:$U$421&lt;4.25), $X175), 1)"),0.495)</f>
        <v>0.495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$U$2:$U$421&lt;4.25), $X176), 1)"),0.659)</f>
        <v>0.659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1)"),0.371)</f>
        <v>0.371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$U$2:$U$421&lt;4.25), $X179), 1)"),0.532)</f>
        <v>0.532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$U$2:$U$421&lt;4.25), $X181), 1)"),0.578)</f>
        <v>0.578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$U$2:$U$421&lt;4.25), $X182), 1)"),0.68)</f>
        <v>0.68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$U$2:$U$421&lt;4.25), $X184), 1)"),0.622)</f>
        <v>0.622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$U$2:$U$421&lt;4.25), $X185), 1)"),0.268)</f>
        <v>0.268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$U$2:$U$421&lt;4.25), $X186), 1)"),0.356)</f>
        <v>0.356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$U$2:$U$421&lt;4.25), $X188), 1)"),0.585)</f>
        <v>0.585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$U$2:$U$421&lt;4.25), $X189), 1)"),0.505)</f>
        <v>0.505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$U$2:$U$421&lt;4.25), $X192), 1)"),0.573)</f>
        <v>0.573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$U$2:$U$421&lt;4.25), $X193), 1)"),0.483)</f>
        <v>0.483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$U$2:$U$421&lt;4.25), $X194), 1)"),0.485)</f>
        <v>0.485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$U$2:$U$421&lt;4.25), $X195), 1)"),0.48)</f>
        <v>0.48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$U$2:$U$421&lt;4.25), $X196), 1)"),0.612)</f>
        <v>0.612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$U$2:$U$421&lt;4.25), $X197), 1)"),0.361)</f>
        <v>0.361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$U$2:$U$421&lt;4.25), $X199), 1)"),0.907)</f>
        <v>0.907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$U$2:$U$421&lt;4.25), $X201), 1)"),0.632)</f>
        <v>0.632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$U$2:$U$421&lt;4.25), $X205), 1)"),0.407)</f>
        <v>0.407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$U$2:$U$421&lt;4.25), $X206), 1)"),0.7)</f>
        <v>0.7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$U$2:$U$421&lt;4.25), $X207), 1)"),0.502)</f>
        <v>0.502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$U$2:$U$421&lt;4.25), $X208), 1)"),0.712)</f>
        <v>0.712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$U$2:$U$421&lt;4.25), $X211), 1)"),0.432)</f>
        <v>0.432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$U$2:$U$421&lt;4.25), $X212), 1)"),0.427)</f>
        <v>0.427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$U$2:$U$421&lt;4.25), $X213), 1)"),0.605)</f>
        <v>0.605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$U$2:$U$421&lt;4.25), $X215), 1)"),0.417)</f>
        <v>0.417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$U$2:$U$421&lt;4.25), $X216), 1)"),0.715)</f>
        <v>0.715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1)"),0.9)</f>
        <v>0.9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$U$2:$U$421&lt;4.25), $X218), 1)"),0.395)</f>
        <v>0.395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$U$2:$U$421&lt;4.25), $X219), 1)"),0.754)</f>
        <v>0.754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$U$2:$U$421&lt;4.25), $X220), 1)"),0.5)</f>
        <v>0.5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$U$2:$U$421&lt;4.25), $X221), 1)"),0.798)</f>
        <v>0.798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$U$2:$U$421&lt;4.25), $X222), 1)"),0.6)</f>
        <v>0.6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$U$2:$U$421&lt;4.25), $X223), 1)"),0.295)</f>
        <v>0.295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$U$2:$U$421&lt;4.25), $X224), 1)"),0.229)</f>
        <v>0.229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$U$2:$U$421&lt;4.25), $X225), 1)"),0.944)</f>
        <v>0.944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$U$2:$U$421&lt;4.25), $X226), 1)"),0.595)</f>
        <v>0.595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$U$2:$U$421&lt;4.25), $X229), 1)"),0.117)</f>
        <v>0.117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1)"),0.38)</f>
        <v>0.38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$U$2:$U$421&lt;4.25), $X233), 1)"),0.393)</f>
        <v>0.393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$U$2:$U$421&lt;4.25), $X234), 1)"),0.234)</f>
        <v>0.234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$U$2:$U$421&lt;4.25), $X235), 1)"),0.541)</f>
        <v>0.541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$U$2:$U$421&lt;4.25), $X236), 1)"),0.329)</f>
        <v>0.329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$U$2:$U$421&lt;4.25), $X237), 1)"),0.624)</f>
        <v>0.624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$U$2:$U$421&lt;4.25), $X238), 1)"),0.224)</f>
        <v>0.224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$U$2:$U$421&lt;4.25), $X240), 1)"),0.193)</f>
        <v>0.193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$U$2:$U$421&lt;4.25), $X241), 1)"),0.173)</f>
        <v>0.173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$U$2:$U$421&lt;4.25), $X243), 1)"),0.402)</f>
        <v>0.402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$U$2:$U$421&lt;4.25), $X244), 1)"),0.437)</f>
        <v>0.437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$U$2:$U$421&lt;4.25), $X246), 1)"),0.551)</f>
        <v>0.551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$U$2:$U$421&lt;4.25), $X248), 1)"),0.232)</f>
        <v>0.232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1)"),0.378)</f>
        <v>0.378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$U$2:$U$421&lt;4.25), $X257), 1)"),0.607)</f>
        <v>0.607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1)"),0.363)</f>
        <v>0.363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$U$2:$U$421&lt;4.25), $X260), 1)"),0.261)</f>
        <v>0.261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$U$2:$U$421&lt;4.25), $X263), 1)"),0.627)</f>
        <v>0.627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$U$2:$U$421&lt;4.25), $X264), 1)"),0.563)</f>
        <v>0.563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$U$2:$U$421&lt;4.25), $X265), 1)"),0.524)</f>
        <v>0.524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$U$2:$U$421&lt;4.25), $X266), 1)"),0.676)</f>
        <v>0.676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$U$2:$U$421&lt;4.25), $X269), 1)"),0.527)</f>
        <v>0.527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$U$2:$U$421&lt;4.25), $X270), 1)"),0.332)</f>
        <v>0.332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1)"),0.376)</f>
        <v>0.376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$U$2:$U$421&lt;4.25), $X272), 1)"),0.259)</f>
        <v>0.259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$U$2:$U$421&lt;4.25), $X273), 1)"),0.615)</f>
        <v>0.615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1)"),0.068)</f>
        <v>0.068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$U$2:$U$421&lt;4.25), $X275), 1)"),0.488)</f>
        <v>0.488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$U$2:$U$421&lt;4.25), $X276), 1)"),0.529)</f>
        <v>0.529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$U$2:$U$421&lt;4.25), $X277), 1)"),0.554)</f>
        <v>0.554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$U$2:$U$421&lt;4.25), $X278), 1)"),0.415)</f>
        <v>0.415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$U$2:$U$421&lt;4.25), $X280), 1)"),0.227)</f>
        <v>0.227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1)"),0.285)</f>
        <v>0.285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1)"),0.388)</f>
        <v>0.388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$U$2:$U$421&lt;4.25), $X284), 1)"),0.1)</f>
        <v>0.1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$U$2:$U$421&lt;4.25), $X285), 1)"),0.217)</f>
        <v>0.217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$U$2:$U$421&lt;4.25), $X286), 1)"),0.405)</f>
        <v>0.405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$U$2:$U$421&lt;4.25), $X287), 1)"),0.746)</f>
        <v>0.746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$U$2:$U$421&lt;4.25), $X289), 1)"),0.539)</f>
        <v>0.539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$U$2:$U$421&lt;4.25), $X290), 1)"),0.334)</f>
        <v>0.334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$U$2:$U$421&lt;4.25), $X291), 1)"),0.583)</f>
        <v>0.583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$U$2:$U$421&lt;4.25), $X293), 1)"),0.517)</f>
        <v>0.517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$U$2:$U$421&lt;4.25), $X294), 1)"),0.366)</f>
        <v>0.366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0.01)"),0.003)</f>
        <v>0.003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$U$2:$U$421&lt;4.25), $X296), 1)"),0.168)</f>
        <v>0.168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1)"),0.073)</f>
        <v>0.073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$U$2:$U$421&lt;4.25), $X299), 1)"),0.327)</f>
        <v>0.327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$U$2:$U$421&lt;4.25), $X300), 1)"),0.498)</f>
        <v>0.498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$U$2:$U$421&lt;4.25), $X301), 1)"),0.4)</f>
        <v>0.4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$U$2:$U$421&lt;4.25), $X302), 1)"),0.478)</f>
        <v>0.478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$U$2:$U$421&lt;4.25), $X303), 1)"),0.151)</f>
        <v>0.151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1)"),0.293)</f>
        <v>0.293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$U$2:$U$421&lt;4.25), $X305), 1)"),0.29)</f>
        <v>0.29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$U$2:$U$421&lt;4.25), $X306), 1)"),0.095)</f>
        <v>0.095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$U$2:$U$421&lt;4.25), $X308), 1)"),0.32)</f>
        <v>0.32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$U$2:$U$421&lt;4.25), $X309), 1)"),0.159)</f>
        <v>0.159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$U$2:$U$421&lt;4.25), $X310), 1)"),0.42)</f>
        <v>0.42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$U$2:$U$421&lt;4.25), $X311), 1)"),0.534)</f>
        <v>0.534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$U$2:$U$421&lt;4.25), $X312), 1)"),0.046)</f>
        <v>0.046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$U$2:$U$421&lt;4.25), $X313), 1)"),0.39)</f>
        <v>0.39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$U$2:$U$421&lt;4.25), $X314), 1)"),0.276)</f>
        <v>0.276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$U$2:$U$421&lt;4.25), $X315), 1)"),0.105)</f>
        <v>0.105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$U$2:$U$421&lt;4.25), $X316), 1)"),0.661)</f>
        <v>0.661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$U$2:$U$421&lt;4.25), $X317), 1)"),0.085)</f>
        <v>0.085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$U$2:$U$421&lt;4.25), $X319), 1)"),0.312)</f>
        <v>0.312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$U$2:$U$421&lt;4.25), $X320), 1)"),0.273)</f>
        <v>0.273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$U$2:$U$421&lt;4.25), $X321), 1)"),0.571)</f>
        <v>0.571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$U$2:$U$421&lt;4.25), $X322), 1)"),0.41)</f>
        <v>0.41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$U$2:$U$421&lt;4.25), $X323), 1)"),0.507)</f>
        <v>0.507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$U$2:$U$421&lt;4.25), $X324), 1)"),0.166)</f>
        <v>0.166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$U$2:$U$421&lt;4.25), $X325), 1)"),0.271)</f>
        <v>0.271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$U$2:$U$421&lt;4.25), $X326), 1)"),0.246)</f>
        <v>0.246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$U$2:$U$421&lt;4.25), $X327), 1)"),0.041)</f>
        <v>0.041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$U$2:$U$421&lt;4.25), $X328), 1)"),0.58)</f>
        <v>0.58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$U$2:$U$421&lt;4.25), $X329), 1)"),0.161)</f>
        <v>0.161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$U$2:$U$421&lt;4.25), $X330), 1)"),0.317)</f>
        <v>0.317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$U$2:$U$421&lt;4.25), $X331), 1)"),0.266)</f>
        <v>0.266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$U$2:$U$421&lt;4.25), $X332), 1)"),0.244)</f>
        <v>0.244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$U$2:$U$421&lt;4.25), $X333), 1)"),0.493)</f>
        <v>0.493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1)"),0.024)</f>
        <v>0.024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$U$2:$U$421&lt;4.25), $X335), 1)"),0.322)</f>
        <v>0.322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$U$2:$U$421&lt;4.25), $X336), 1)"),0.222)</f>
        <v>0.222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$U$2:$U$421&lt;4.25), $X337), 1)"),0.132)</f>
        <v>0.132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$U$2:$U$421&lt;4.25), $X338), 1)"),0.537)</f>
        <v>0.537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$U$2:$U$421&lt;4.25), $X339), 1)"),0.398)</f>
        <v>0.398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$U$2:$U$421&lt;4.25), $X342), 1)"),0.139)</f>
        <v>0.139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1)"),0.088)</f>
        <v>0.088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$U$2:$U$421&lt;4.25), $X344), 1)"),0.446)</f>
        <v>0.446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$U$2:$U$421&lt;4.25), $X345), 1)"),0.154)</f>
        <v>0.154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$U$2:$U$421&lt;4.25), $X346), 1)"),0.822)</f>
        <v>0.822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$U$2:$U$421&lt;4.25), $X347), 1)"),0.278)</f>
        <v>0.278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$U$2:$U$421&lt;4.25), $X348), 1)"),0.422)</f>
        <v>0.422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$U$2:$U$421&lt;4.25), $X349), 1)"),0.183)</f>
        <v>0.183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$U$2:$U$421&lt;4.25), $X350), 1)"),0.383)</f>
        <v>0.383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$U$2:$U$421&lt;4.25), $X351), 1)"),0.129)</f>
        <v>0.129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$U$2:$U$421&lt;4.25), $X352), 1)"),0.237)</f>
        <v>0.237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$U$2:$U$421&lt;4.25), $X353), 1)"),0.215)</f>
        <v>0.215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$U$2:$U$421&lt;4.25), $X354), 1)"),0.137)</f>
        <v>0.137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1)"),0.063)</f>
        <v>0.063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$U$2:$U$421&lt;4.25), $X356), 1)"),0.18)</f>
        <v>0.18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$U$2:$U$421&lt;4.25), $X357), 1)"),0.368)</f>
        <v>0.368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$U$2:$U$421&lt;4.25), $X358), 1)"),0.49)</f>
        <v>0.49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$U$2:$U$421&lt;4.25), $X359), 1)"),0.12)</f>
        <v>0.12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$U$2:$U$421&lt;4.25), $X360), 1)"),0.22)</f>
        <v>0.22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$U$2:$U$421&lt;4.25), $X361), 1)"),0.324)</f>
        <v>0.324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$U$2:$U$421&lt;4.25), $X362), 1)"),0.205)</f>
        <v>0.205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$U$2:$U$421&lt;4.25), $X363), 1)"),0.263)</f>
        <v>0.263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$U$2:$U$421&lt;4.25), $X364), 1)"),0.3)</f>
        <v>0.3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$U$2:$U$421&lt;4.25), $X365), 1)"),0.349)</f>
        <v>0.349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$U$2:$U$421&lt;4.25), $X366), 1)"),0.298)</f>
        <v>0.298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$U$2:$U$421&lt;4.25), $X367), 1)"),0.593)</f>
        <v>0.593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$U$2:$U$421&lt;4.25), $X369), 1)"),0.207)</f>
        <v>0.207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$U$2:$U$421&lt;4.25), $X372), 1)"),0.302)</f>
        <v>0.302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1)"),0.083)</f>
        <v>0.083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$U$2:$U$421&lt;4.25), $X374), 1)"),0.163)</f>
        <v>0.163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$U$2:$U$421&lt;4.25), $X375), 1)"),0.102)</f>
        <v>0.102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$U$2:$U$421&lt;4.25), $X376), 1)"),0.807)</f>
        <v>0.807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$U$2:$U$421&lt;4.25), $X378), 1)"),0.056)</f>
        <v>0.056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$U$2:$U$421&lt;4.25), $X379), 1)"),0.239)</f>
        <v>0.239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$U$2:$U$421&lt;4.25), $X380), 1)"),0.198)</f>
        <v>0.198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$U$2:$U$421&lt;4.25), $X381), 1)"),0.351)</f>
        <v>0.351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$U$2:$U$421&lt;4.25), $X382), 1)"),0.171)</f>
        <v>0.171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$U$2:$U$421&lt;4.25), $X384), 1)"),0.241)</f>
        <v>0.241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$U$2:$U$421&lt;4.25), $X386), 1)"),0.339)</f>
        <v>0.339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$U$2:$U$421&lt;4.25), $X387), 1)"),0.434)</f>
        <v>0.434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$U$2:$U$421&lt;4.25), $X388), 1)"),0.185)</f>
        <v>0.185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$U$2:$U$421&lt;4.25), $X389), 1)"),0.202)</f>
        <v>0.202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$U$2:$U$421&lt;4.25), $X392), 1)"),0.212)</f>
        <v>0.212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$U$2:$U$421&lt;4.25), $X393), 1)"),0.19)</f>
        <v>0.19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1)"),0.078)</f>
        <v>0.078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$U$2:$U$421&lt;4.25), $X395), 1)"),0.28)</f>
        <v>0.28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$U$2:$U$421&lt;4.25), $X396), 1)"),0.09)</f>
        <v>0.09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$U$2:$U$421&lt;4.25), $X397), 1)"),0.149)</f>
        <v>0.149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$U$2:$U$421&lt;4.25), $X398), 1)"),0.146)</f>
        <v>0.146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$U$2:$U$421&lt;4.25), $X399), 1)"),0.59)</f>
        <v>0.59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$U$2:$U$421&lt;4.25), $X400), 1)"),0.176)</f>
        <v>0.176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$U$2:$U$421&lt;4.25), $X401), 1)"),0.051)</f>
        <v>0.051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$U$2:$U$421&lt;4.25), $X402), 1)"),0.2)</f>
        <v>0.2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1)"),0.029)</f>
        <v>0.029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$U$2:$U$421&lt;4.25), $X406), 1)"),0.134)</f>
        <v>0.134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$U$2:$U$421&lt;4.25), $X407), 1)"),0.066)</f>
        <v>0.066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1)"),0.093)</f>
        <v>0.093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$U$2:$U$421&lt;4.25), $X409), 1)"),0.124)</f>
        <v>0.124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$U$2:$U$421&lt;4.25), $X410), 1)"),0.115)</f>
        <v>0.115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$U$2:$U$421&lt;4.25), $X411), 1)"),0.144)</f>
        <v>0.144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$U$2:$U$421&lt;4.25), $X412), 1)"),0.08)</f>
        <v>0.08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$U$2:$U$421&lt;4.25), $X413), 1)"),0.112)</f>
        <v>0.112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$U$2:$U$421&lt;4.25), $X414), 1)"),0.098)</f>
        <v>0.098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$U$2:$U$421&lt;4.25), $X415), 1)"),0.122)</f>
        <v>0.122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$U$2:$U$421&lt;4.25), $X417), 1)"),0.21)</f>
        <v>0.21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$U$2:$U$421&lt;4.25), $X419), 1)"),0.156)</f>
        <v>0.156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$U$2:$U$421&lt;4.25), $X420), 1)"),0.141)</f>
        <v>0.141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$U$2:$U$421&lt;4.25), $X421), 1)"),0.11)</f>
        <v>0.11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$O$2:$O$425&lt;4.25), $Q2), 1)"),1.0)</f>
        <v>1</v>
      </c>
      <c r="V2" s="20">
        <f>IFERROR(__xludf.DUMMYFUNCTION("iferror(PERCENTRANK.INC(FILTER($Q$2:$Q$425, $O$2:$O$425&gt;=4.1),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$O$2:$O$425&lt;4.25), $Q3), 1)"),1.0)</f>
        <v>1</v>
      </c>
      <c r="V3" s="20">
        <f>IFERROR(__xludf.DUMMYFUNCTION("iferror(PERCENTRANK.INC(FILTER($Q$2:$Q$425, $O$2:$O$425&gt;=4.1), $Q3), 0.01)"),0.972)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$O$2:$O$425&lt;4.25), $Q4), 1)"),1.0)</f>
        <v>1</v>
      </c>
      <c r="V4" s="20">
        <f>IFERROR(__xludf.DUMMYFUNCTION("iferror(PERCENTRANK.INC(FILTER($Q$2:$Q$425, $O$2:$O$425&gt;=4.1), $Q4), 0.01)"),0.944)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$O$2:$O$425&lt;4.25), $Q5), 1)"),1.0)</f>
        <v>1</v>
      </c>
      <c r="V5" s="20">
        <f>IFERROR(__xludf.DUMMYFUNCTION("iferror(PERCENTRANK.INC(FILTER($Q$2:$Q$425, $O$2:$O$425&gt;=4.1), $Q5), 0.01)"),0.917)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$O$2:$O$425&lt;4.25), $Q6), 1)"),1.0)</f>
        <v>1</v>
      </c>
      <c r="V6" s="20">
        <f>IFERROR(__xludf.DUMMYFUNCTION("iferror(PERCENTRANK.INC(FILTER($Q$2:$Q$425, $O$2:$O$425&gt;=4.1), $Q6), 0.01)"),0.833)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$O$2:$O$425&lt;4.25), $Q7), 1)"),1.0)</f>
        <v>1</v>
      </c>
      <c r="V7" s="20">
        <f>IFERROR(__xludf.DUMMYFUNCTION("iferror(PERCENTRANK.INC(FILTER($Q$2:$Q$425, $O$2:$O$425&gt;=4.1), $Q7), 0.01)"),0.778)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$O$2:$O$425&lt;4.25), $Q8), 1)"),1.0)</f>
        <v>1</v>
      </c>
      <c r="V8" s="20">
        <f>IFERROR(__xludf.DUMMYFUNCTION("iferror(PERCENTRANK.INC(FILTER($Q$2:$Q$425, $O$2:$O$425&gt;=4.1), $Q8), 0.01)"),0.722)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$O$2:$O$425&lt;4.25), $Q9), 1)"),1.0)</f>
        <v>1</v>
      </c>
      <c r="V9" s="20">
        <f>IFERROR(__xludf.DUMMYFUNCTION("iferror(PERCENTRANK.INC(FILTER($Q$2:$Q$425, $O$2:$O$425&gt;=4.1), $Q9), 0.01)"),0.694)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$O$2:$O$425&lt;4.25), $Q10), 1)"),1.0)</f>
        <v>1</v>
      </c>
      <c r="V10" s="20">
        <f>IFERROR(__xludf.DUMMYFUNCTION("iferror(PERCENTRANK.INC(FILTER($Q$2:$Q$425, $O$2:$O$425&gt;=4.1), $Q10), 0.01)"),0.639)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$O$2:$O$425&lt;4.25), $Q11), 1)"),1.0)</f>
        <v>1</v>
      </c>
      <c r="V11" s="20">
        <f>IFERROR(__xludf.DUMMYFUNCTION("iferror(PERCENTRANK.INC(FILTER($Q$2:$Q$425, $O$2:$O$425&gt;=4.1), $Q11), 0.01)"),0.583)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$O$2:$O$425&lt;4.25), $Q12), 1)"),1.0)</f>
        <v>1</v>
      </c>
      <c r="V12" s="20">
        <f>IFERROR(__xludf.DUMMYFUNCTION("iferror(PERCENTRANK.INC(FILTER($Q$2:$Q$425, $O$2:$O$425&gt;=4.1), $Q12), 0.01)"),0.556)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$O$2:$O$425&lt;4.25), $Q13), 1)"),1.0)</f>
        <v>1</v>
      </c>
      <c r="V13" s="20">
        <f>IFERROR(__xludf.DUMMYFUNCTION("iferror(PERCENTRANK.INC(FILTER($Q$2:$Q$425, $O$2:$O$425&gt;=4.1), $Q13), 0.01)"),0.528)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$O$2:$O$425&lt;4.25), $Q14), 1)"),1.0)</f>
        <v>1</v>
      </c>
      <c r="V14" s="20">
        <f>IFERROR(__xludf.DUMMYFUNCTION("iferror(PERCENTRANK.INC(FILTER($Q$2:$Q$425, $O$2:$O$425&gt;=4.1), $Q14), 0.01)"),0.5)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$O$2:$O$425&lt;4.25), $Q15), 1)"),1.0)</f>
        <v>1</v>
      </c>
      <c r="V15" s="20">
        <f>IFERROR(__xludf.DUMMYFUNCTION("iferror(PERCENTRANK.INC(FILTER($Q$2:$Q$425, $O$2:$O$425&gt;=4.1), $Q15), 0.01)"),0.444)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$O$2:$O$425&lt;4.25), $Q16), 1)"),1.0)</f>
        <v>1</v>
      </c>
      <c r="V16" s="20">
        <f>IFERROR(__xludf.DUMMYFUNCTION("iferror(PERCENTRANK.INC(FILTER($Q$2:$Q$425, $O$2:$O$425&gt;=4.1), $Q16), 0.01)"),0.417)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$O$2:$O$425&lt;4.25), $Q17), 1)"),1.0)</f>
        <v>1</v>
      </c>
      <c r="V17" s="20">
        <f>IFERROR(__xludf.DUMMYFUNCTION("iferror(PERCENTRANK.INC(FILTER($Q$2:$Q$425, $O$2:$O$425&gt;=4.1), $Q17), 0.01)"),0.361)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$O$2:$O$425&lt;4.25), $Q18), 1)"),1.0)</f>
        <v>1</v>
      </c>
      <c r="V18" s="20">
        <f>IFERROR(__xludf.DUMMYFUNCTION("iferror(PERCENTRANK.INC(FILTER($Q$2:$Q$425, $O$2:$O$425&gt;=4.1), $Q18), 0.01)"),0.348)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$O$2:$O$425&lt;4.25), $Q19), 1)"),0.999)</f>
        <v>0.999</v>
      </c>
      <c r="V19" s="20">
        <f>IFERROR(__xludf.DUMMYFUNCTION("iferror(PERCENTRANK.INC(FILTER($Q$2:$Q$425, $O$2:$O$425&gt;=4.1), $Q19), 0.01)"),0.333)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$O$2:$O$425&lt;4.25), $Q20), 1)"),0.997)</f>
        <v>0.997</v>
      </c>
      <c r="V20" s="20">
        <f>IFERROR(__xludf.DUMMYFUNCTION("iferror(PERCENTRANK.INC(FILTER($Q$2:$Q$425, $O$2:$O$425&gt;=4.1), $Q20), 0.01)"),0.306)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$O$2:$O$425&lt;4.25), $Q21), 1)"),0.997)</f>
        <v>0.997</v>
      </c>
      <c r="V21" s="20">
        <f>IFERROR(__xludf.DUMMYFUNCTION("iferror(PERCENTRANK.INC(FILTER($Q$2:$Q$425, $O$2:$O$425&gt;=4.1), $Q21), 0.01)"),0.278)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$O$2:$O$425&lt;4.25), $Q22), 1)"),0.996)</f>
        <v>0.996</v>
      </c>
      <c r="V22" s="20">
        <f>IFERROR(__xludf.DUMMYFUNCTION("iferror(PERCENTRANK.INC(FILTER($Q$2:$Q$425, $O$2:$O$425&gt;=4.1), $Q22), 0.01)"),0.25)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$O$2:$O$425&lt;4.25), $Q23), 1)"),0.996)</f>
        <v>0.996</v>
      </c>
      <c r="V23" s="20">
        <f>IFERROR(__xludf.DUMMYFUNCTION("iferror(PERCENTRANK.INC(FILTER($Q$2:$Q$425, $O$2:$O$425&gt;=4.1), $Q23), 0.01)"),0.222)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$O$2:$O$425&lt;4.25), $Q24), 1)"),0.995)</f>
        <v>0.995</v>
      </c>
      <c r="V24" s="20">
        <f>IFERROR(__xludf.DUMMYFUNCTION("iferror(PERCENTRANK.INC(FILTER($Q$2:$Q$425, $O$2:$O$425&gt;=4.1), $Q24), 0.01)"),0.194)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$O$2:$O$425&lt;4.25), $Q25), 1)"),0.994)</f>
        <v>0.994</v>
      </c>
      <c r="V25" s="20">
        <f>IFERROR(__xludf.DUMMYFUNCTION("iferror(PERCENTRANK.INC(FILTER($Q$2:$Q$425, $O$2:$O$425&gt;=4.1), $Q25), 0.01)"),0.139)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$O$2:$O$425&lt;4.25), $Q26), 1)"),0.993)</f>
        <v>0.993</v>
      </c>
      <c r="V26" s="20">
        <f>IFERROR(__xludf.DUMMYFUNCTION("iferror(PERCENTRANK.INC(FILTER($Q$2:$Q$425, $O$2:$O$425&gt;=4.1), $Q26), 0.01)"),0.111)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$O$2:$O$425&lt;4.25), $Q27), 1)"),0.992)</f>
        <v>0.992</v>
      </c>
      <c r="V27" s="20">
        <f>IFERROR(__xludf.DUMMYFUNCTION("iferror(PERCENTRANK.INC(FILTER($Q$2:$Q$425, $O$2:$O$425&gt;=4.1), $Q27), 0.01)"),0.083)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$O$2:$O$425&lt;4.25), $Q28), 1)"),0.99)</f>
        <v>0.99</v>
      </c>
      <c r="V28" s="20">
        <f>IFERROR(__xludf.DUMMYFUNCTION("iferror(PERCENTRANK.INC(FILTER($Q$2:$Q$425, $O$2:$O$425&gt;=4.1), $Q28), 0.01)"),0.032)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$O$2:$O$425&lt;4.25), $Q29), 1)"),0.98)</f>
        <v>0.98</v>
      </c>
      <c r="V29" s="20">
        <f>IFERROR(__xludf.DUMMYFUNCTION("iferror(PERCENTRANK.INC(FILTER($Q$2:$Q$425, $O$2:$O$425&gt;=4.1), $Q29), 0.01)"),0.028)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$O$2:$O$425&lt;4.25), $Q30), 1)"),0.98)</f>
        <v>0.98</v>
      </c>
      <c r="V30" s="20">
        <f>IFERROR(__xludf.DUMMYFUNCTION("iferror(PERCENTRANK.INC(FILTER($Q$2:$Q$425, $O$2:$O$425&gt;=4.1), $Q30), 0.01)"),0.028)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$O$2:$O$425&lt;4.25), $Q31), 1)"),0.96)</f>
        <v>0.96</v>
      </c>
      <c r="V31" s="20">
        <f>IFERROR(__xludf.DUMMYFUNCTION("iferror(PERCENTRANK.INC(FILTER($Q$2:$Q$425, $O$2:$O$425&gt;=4.1), $Q31), 0.01)"),0.027)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$O$2:$O$425&lt;4.25), $Q32), 1)"),0.95)</f>
        <v>0.95</v>
      </c>
      <c r="V32" s="20">
        <f>IFERROR(__xludf.DUMMYFUNCTION("iferror(PERCENTRANK.INC(FILTER($Q$2:$Q$425, $O$2:$O$425&gt;=4.1), $Q32), 0.01)"),0.027)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$O$2:$O$425&lt;4.25), $Q33), 1)"),0.931)</f>
        <v>0.931</v>
      </c>
      <c r="V33" s="20">
        <f>IFERROR(__xludf.DUMMYFUNCTION("iferror(PERCENTRANK.INC(FILTER($Q$2:$Q$425, $O$2:$O$425&gt;=4.1), $Q33), 0.01)"),0.027)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$O$2:$O$425&lt;4.25), $Q34), 1)"),0.921)</f>
        <v>0.921</v>
      </c>
      <c r="V34" s="20">
        <f>IFERROR(__xludf.DUMMYFUNCTION("iferror(PERCENTRANK.INC(FILTER($Q$2:$Q$425, $O$2:$O$425&gt;=4.1), $Q34), 0.01)"),0.026)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$O$2:$O$425&lt;4.25), $Q35), 1)"),0.911)</f>
        <v>0.911</v>
      </c>
      <c r="V35" s="20">
        <f>IFERROR(__xludf.DUMMYFUNCTION("iferror(PERCENTRANK.INC(FILTER($Q$2:$Q$425, $O$2:$O$425&gt;=4.1), $Q35), 0.01)"),0.026)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$O$2:$O$425&lt;4.25), $Q36), 1)"),0.901)</f>
        <v>0.901</v>
      </c>
      <c r="V36" s="20">
        <f>IFERROR(__xludf.DUMMYFUNCTION("iferror(PERCENTRANK.INC(FILTER($Q$2:$Q$425, $O$2:$O$425&gt;=4.1), $Q36), 0.01)"),0.025)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$O$2:$O$425&lt;4.25), $Q37), 1)"),0.891)</f>
        <v>0.891</v>
      </c>
      <c r="V37" s="20">
        <f>IFERROR(__xludf.DUMMYFUNCTION("iferror(PERCENTRANK.INC(FILTER($Q$2:$Q$425, $O$2:$O$425&gt;=4.1), $Q37), 0.01)"),0.025)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$O$2:$O$425&lt;4.25), $Q38), 1)"),0.881)</f>
        <v>0.881</v>
      </c>
      <c r="V38" s="20">
        <f>IFERROR(__xludf.DUMMYFUNCTION("iferror(PERCENTRANK.INC(FILTER($Q$2:$Q$425, $O$2:$O$425&gt;=4.1), $Q38), 0.01)"),0.025)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$O$2:$O$425&lt;4.25), $Q39), 1)"),0.871)</f>
        <v>0.871</v>
      </c>
      <c r="V39" s="20">
        <f>IFERROR(__xludf.DUMMYFUNCTION("iferror(PERCENTRANK.INC(FILTER($Q$2:$Q$425, $O$2:$O$425&gt;=4.1), $Q39), 0.01)"),0.024)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$O$2:$O$425&lt;4.25), $Q40), 1)"),0.851)</f>
        <v>0.851</v>
      </c>
      <c r="V40" s="20">
        <f>IFERROR(__xludf.DUMMYFUNCTION("iferror(PERCENTRANK.INC(FILTER($Q$2:$Q$425, $O$2:$O$425&gt;=4.1), $Q40), 0.01)"),0.024)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$O$2:$O$425&lt;4.25), $Q41), 1)"),0.842)</f>
        <v>0.842</v>
      </c>
      <c r="V41" s="20">
        <f>IFERROR(__xludf.DUMMYFUNCTION("iferror(PERCENTRANK.INC(FILTER($Q$2:$Q$425, $O$2:$O$425&gt;=4.1), $Q41), 0.01)"),0.024)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$O$2:$O$425&lt;4.25), $Q42), 1)"),0.832)</f>
        <v>0.832</v>
      </c>
      <c r="V42" s="20">
        <f>IFERROR(__xludf.DUMMYFUNCTION("iferror(PERCENTRANK.INC(FILTER($Q$2:$Q$425, $O$2:$O$425&gt;=4.1), $Q42), 0.01)"),0.023)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$O$2:$O$425&lt;4.25), $Q43), 1)"),0.822)</f>
        <v>0.822</v>
      </c>
      <c r="V43" s="20">
        <f>IFERROR(__xludf.DUMMYFUNCTION("iferror(PERCENTRANK.INC(FILTER($Q$2:$Q$425, $O$2:$O$425&gt;=4.1), $Q43), 0.01)"),0.021)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$O$2:$O$425&lt;4.25), $Q44), 1)"),0.792)</f>
        <v>0.792</v>
      </c>
      <c r="V44" s="20">
        <f>IFERROR(__xludf.DUMMYFUNCTION("iferror(PERCENTRANK.INC(FILTER($Q$2:$Q$425, $O$2:$O$425&gt;=4.1), $Q44), 0.01)"),0.02)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$O$2:$O$425&lt;4.25), $Q45), 1)"),0.782)</f>
        <v>0.782</v>
      </c>
      <c r="V45" s="20">
        <f>IFERROR(__xludf.DUMMYFUNCTION("iferror(PERCENTRANK.INC(FILTER($Q$2:$Q$425, $O$2:$O$425&gt;=4.1), $Q45), 0.01)"),0.019)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$O$2:$O$425&lt;4.25), $Q46), 1)"),0.772)</f>
        <v>0.772</v>
      </c>
      <c r="V46" s="20">
        <f>IFERROR(__xludf.DUMMYFUNCTION("iferror(PERCENTRANK.INC(FILTER($Q$2:$Q$425, $O$2:$O$425&gt;=4.1), $Q46), 0.01)"),0.003)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$O$2:$O$425&lt;4.25), $Q47), 1)"),0.762)</f>
        <v>0.762</v>
      </c>
      <c r="V47" s="20">
        <f>IFERROR(__xludf.DUMMYFUNCTION("iferror(PERCENTRANK.INC(FILTER($Q$2:$Q$425, $O$2:$O$425&gt;=4.1), $Q47), 0.01)"),0.003)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$O$2:$O$425&lt;4.25), $Q48), 1)"),0.752)</f>
        <v>0.752</v>
      </c>
      <c r="V48" s="20">
        <f>IFERROR(__xludf.DUMMYFUNCTION("iferror(PERCENTRANK.INC(FILTER($Q$2:$Q$425, $O$2:$O$425&gt;=4.1), $Q48), 0.01)"),0.002)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$O$2:$O$425&lt;4.25), $Q49), 1)"),0.743)</f>
        <v>0.743</v>
      </c>
      <c r="V49" s="20">
        <f>IFERROR(__xludf.DUMMYFUNCTION("iferror(PERCENTRANK.INC(FILTER($Q$2:$Q$425, $O$2:$O$425&gt;=4.1), $Q49), 0.01)"),0.002)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$O$2:$O$425&lt;4.25), $Q50), 1)"),1.0)</f>
        <v>1</v>
      </c>
      <c r="V50" s="20">
        <f>IFERROR(__xludf.DUMMYFUNCTION("iferror(PERCENTRANK.INC(FILTER($Q$2:$Q$425, $O$2:$O$425&gt;=4.1), $Q50), 0.01)"),0.75)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$O$2:$O$425&lt;4.25), $Q51), 1)"),1.0)</f>
        <v>1</v>
      </c>
      <c r="V51" s="20">
        <f>IFERROR(__xludf.DUMMYFUNCTION("iferror(PERCENTRANK.INC(FILTER($Q$2:$Q$425, $O$2:$O$425&gt;=4.1), $Q51), 0.01)"),0.389)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$O$2:$O$425&lt;4.25), $Q52), 1)"),0.97)</f>
        <v>0.97</v>
      </c>
      <c r="V52" s="20">
        <f>IFERROR(__xludf.DUMMYFUNCTION("iferror(PERCENTRANK.INC(FILTER($Q$2:$Q$425, $O$2:$O$425&gt;=4.1), $Q52), 0.01)"),0.028)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$O$2:$O$425&lt;4.25), $Q53), 1)"),0.733)</f>
        <v>0.733</v>
      </c>
      <c r="V53" s="20">
        <f>IFERROR(__xludf.DUMMYFUNCTION("iferror(PERCENTRANK.INC(FILTER($Q$2:$Q$425, $O$2:$O$425&gt;=4.1), $Q53), 0.01)"),0.001)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$O$2:$O$425&lt;4.25), $Q54), 1)"),1.0)</f>
        <v>1</v>
      </c>
      <c r="V54" s="20">
        <f>IFERROR(__xludf.DUMMYFUNCTION("iferror(PERCENTRANK.INC(FILTER($Q$2:$Q$425, $O$2:$O$425&gt;=4.1), $Q54), 0.01)"),0.889)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$O$2:$O$425&lt;4.25), $Q55), 1)"),0.723)</f>
        <v>0.723</v>
      </c>
      <c r="V55" s="20">
        <f>IFERROR(__xludf.DUMMYFUNCTION("iferror(PERCENTRANK.INC(FILTER($Q$2:$Q$425, $O$2:$O$425&gt;=4.1), $Q55), 0.01)"),0.001)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$O$2:$O$425&lt;4.25), $Q56), 1)"),0.995)</f>
        <v>0.995</v>
      </c>
      <c r="V56" s="20">
        <f>IFERROR(__xludf.DUMMYFUNCTION("iferror(PERCENTRANK.INC(FILTER($Q$2:$Q$425, $O$2:$O$425&gt;=4.1), $Q56), 0.01)"),0.167)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$O$2:$O$425&lt;4.25), $Q57), 1)"),0.713)</f>
        <v>0.713</v>
      </c>
      <c r="V57" s="20">
        <f>IFERROR(__xludf.DUMMYFUNCTION("iferror(PERCENTRANK.INC(FILTER($Q$2:$Q$425, $O$2:$O$425&gt;=4.1), $Q57), 0.01)"),0.0)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$O$2:$O$425&lt;4.25), $Q58), 1)"),1.0)</f>
        <v>1</v>
      </c>
      <c r="V58" s="20">
        <f>IFERROR(__xludf.DUMMYFUNCTION("iferror(PERCENTRANK.INC(FILTER($Q$2:$Q$425, $O$2:$O$425&gt;=4.1), $Q58), 0.01)"),0.611)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$O$2:$O$425&lt;4.25), $Q59), 1)"),0.941)</f>
        <v>0.941</v>
      </c>
      <c r="V59" s="20">
        <f>IFERROR(__xludf.DUMMYFUNCTION("iferror(PERCENTRANK.INC(FILTER($Q$2:$Q$425, $O$2:$O$425&gt;=4.1), $Q59), 0.01)"),0.027)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$O$2:$O$425&lt;4.25), $Q60), 1)"),0.703)</f>
        <v>0.703</v>
      </c>
      <c r="V60" s="20">
        <f>IFERROR(__xludf.DUMMYFUNCTION("iferror(PERCENTRANK.INC(FILTER($Q$2:$Q$425, $O$2:$O$425&gt;=4.1), $Q60), 0.01)"),0.0)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$O$2:$O$425&lt;4.25), $Q61), 1)"),1.0)</f>
        <v>1</v>
      </c>
      <c r="V61" s="20">
        <f>IFERROR(__xludf.DUMMYFUNCTION("iferror(PERCENTRANK.INC(FILTER($Q$2:$Q$425, $O$2:$O$425&gt;=4.1), $Q61), 0.01)"),0.667)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$O$2:$O$425&lt;4.25), $Q62), 1)"),0.802)</f>
        <v>0.802</v>
      </c>
      <c r="V62" s="20">
        <f>IFERROR(__xludf.DUMMYFUNCTION("iferror(PERCENTRANK.INC(FILTER($Q$2:$Q$425, $O$2:$O$425&gt;=4.1), $Q62), 0.01)"),0.02)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$O$2:$O$425&lt;4.25), $Q63), 1)"),0.693)</f>
        <v>0.693</v>
      </c>
      <c r="V63" s="20">
        <f>IFERROR(__xludf.DUMMYFUNCTION("iferror(PERCENTRANK.INC(FILTER($Q$2:$Q$425, $O$2:$O$425&gt;=4.1), $Q63), 0.01)"),0.0)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$O$2:$O$425&lt;4.25), $Q64), 1)"),0.683)</f>
        <v>0.683</v>
      </c>
      <c r="V64" s="20">
        <f>IFERROR(__xludf.DUMMYFUNCTION("iferror(PERCENTRANK.INC(FILTER($Q$2:$Q$425, $O$2:$O$425&gt;=4.1), $Q64), 0.01)"),0.0)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$O$2:$O$425&lt;4.25), $Q65), 1)"),0.673)</f>
        <v>0.673</v>
      </c>
      <c r="V65" s="20">
        <f>IFERROR(__xludf.DUMMYFUNCTION("iferror(PERCENTRANK.INC(FILTER($Q$2:$Q$425, $O$2:$O$425&gt;=4.1), $Q65), 0.01)"),0.0)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$O$2:$O$425&lt;4.25), $Q66), 1)"),1.0)</f>
        <v>1</v>
      </c>
      <c r="V66" s="20">
        <f>IFERROR(__xludf.DUMMYFUNCTION("iferror(PERCENTRANK.INC(FILTER($Q$2:$Q$425, $O$2:$O$425&gt;=4.1), $Q66), 0.01)"),0.861)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$O$2:$O$425&lt;4.25), $Q67), 1)"),0.663)</f>
        <v>0.663</v>
      </c>
      <c r="V67" s="20">
        <f>IFERROR(__xludf.DUMMYFUNCTION("iferror(PERCENTRANK.INC(FILTER($Q$2:$Q$425, $O$2:$O$425&gt;=4.1), $Q67), 0.01)"),0.0)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$O$2:$O$425&lt;4.25), $Q68), 1)"),1.0)</f>
        <v>1</v>
      </c>
      <c r="V68" s="20">
        <f>IFERROR(__xludf.DUMMYFUNCTION("iferror(PERCENTRANK.INC(FILTER($Q$2:$Q$425, $O$2:$O$425&gt;=4.1), $Q68), 0.01)"),0.806)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$O$2:$O$425&lt;4.25), $Q69), 1)"),0.653)</f>
        <v>0.653</v>
      </c>
      <c r="V69" s="20">
        <f>IFERROR(__xludf.DUMMYFUNCTION("iferror(PERCENTRANK.INC(FILTER($Q$2:$Q$425, $O$2:$O$425&gt;=4.1), $Q69), 0.01)"),0.0)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$O$2:$O$425&lt;4.25), $Q70), 1)"),0.644)</f>
        <v>0.644</v>
      </c>
      <c r="V70" s="20">
        <f>IFERROR(__xludf.DUMMYFUNCTION("iferror(PERCENTRANK.INC(FILTER($Q$2:$Q$425, $O$2:$O$425&gt;=4.1), $Q70), 0.01)"),0.0)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$O$2:$O$425&lt;4.25), $Q71), 1)"),0.0)</f>
        <v>0</v>
      </c>
      <c r="V71" s="20">
        <f>IFERROR(__xludf.DUMMYFUNCTION("iferror(PERCENTRANK.INC(FILTER($Q$2:$Q$425, $O$2:$O$425&gt;=4.1), $Q71), 0.01)"),0.01)</f>
        <v>0.01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$O$2:$O$425&lt;4.25), $Q72), 1)"),0.64)</f>
        <v>0.64</v>
      </c>
      <c r="V72" s="20">
        <f>IFERROR(__xludf.DUMMYFUNCTION("iferror(PERCENTRANK.INC(FILTER($Q$2:$Q$425, $O$2:$O$425&gt;=4.1), $Q72), 0.01)"),0.0)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$O$2:$O$425&lt;4.25), $Q73), 1)"),0.634)</f>
        <v>0.634</v>
      </c>
      <c r="V73" s="20">
        <f>IFERROR(__xludf.DUMMYFUNCTION("iferror(PERCENTRANK.INC(FILTER($Q$2:$Q$425, $O$2:$O$425&gt;=4.1), $Q73), 0.01)"),0.01)</f>
        <v>0.01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$O$2:$O$425&lt;4.25), $Q74), 1)"),0.624)</f>
        <v>0.624</v>
      </c>
      <c r="V74" s="20">
        <f>IFERROR(__xludf.DUMMYFUNCTION("iferror(PERCENTRANK.INC(FILTER($Q$2:$Q$425, $O$2:$O$425&gt;=4.1), $Q74), 0.01)"),0.01)</f>
        <v>0.01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$O$2:$O$425&lt;4.25), $Q75), 1)"),0.614)</f>
        <v>0.614</v>
      </c>
      <c r="V75" s="20">
        <f>IFERROR(__xludf.DUMMYFUNCTION("iferror(PERCENTRANK.INC(FILTER($Q$2:$Q$425, $O$2:$O$425&gt;=4.1), $Q75), 0.01)"),0.01)</f>
        <v>0.01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$O$2:$O$425&lt;4.25), $Q76), 1)"),0.604)</f>
        <v>0.604</v>
      </c>
      <c r="V76" s="20">
        <f>IFERROR(__xludf.DUMMYFUNCTION("iferror(PERCENTRANK.INC(FILTER($Q$2:$Q$425, $O$2:$O$425&gt;=4.1), $Q76), 0.01)"),0.01)</f>
        <v>0.01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$O$2:$O$425&lt;4.25), $Q77), 1)"),0.594)</f>
        <v>0.594</v>
      </c>
      <c r="V77" s="20">
        <f>IFERROR(__xludf.DUMMYFUNCTION("iferror(PERCENTRANK.INC(FILTER($Q$2:$Q$425, $O$2:$O$425&gt;=4.1), $Q77), 0.01)"),0.01)</f>
        <v>0.01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$O$2:$O$425&lt;4.25), $Q78), 1)"),0.584)</f>
        <v>0.584</v>
      </c>
      <c r="V78" s="20">
        <f>IFERROR(__xludf.DUMMYFUNCTION("iferror(PERCENTRANK.INC(FILTER($Q$2:$Q$425, $O$2:$O$425&gt;=4.1), $Q78), 0.01)"),0.01)</f>
        <v>0.01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$O$2:$O$425&lt;4.25), $Q79), 1)"),1.0)</f>
        <v>1</v>
      </c>
      <c r="V79" s="20">
        <f>IFERROR(__xludf.DUMMYFUNCTION("iferror(PERCENTRANK.INC(FILTER($Q$2:$Q$425, $O$2:$O$425&gt;=4.1), $Q79), 0.01)"),0.472)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$O$2:$O$425&lt;4.25), $Q80), 1)"),0.574)</f>
        <v>0.574</v>
      </c>
      <c r="V80" s="20">
        <f>IFERROR(__xludf.DUMMYFUNCTION("iferror(PERCENTRANK.INC(FILTER($Q$2:$Q$425, $O$2:$O$425&gt;=4.1), $Q80), 0.01)"),0.01)</f>
        <v>0.01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$O$2:$O$425&lt;4.25), $Q81), 1)"),0.564)</f>
        <v>0.564</v>
      </c>
      <c r="V81" s="20">
        <f>IFERROR(__xludf.DUMMYFUNCTION("iferror(PERCENTRANK.INC(FILTER($Q$2:$Q$425, $O$2:$O$425&gt;=4.1), $Q81), 0.01)"),0.01)</f>
        <v>0.01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$O$2:$O$425&lt;4.25), $Q82), 1)"),0.554)</f>
        <v>0.554</v>
      </c>
      <c r="V82" s="20">
        <f>IFERROR(__xludf.DUMMYFUNCTION("iferror(PERCENTRANK.INC(FILTER($Q$2:$Q$425, $O$2:$O$425&gt;=4.1), $Q82), 0.01)"),0.01)</f>
        <v>0.01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$O$2:$O$425&lt;4.25), $Q83), 1)"),0.545)</f>
        <v>0.545</v>
      </c>
      <c r="V83" s="20">
        <f>IFERROR(__xludf.DUMMYFUNCTION("iferror(PERCENTRANK.INC(FILTER($Q$2:$Q$425, $O$2:$O$425&gt;=4.1), $Q83), 0.01)"),0.01)</f>
        <v>0.01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$O$2:$O$425&lt;4.25), $Q84), 1)"),0.535)</f>
        <v>0.535</v>
      </c>
      <c r="V84" s="20">
        <f>IFERROR(__xludf.DUMMYFUNCTION("iferror(PERCENTRANK.INC(FILTER($Q$2:$Q$425, $O$2:$O$425&gt;=4.1), $Q84), 0.01)"),0.01)</f>
        <v>0.01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$O$2:$O$425&lt;4.25), $Q85), 1)"),0.525)</f>
        <v>0.525</v>
      </c>
      <c r="V85" s="20">
        <f>IFERROR(__xludf.DUMMYFUNCTION("iferror(PERCENTRANK.INC(FILTER($Q$2:$Q$425, $O$2:$O$425&gt;=4.1), $Q85), 0.01)"),0.01)</f>
        <v>0.01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$O$2:$O$425&lt;4.25), $Q86), 1)"),0.515)</f>
        <v>0.515</v>
      </c>
      <c r="V86" s="20">
        <f>IFERROR(__xludf.DUMMYFUNCTION("iferror(PERCENTRANK.INC(FILTER($Q$2:$Q$425, $O$2:$O$425&gt;=4.1), $Q86), 0.01)"),0.01)</f>
        <v>0.01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$O$2:$O$425&lt;4.25), $Q87), 1)"),0.505)</f>
        <v>0.505</v>
      </c>
      <c r="V87" s="20">
        <f>IFERROR(__xludf.DUMMYFUNCTION("iferror(PERCENTRANK.INC(FILTER($Q$2:$Q$425, $O$2:$O$425&gt;=4.1), $Q87), 0.01)"),0.01)</f>
        <v>0.01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$O$2:$O$425&lt;4.25), $Q88), 1)"),0.861)</f>
        <v>0.861</v>
      </c>
      <c r="V88" s="20">
        <f>IFERROR(__xludf.DUMMYFUNCTION("iferror(PERCENTRANK.INC(FILTER($Q$2:$Q$425, $O$2:$O$425&gt;=4.1), $Q88), 0.01)"),0.024)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$O$2:$O$425&lt;4.25), $Q89), 1)"),0.495)</f>
        <v>0.495</v>
      </c>
      <c r="V89" s="20">
        <f>IFERROR(__xludf.DUMMYFUNCTION("iferror(PERCENTRANK.INC(FILTER($Q$2:$Q$425, $O$2:$O$425&gt;=4.1), $Q89), 0.01)"),0.01)</f>
        <v>0.01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$O$2:$O$425&lt;4.25), $Q90), 1)"),0.485)</f>
        <v>0.485</v>
      </c>
      <c r="V90" s="20">
        <f>IFERROR(__xludf.DUMMYFUNCTION("iferror(PERCENTRANK.INC(FILTER($Q$2:$Q$425, $O$2:$O$425&gt;=4.1), $Q90), 0.01)"),0.01)</f>
        <v>0.01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$O$2:$O$425&lt;4.25), $Q91), 1)"),0.475)</f>
        <v>0.475</v>
      </c>
      <c r="V91" s="20">
        <f>IFERROR(__xludf.DUMMYFUNCTION("iferror(PERCENTRANK.INC(FILTER($Q$2:$Q$425, $O$2:$O$425&gt;=4.1), $Q91), 0.01)"),0.01)</f>
        <v>0.01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$O$2:$O$425&lt;4.25), $Q92), 1)"),0.465)</f>
        <v>0.465</v>
      </c>
      <c r="V92" s="20">
        <f>IFERROR(__xludf.DUMMYFUNCTION("iferror(PERCENTRANK.INC(FILTER($Q$2:$Q$425, $O$2:$O$425&gt;=4.1), $Q92), 0.01)"),0.01)</f>
        <v>0.01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$O$2:$O$425&lt;4.25), $Q93), 1)"),0.455)</f>
        <v>0.455</v>
      </c>
      <c r="V93" s="20">
        <f>IFERROR(__xludf.DUMMYFUNCTION("iferror(PERCENTRANK.INC(FILTER($Q$2:$Q$425, $O$2:$O$425&gt;=4.1), $Q93), 0.01)"),0.01)</f>
        <v>0.01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$O$2:$O$425&lt;4.25), $Q94), 1)"),0.446)</f>
        <v>0.446</v>
      </c>
      <c r="V94" s="20">
        <f>IFERROR(__xludf.DUMMYFUNCTION("iferror(PERCENTRANK.INC(FILTER($Q$2:$Q$425, $O$2:$O$425&gt;=4.1), $Q94), 0.01)"),0.01)</f>
        <v>0.01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$O$2:$O$425&lt;4.25), $Q95), 1)"),0.436)</f>
        <v>0.436</v>
      </c>
      <c r="V95" s="20">
        <f>IFERROR(__xludf.DUMMYFUNCTION("iferror(PERCENTRANK.INC(FILTER($Q$2:$Q$425, $O$2:$O$425&gt;=4.1), $Q95), 0.01)"),0.01)</f>
        <v>0.01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$O$2:$O$425&lt;4.25), $Q96), 1)"),0.426)</f>
        <v>0.426</v>
      </c>
      <c r="V96" s="20">
        <f>IFERROR(__xludf.DUMMYFUNCTION("iferror(PERCENTRANK.INC(FILTER($Q$2:$Q$425, $O$2:$O$425&gt;=4.1), $Q96), 0.01)"),0.01)</f>
        <v>0.01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$O$2:$O$425&lt;4.25), $Q97), 1)"),0.416)</f>
        <v>0.416</v>
      </c>
      <c r="V97" s="20">
        <f>IFERROR(__xludf.DUMMYFUNCTION("iferror(PERCENTRANK.INC(FILTER($Q$2:$Q$425, $O$2:$O$425&gt;=4.1), $Q97), 0.01)"),0.01)</f>
        <v>0.01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$O$2:$O$425&lt;4.25), $Q98), 1)"),0.406)</f>
        <v>0.406</v>
      </c>
      <c r="V98" s="20">
        <f>IFERROR(__xludf.DUMMYFUNCTION("iferror(PERCENTRANK.INC(FILTER($Q$2:$Q$425, $O$2:$O$425&gt;=4.1), $Q98), 0.01)"),0.01)</f>
        <v>0.01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$O$2:$O$425&lt;4.25), $Q99), 1)"),0.396)</f>
        <v>0.396</v>
      </c>
      <c r="V99" s="20">
        <f>IFERROR(__xludf.DUMMYFUNCTION("iferror(PERCENTRANK.INC(FILTER($Q$2:$Q$425, $O$2:$O$425&gt;=4.1), $Q99), 0.01)"),0.01)</f>
        <v>0.01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$O$2:$O$425&lt;4.25), $Q100), 1)"),0.386)</f>
        <v>0.386</v>
      </c>
      <c r="V100" s="20">
        <f>IFERROR(__xludf.DUMMYFUNCTION("iferror(PERCENTRANK.INC(FILTER($Q$2:$Q$425, $O$2:$O$425&gt;=4.1), $Q100), 0.01)"),0.01)</f>
        <v>0.01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$O$2:$O$425&lt;4.25), $Q101), 1)"),0.376)</f>
        <v>0.376</v>
      </c>
      <c r="V101" s="20">
        <f>IFERROR(__xludf.DUMMYFUNCTION("iferror(PERCENTRANK.INC(FILTER($Q$2:$Q$425, $O$2:$O$425&gt;=4.1), $Q101), 0.01)"),0.01)</f>
        <v>0.01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$O$2:$O$425&lt;4.25), $Q102), 1)"),0.366)</f>
        <v>0.366</v>
      </c>
      <c r="V102" s="20">
        <f>IFERROR(__xludf.DUMMYFUNCTION("iferror(PERCENTRANK.INC(FILTER($Q$2:$Q$425, $O$2:$O$425&gt;=4.1), $Q102), 0.01)"),0.01)</f>
        <v>0.01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$O$2:$O$425&lt;4.25), $Q103), 1)"),0.356)</f>
        <v>0.356</v>
      </c>
      <c r="V103" s="20">
        <f>IFERROR(__xludf.DUMMYFUNCTION("iferror(PERCENTRANK.INC(FILTER($Q$2:$Q$425, $O$2:$O$425&gt;=4.1), $Q103), 0.01)"),0.01)</f>
        <v>0.01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$O$2:$O$425&lt;4.25), $Q104), 1)"),0.347)</f>
        <v>0.347</v>
      </c>
      <c r="V104" s="20">
        <f>IFERROR(__xludf.DUMMYFUNCTION("iferror(PERCENTRANK.INC(FILTER($Q$2:$Q$425, $O$2:$O$425&gt;=4.1), $Q104), 0.01)"),0.01)</f>
        <v>0.01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$O$2:$O$425&lt;4.25), $Q105), 1)"),0.337)</f>
        <v>0.337</v>
      </c>
      <c r="V105" s="20">
        <f>IFERROR(__xludf.DUMMYFUNCTION("iferror(PERCENTRANK.INC(FILTER($Q$2:$Q$425, $O$2:$O$425&gt;=4.1), $Q105), 0.01)"),0.01)</f>
        <v>0.01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$O$2:$O$425&lt;4.25), $Q106), 1)"),0.327)</f>
        <v>0.327</v>
      </c>
      <c r="V106" s="20">
        <f>IFERROR(__xludf.DUMMYFUNCTION("iferror(PERCENTRANK.INC(FILTER($Q$2:$Q$425, $O$2:$O$425&gt;=4.1), $Q106), 0.01)"),0.01)</f>
        <v>0.01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$O$2:$O$425&lt;4.25), $Q107), 1)"),0.317)</f>
        <v>0.317</v>
      </c>
      <c r="V107" s="20">
        <f>IFERROR(__xludf.DUMMYFUNCTION("iferror(PERCENTRANK.INC(FILTER($Q$2:$Q$425, $O$2:$O$425&gt;=4.1), $Q107), 0.01)"),0.01)</f>
        <v>0.01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$O$2:$O$425&lt;4.25), $Q108), 1)"),0.307)</f>
        <v>0.307</v>
      </c>
      <c r="V108" s="20">
        <f>IFERROR(__xludf.DUMMYFUNCTION("iferror(PERCENTRANK.INC(FILTER($Q$2:$Q$425, $O$2:$O$425&gt;=4.1), $Q108), 0.01)"),0.01)</f>
        <v>0.01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$O$2:$O$425&lt;4.25), $Q109), 1)"),0.991)</f>
        <v>0.991</v>
      </c>
      <c r="V109" s="20">
        <f>IFERROR(__xludf.DUMMYFUNCTION("iferror(PERCENTRANK.INC(FILTER($Q$2:$Q$425, $O$2:$O$425&gt;=4.1), $Q109), 0.01)"),0.056)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$O$2:$O$425&lt;4.25), $Q110), 1)"),0.297)</f>
        <v>0.297</v>
      </c>
      <c r="V110" s="20">
        <f>IFERROR(__xludf.DUMMYFUNCTION("iferror(PERCENTRANK.INC(FILTER($Q$2:$Q$425, $O$2:$O$425&gt;=4.1), $Q110), 0.01)"),0.01)</f>
        <v>0.01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$O$2:$O$425&lt;4.25), $Q111), 1)"),0.287)</f>
        <v>0.287</v>
      </c>
      <c r="V111" s="20">
        <f>IFERROR(__xludf.DUMMYFUNCTION("iferror(PERCENTRANK.INC(FILTER($Q$2:$Q$425, $O$2:$O$425&gt;=4.1), $Q111), 0.01)"),0.01)</f>
        <v>0.01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$O$2:$O$425&lt;4.25), $Q112), 1)"),0.277)</f>
        <v>0.277</v>
      </c>
      <c r="V112" s="20">
        <f>IFERROR(__xludf.DUMMYFUNCTION("iferror(PERCENTRANK.INC(FILTER($Q$2:$Q$425, $O$2:$O$425&gt;=4.1), $Q112), 0.01)"),0.01)</f>
        <v>0.01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$O$2:$O$425&lt;4.25), $Q113), 1)"),0.267)</f>
        <v>0.267</v>
      </c>
      <c r="V113" s="20">
        <f>IFERROR(__xludf.DUMMYFUNCTION("iferror(PERCENTRANK.INC(FILTER($Q$2:$Q$425, $O$2:$O$425&gt;=4.1), $Q113), 0.01)"),0.01)</f>
        <v>0.01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$O$2:$O$425&lt;4.25), $Q114), 1)"),0.257)</f>
        <v>0.257</v>
      </c>
      <c r="V114" s="20">
        <f>IFERROR(__xludf.DUMMYFUNCTION("iferror(PERCENTRANK.INC(FILTER($Q$2:$Q$425, $O$2:$O$425&gt;=4.1), $Q114), 0.01)"),0.01)</f>
        <v>0.01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$O$2:$O$425&lt;4.25), $Q115), 1)"),0.248)</f>
        <v>0.248</v>
      </c>
      <c r="V115" s="20">
        <f>IFERROR(__xludf.DUMMYFUNCTION("iferror(PERCENTRANK.INC(FILTER($Q$2:$Q$425, $O$2:$O$425&gt;=4.1), $Q115), 0.01)"),0.01)</f>
        <v>0.01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$O$2:$O$425&lt;4.25), $Q116), 1)"),0.238)</f>
        <v>0.238</v>
      </c>
      <c r="V116" s="20">
        <f>IFERROR(__xludf.DUMMYFUNCTION("iferror(PERCENTRANK.INC(FILTER($Q$2:$Q$425, $O$2:$O$425&gt;=4.1), $Q116), 0.01)"),0.01)</f>
        <v>0.01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$O$2:$O$425&lt;4.25), $Q117), 1)"),0.228)</f>
        <v>0.228</v>
      </c>
      <c r="V117" s="20">
        <f>IFERROR(__xludf.DUMMYFUNCTION("iferror(PERCENTRANK.INC(FILTER($Q$2:$Q$425, $O$2:$O$425&gt;=4.1), $Q117), 0.01)"),0.01)</f>
        <v>0.01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$O$2:$O$425&lt;4.25), $Q118), 1)"),0.218)</f>
        <v>0.218</v>
      </c>
      <c r="V118" s="20">
        <f>IFERROR(__xludf.DUMMYFUNCTION("iferror(PERCENTRANK.INC(FILTER($Q$2:$Q$425, $O$2:$O$425&gt;=4.1), $Q118), 0.01)"),0.01)</f>
        <v>0.01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$O$2:$O$425&lt;4.25), $Q119), 1)"),0.208)</f>
        <v>0.208</v>
      </c>
      <c r="V119" s="20">
        <f>IFERROR(__xludf.DUMMYFUNCTION("iferror(PERCENTRANK.INC(FILTER($Q$2:$Q$425, $O$2:$O$425&gt;=4.1), $Q119), 0.01)"),0.01)</f>
        <v>0.01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$O$2:$O$425&lt;4.25), $Q120), 1)"),0.198)</f>
        <v>0.198</v>
      </c>
      <c r="V120" s="20">
        <f>IFERROR(__xludf.DUMMYFUNCTION("iferror(PERCENTRANK.INC(FILTER($Q$2:$Q$425, $O$2:$O$425&gt;=4.1), $Q120), 0.01)"),0.01)</f>
        <v>0.01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$O$2:$O$425&lt;4.25), $Q121), 1)"),0.188)</f>
        <v>0.188</v>
      </c>
      <c r="V121" s="20">
        <f>IFERROR(__xludf.DUMMYFUNCTION("iferror(PERCENTRANK.INC(FILTER($Q$2:$Q$425, $O$2:$O$425&gt;=4.1), $Q121), 0.01)"),0.01)</f>
        <v>0.01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$O$2:$O$425&lt;4.25), $Q122), 1)"),0.178)</f>
        <v>0.178</v>
      </c>
      <c r="V122" s="20">
        <f>IFERROR(__xludf.DUMMYFUNCTION("iferror(PERCENTRANK.INC(FILTER($Q$2:$Q$425, $O$2:$O$425&gt;=4.1), $Q122), 0.01)"),0.01)</f>
        <v>0.01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$O$2:$O$425&lt;4.25), $Q123), 1)"),0.168)</f>
        <v>0.168</v>
      </c>
      <c r="V123" s="20">
        <f>IFERROR(__xludf.DUMMYFUNCTION("iferror(PERCENTRANK.INC(FILTER($Q$2:$Q$425, $O$2:$O$425&gt;=4.1), $Q123), 0.01)"),0.01)</f>
        <v>0.01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$O$2:$O$425&lt;4.25), $Q124), 1)"),0.158)</f>
        <v>0.158</v>
      </c>
      <c r="V124" s="20">
        <f>IFERROR(__xludf.DUMMYFUNCTION("iferror(PERCENTRANK.INC(FILTER($Q$2:$Q$425, $O$2:$O$425&gt;=4.1), $Q124), 0.01)"),0.01)</f>
        <v>0.01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$O$2:$O$425&lt;4.25), $Q125), 1)"),0.149)</f>
        <v>0.149</v>
      </c>
      <c r="V125" s="20">
        <f>IFERROR(__xludf.DUMMYFUNCTION("iferror(PERCENTRANK.INC(FILTER($Q$2:$Q$425, $O$2:$O$425&gt;=4.1), $Q125), 0.01)"),0.01)</f>
        <v>0.01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$O$2:$O$425&lt;4.25), $Q126), 1)"),0.139)</f>
        <v>0.139</v>
      </c>
      <c r="V126" s="20">
        <f>IFERROR(__xludf.DUMMYFUNCTION("iferror(PERCENTRANK.INC(FILTER($Q$2:$Q$425, $O$2:$O$425&gt;=4.1), $Q126), 0.01)"),0.01)</f>
        <v>0.01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$O$2:$O$425&lt;4.25), $Q127), 1)"),0.129)</f>
        <v>0.129</v>
      </c>
      <c r="V127" s="20">
        <f>IFERROR(__xludf.DUMMYFUNCTION("iferror(PERCENTRANK.INC(FILTER($Q$2:$Q$425, $O$2:$O$425&gt;=4.1), $Q127), 0.01)"),0.01)</f>
        <v>0.01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$O$2:$O$425&lt;4.25), $Q128), 1)"),0.119)</f>
        <v>0.119</v>
      </c>
      <c r="V128" s="20">
        <f>IFERROR(__xludf.DUMMYFUNCTION("iferror(PERCENTRANK.INC(FILTER($Q$2:$Q$425, $O$2:$O$425&gt;=4.1), $Q128), 0.01)"),0.01)</f>
        <v>0.01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$O$2:$O$425&lt;4.25), $Q129), 1)"),0.109)</f>
        <v>0.109</v>
      </c>
      <c r="V129" s="20">
        <f>IFERROR(__xludf.DUMMYFUNCTION("iferror(PERCENTRANK.INC(FILTER($Q$2:$Q$425, $O$2:$O$425&gt;=4.1), $Q129), 0.01)"),0.01)</f>
        <v>0.01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$O$2:$O$425&lt;4.25), $Q130), 1)"),0.099)</f>
        <v>0.099</v>
      </c>
      <c r="V130" s="20">
        <f>IFERROR(__xludf.DUMMYFUNCTION("iferror(PERCENTRANK.INC(FILTER($Q$2:$Q$425, $O$2:$O$425&gt;=4.1), $Q130), 0.01)"),0.01)</f>
        <v>0.01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$O$2:$O$425&lt;4.25), $Q131), 1)"),0.089)</f>
        <v>0.089</v>
      </c>
      <c r="V131" s="20">
        <f>IFERROR(__xludf.DUMMYFUNCTION("iferror(PERCENTRANK.INC(FILTER($Q$2:$Q$425, $O$2:$O$425&gt;=4.1), $Q131), 0.01)"),0.01)</f>
        <v>0.01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$O$2:$O$425&lt;4.25), $Q132), 1)"),0.079)</f>
        <v>0.079</v>
      </c>
      <c r="V132" s="20">
        <f>IFERROR(__xludf.DUMMYFUNCTION("iferror(PERCENTRANK.INC(FILTER($Q$2:$Q$425, $O$2:$O$425&gt;=4.1), $Q132), 0.01)"),0.01)</f>
        <v>0.01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$O$2:$O$425&lt;4.25), $Q133), 1)"),0.069)</f>
        <v>0.069</v>
      </c>
      <c r="V133" s="20">
        <f>IFERROR(__xludf.DUMMYFUNCTION("iferror(PERCENTRANK.INC(FILTER($Q$2:$Q$425, $O$2:$O$425&gt;=4.1), $Q133), 0.01)"),0.01)</f>
        <v>0.01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$O$2:$O$425&lt;4.25), $Q134), 1)"),0.812)</f>
        <v>0.812</v>
      </c>
      <c r="V134" s="20">
        <f>IFERROR(__xludf.DUMMYFUNCTION("iferror(PERCENTRANK.INC(FILTER($Q$2:$Q$425, $O$2:$O$425&gt;=4.1), $Q134), 0.01)"),0.021)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$O$2:$O$425&lt;4.25), $Q135), 1)"),0.059)</f>
        <v>0.059</v>
      </c>
      <c r="V135" s="20">
        <f>IFERROR(__xludf.DUMMYFUNCTION("iferror(PERCENTRANK.INC(FILTER($Q$2:$Q$425, $O$2:$O$425&gt;=4.1), $Q135), 0.01)"),0.01)</f>
        <v>0.01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$O$2:$O$425&lt;4.25), $Q136), 1)"),0.05)</f>
        <v>0.05</v>
      </c>
      <c r="V136" s="20">
        <f>IFERROR(__xludf.DUMMYFUNCTION("iferror(PERCENTRANK.INC(FILTER($Q$2:$Q$425, $O$2:$O$425&gt;=4.1), $Q136), 0.01)"),0.01)</f>
        <v>0.01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$O$2:$O$425&lt;4.25), $Q137), 1)"),0.04)</f>
        <v>0.04</v>
      </c>
      <c r="V137" s="20">
        <f>IFERROR(__xludf.DUMMYFUNCTION("iferror(PERCENTRANK.INC(FILTER($Q$2:$Q$425, $O$2:$O$425&gt;=4.1), $Q137), 0.01)"),0.01)</f>
        <v>0.01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$O$2:$O$425&lt;4.25), $Q138), 1)"),0.03)</f>
        <v>0.03</v>
      </c>
      <c r="V138" s="20">
        <f>IFERROR(__xludf.DUMMYFUNCTION("iferror(PERCENTRANK.INC(FILTER($Q$2:$Q$425, $O$2:$O$425&gt;=4.1), $Q138), 0.01)"),0.01)</f>
        <v>0.01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$O$2:$O$425&lt;4.25), $Q139), 1)"),0.02)</f>
        <v>0.02</v>
      </c>
      <c r="V139" s="20">
        <f>IFERROR(__xludf.DUMMYFUNCTION("iferror(PERCENTRANK.INC(FILTER($Q$2:$Q$425, $O$2:$O$425&gt;=4.1), $Q139), 0.01)"),0.01)</f>
        <v>0.01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$O$2:$O$425&lt;4.25), $Q140), 1)"),0.01)</f>
        <v>0.01</v>
      </c>
      <c r="V140" s="20">
        <f>IFERROR(__xludf.DUMMYFUNCTION("iferror(PERCENTRANK.INC(FILTER($Q$2:$Q$425, $O$2:$O$425&gt;=4.1), $Q140), 0.01)"),0.01)</f>
        <v>0.01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9" si="1">IFERROR((P2*0.5+O2*0.2+R2*N2*0.2+Q2*0.1), 0)</f>
        <v>6.171831103</v>
      </c>
      <c r="T2" s="20">
        <f t="shared" ref="T2:T259" si="2">100*(S2-MIN($S$2:$S$502))/(MAX($S$2:$S$502) - MIN($S$2:$S$502))</f>
        <v>100</v>
      </c>
      <c r="U2" s="20">
        <f t="shared" ref="U2:U259" si="3">T2-L2</f>
        <v>33.21053383</v>
      </c>
      <c r="W2" s="20">
        <f>IFERROR(__xludf.DUMMYFUNCTION("iferror(PERCENTRANK.INC(FILTER($S$2:$S$426, $P$2:$P$426&lt;3.75), $S2), 1)"),1.0)</f>
        <v>1</v>
      </c>
      <c r="X2" s="20">
        <f>IFERROR(__xludf.DUMMYFUNCTION("iferror(PERCENTRANK.INC(FILTER($S$2:$S$426, $P$2:$P$426&lt;4.5), $S2), 1)"),1.0)</f>
        <v>1</v>
      </c>
      <c r="Y2" s="20">
        <f>IFERROR(__xludf.DUMMYFUNCTION("iferror(PERCENTRANK.INC(FILTER($S$2:$S$426, $P$2:$P$426&gt;=4.1), $S2), 0.01)"),1.0)</f>
        <v>1</v>
      </c>
    </row>
    <row r="3" ht="14.25" customHeight="1">
      <c r="A3" s="14" t="s">
        <v>955</v>
      </c>
      <c r="B3" s="14" t="s">
        <v>315</v>
      </c>
      <c r="C3" s="14" t="s">
        <v>954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IFERROR(__xludf.DUMMYFUNCTION("iferror(PERCENTRANK.INC(FILTER($S$2:$S$426, $P$2:$P$426&lt;3.75), $S3), 1)"),1.0)</f>
        <v>1</v>
      </c>
      <c r="X3" s="20">
        <f>IFERROR(__xludf.DUMMYFUNCTION("iferror(PERCENTRANK.INC(FILTER($S$2:$S$426, $P$2:$P$426&lt;4.5), $S3), 1)"),1.0)</f>
        <v>1</v>
      </c>
      <c r="Y3" s="20">
        <f>IFERROR(__xludf.DUMMYFUNCTION("iferror(PERCENTRANK.INC(FILTER($S$2:$S$426, $P$2:$P$426&gt;=4.1), $S3), 0.01)"),0.985)</f>
        <v>0.985</v>
      </c>
    </row>
    <row r="4" ht="14.25" customHeight="1">
      <c r="A4" s="14" t="s">
        <v>956</v>
      </c>
      <c r="B4" s="14" t="s">
        <v>175</v>
      </c>
      <c r="C4" s="14" t="s">
        <v>954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IFERROR(__xludf.DUMMYFUNCTION("iferror(PERCENTRANK.INC(FILTER($S$2:$S$426, $P$2:$P$426&lt;3.75), $S4), 1)"),1.0)</f>
        <v>1</v>
      </c>
      <c r="X4" s="20">
        <f>IFERROR(__xludf.DUMMYFUNCTION("iferror(PERCENTRANK.INC(FILTER($S$2:$S$426, $P$2:$P$426&lt;4.5), $S4), 1)"),1.0)</f>
        <v>1</v>
      </c>
      <c r="Y4" s="20">
        <f>IFERROR(__xludf.DUMMYFUNCTION("iferror(PERCENTRANK.INC(FILTER($S$2:$S$426, $P$2:$P$426&gt;=4.1), $S4), 0.01)"),0.97)</f>
        <v>0.97</v>
      </c>
    </row>
    <row r="5" ht="14.25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IFERROR(__xludf.DUMMYFUNCTION("iferror(PERCENTRANK.INC(FILTER($S$2:$S$426, $P$2:$P$426&lt;3.75), $S5), 1)"),1.0)</f>
        <v>1</v>
      </c>
      <c r="X5" s="20">
        <f>IFERROR(__xludf.DUMMYFUNCTION("iferror(PERCENTRANK.INC(FILTER($S$2:$S$426, $P$2:$P$426&lt;4.5), $S5), 1)"),1.0)</f>
        <v>1</v>
      </c>
      <c r="Y5" s="20">
        <f>IFERROR(__xludf.DUMMYFUNCTION("iferror(PERCENTRANK.INC(FILTER($S$2:$S$426, $P$2:$P$426&gt;=4.1), $S5), 0.01)"),0.955)</f>
        <v>0.955</v>
      </c>
    </row>
    <row r="6" ht="14.25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IFERROR(__xludf.DUMMYFUNCTION("iferror(PERCENTRANK.INC(FILTER($S$2:$S$426, $P$2:$P$426&lt;3.75), $S6), 1)"),1.0)</f>
        <v>1</v>
      </c>
      <c r="X6" s="20">
        <f>IFERROR(__xludf.DUMMYFUNCTION("iferror(PERCENTRANK.INC(FILTER($S$2:$S$426, $P$2:$P$426&lt;4.5), $S6), 1)"),0.999)</f>
        <v>0.999</v>
      </c>
      <c r="Y6" s="20">
        <f>IFERROR(__xludf.DUMMYFUNCTION("iferror(PERCENTRANK.INC(FILTER($S$2:$S$426, $P$2:$P$426&gt;=4.1), $S6), 0.01)"),0.94)</f>
        <v>0.94</v>
      </c>
    </row>
    <row r="7" ht="14.25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IFERROR(__xludf.DUMMYFUNCTION("iferror(PERCENTRANK.INC(FILTER($S$2:$S$426, $P$2:$P$426&lt;3.75), $S7), 1)"),1.0)</f>
        <v>1</v>
      </c>
      <c r="X7" s="20">
        <f>IFERROR(__xludf.DUMMYFUNCTION("iferror(PERCENTRANK.INC(FILTER($S$2:$S$426, $P$2:$P$426&lt;4.5), $S7), 1)"),0.998)</f>
        <v>0.998</v>
      </c>
      <c r="Y7" s="20">
        <f>IFERROR(__xludf.DUMMYFUNCTION("iferror(PERCENTRANK.INC(FILTER($S$2:$S$426, $P$2:$P$426&gt;=4.1), $S7), 0.01)"),0.925)</f>
        <v>0.925</v>
      </c>
    </row>
    <row r="8" ht="14.25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IFERROR(__xludf.DUMMYFUNCTION("iferror(PERCENTRANK.INC(FILTER($S$2:$S$426, $P$2:$P$426&lt;3.75), $S8), 1)"),1.0)</f>
        <v>1</v>
      </c>
      <c r="X8" s="20">
        <f>IFERROR(__xludf.DUMMYFUNCTION("iferror(PERCENTRANK.INC(FILTER($S$2:$S$426, $P$2:$P$426&lt;4.5), $S8), 1)"),0.998)</f>
        <v>0.998</v>
      </c>
      <c r="Y8" s="20">
        <f>IFERROR(__xludf.DUMMYFUNCTION("iferror(PERCENTRANK.INC(FILTER($S$2:$S$426, $P$2:$P$426&gt;=4.1), $S8), 0.01)"),0.91)</f>
        <v>0.91</v>
      </c>
    </row>
    <row r="9" ht="14.25" customHeight="1">
      <c r="A9" s="14" t="s">
        <v>961</v>
      </c>
      <c r="B9" s="14" t="s">
        <v>263</v>
      </c>
      <c r="C9" s="14" t="s">
        <v>954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IFERROR(__xludf.DUMMYFUNCTION("iferror(PERCENTRANK.INC(FILTER($S$2:$S$426, $P$2:$P$426&lt;3.75), $S9), 1)"),1.0)</f>
        <v>1</v>
      </c>
      <c r="X9" s="20">
        <f>IFERROR(__xludf.DUMMYFUNCTION("iferror(PERCENTRANK.INC(FILTER($S$2:$S$426, $P$2:$P$426&lt;4.5), $S9), 1)"),0.998)</f>
        <v>0.998</v>
      </c>
      <c r="Y9" s="20">
        <f>IFERROR(__xludf.DUMMYFUNCTION("iferror(PERCENTRANK.INC(FILTER($S$2:$S$426, $P$2:$P$426&gt;=4.1), $S9), 0.01)"),0.896)</f>
        <v>0.896</v>
      </c>
    </row>
    <row r="10" ht="14.25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IFERROR(__xludf.DUMMYFUNCTION("iferror(PERCENTRANK.INC(FILTER($S$2:$S$426, $P$2:$P$426&lt;3.75), $S10), 1)"),1.0)</f>
        <v>1</v>
      </c>
      <c r="X10" s="20">
        <f>IFERROR(__xludf.DUMMYFUNCTION("iferror(PERCENTRANK.INC(FILTER($S$2:$S$426, $P$2:$P$426&lt;4.5), $S10), 1)"),0.995)</f>
        <v>0.995</v>
      </c>
      <c r="Y10" s="20">
        <f>IFERROR(__xludf.DUMMYFUNCTION("iferror(PERCENTRANK.INC(FILTER($S$2:$S$426, $P$2:$P$426&gt;=4.1), $S10), 0.01)"),0.881)</f>
        <v>0.881</v>
      </c>
    </row>
    <row r="11" ht="14.25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IFERROR(__xludf.DUMMYFUNCTION("iferror(PERCENTRANK.INC(FILTER($S$2:$S$426, $P$2:$P$426&lt;3.75), $S11), 1)"),1.0)</f>
        <v>1</v>
      </c>
      <c r="X11" s="20">
        <f>IFERROR(__xludf.DUMMYFUNCTION("iferror(PERCENTRANK.INC(FILTER($S$2:$S$426, $P$2:$P$426&lt;4.5), $S11), 1)"),0.994)</f>
        <v>0.994</v>
      </c>
      <c r="Y11" s="20">
        <f>IFERROR(__xludf.DUMMYFUNCTION("iferror(PERCENTRANK.INC(FILTER($S$2:$S$426, $P$2:$P$426&gt;=4.1), $S11), 0.01)"),0.866)</f>
        <v>0.866</v>
      </c>
    </row>
    <row r="12" ht="14.25" customHeight="1">
      <c r="A12" s="14" t="s">
        <v>964</v>
      </c>
      <c r="B12" s="14" t="s">
        <v>375</v>
      </c>
      <c r="C12" s="14" t="s">
        <v>954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IFERROR(__xludf.DUMMYFUNCTION("iferror(PERCENTRANK.INC(FILTER($S$2:$S$426, $P$2:$P$426&lt;3.75), $S12), 1)"),1.0)</f>
        <v>1</v>
      </c>
      <c r="X12" s="20">
        <f>IFERROR(__xludf.DUMMYFUNCTION("iferror(PERCENTRANK.INC(FILTER($S$2:$S$426, $P$2:$P$426&lt;4.5), $S12), 1)"),0.993)</f>
        <v>0.993</v>
      </c>
      <c r="Y12" s="20">
        <f>IFERROR(__xludf.DUMMYFUNCTION("iferror(PERCENTRANK.INC(FILTER($S$2:$S$426, $P$2:$P$426&gt;=4.1), $S12), 0.01)"),0.851)</f>
        <v>0.851</v>
      </c>
    </row>
    <row r="13" ht="14.25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IFERROR(__xludf.DUMMYFUNCTION("iferror(PERCENTRANK.INC(FILTER($S$2:$S$426, $P$2:$P$426&lt;3.75), $S13), 1)"),1.0)</f>
        <v>1</v>
      </c>
      <c r="X13" s="20">
        <f>IFERROR(__xludf.DUMMYFUNCTION("iferror(PERCENTRANK.INC(FILTER($S$2:$S$426, $P$2:$P$426&lt;4.5), $S13), 1)"),0.992)</f>
        <v>0.992</v>
      </c>
      <c r="Y13" s="20">
        <f>IFERROR(__xludf.DUMMYFUNCTION("iferror(PERCENTRANK.INC(FILTER($S$2:$S$426, $P$2:$P$426&gt;=4.1), $S13), 0.01)"),0.836)</f>
        <v>0.836</v>
      </c>
    </row>
    <row r="14" ht="14.25" customHeight="1">
      <c r="A14" s="14" t="s">
        <v>966</v>
      </c>
      <c r="B14" s="14" t="s">
        <v>223</v>
      </c>
      <c r="C14" s="14" t="s">
        <v>954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IFERROR(__xludf.DUMMYFUNCTION("iferror(PERCENTRANK.INC(FILTER($S$2:$S$426, $P$2:$P$426&lt;3.75), $S14), 1)"),1.0)</f>
        <v>1</v>
      </c>
      <c r="X14" s="20">
        <f>IFERROR(__xludf.DUMMYFUNCTION("iferror(PERCENTRANK.INC(FILTER($S$2:$S$426, $P$2:$P$426&lt;4.5), $S14), 1)"),0.991)</f>
        <v>0.991</v>
      </c>
      <c r="Y14" s="20">
        <f>IFERROR(__xludf.DUMMYFUNCTION("iferror(PERCENTRANK.INC(FILTER($S$2:$S$426, $P$2:$P$426&gt;=4.1), $S14), 0.01)"),0.821)</f>
        <v>0.821</v>
      </c>
    </row>
    <row r="15" ht="14.25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IFERROR(__xludf.DUMMYFUNCTION("iferror(PERCENTRANK.INC(FILTER($S$2:$S$426, $P$2:$P$426&lt;3.75), $S15), 1)"),1.0)</f>
        <v>1</v>
      </c>
      <c r="X15" s="20">
        <f>IFERROR(__xludf.DUMMYFUNCTION("iferror(PERCENTRANK.INC(FILTER($S$2:$S$426, $P$2:$P$426&lt;4.5), $S15), 1)"),0.99)</f>
        <v>0.99</v>
      </c>
      <c r="Y15" s="20">
        <f>IFERROR(__xludf.DUMMYFUNCTION("iferror(PERCENTRANK.INC(FILTER($S$2:$S$426, $P$2:$P$426&gt;=4.1), $S15), 0.01)"),0.806)</f>
        <v>0.806</v>
      </c>
    </row>
    <row r="16" ht="14.25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IFERROR(__xludf.DUMMYFUNCTION("iferror(PERCENTRANK.INC(FILTER($S$2:$S$426, $P$2:$P$426&lt;3.75), $S16), 1)"),1.0)</f>
        <v>1</v>
      </c>
      <c r="X16" s="20">
        <f>IFERROR(__xludf.DUMMYFUNCTION("iferror(PERCENTRANK.INC(FILTER($S$2:$S$426, $P$2:$P$426&lt;4.5), $S16), 1)"),0.986)</f>
        <v>0.986</v>
      </c>
      <c r="Y16" s="20">
        <f>IFERROR(__xludf.DUMMYFUNCTION("iferror(PERCENTRANK.INC(FILTER($S$2:$S$426, $P$2:$P$426&gt;=4.1), $S16), 0.01)"),0.791)</f>
        <v>0.791</v>
      </c>
    </row>
    <row r="17" ht="14.25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IFERROR(__xludf.DUMMYFUNCTION("iferror(PERCENTRANK.INC(FILTER($S$2:$S$426, $P$2:$P$426&lt;3.75), $S17), 1)"),1.0)</f>
        <v>1</v>
      </c>
      <c r="X17" s="20">
        <f>IFERROR(__xludf.DUMMYFUNCTION("iferror(PERCENTRANK.INC(FILTER($S$2:$S$426, $P$2:$P$426&lt;4.5), $S17), 1)"),0.984)</f>
        <v>0.984</v>
      </c>
      <c r="Y17" s="20">
        <f>IFERROR(__xludf.DUMMYFUNCTION("iferror(PERCENTRANK.INC(FILTER($S$2:$S$426, $P$2:$P$426&gt;=4.1), $S17), 0.01)"),0.776)</f>
        <v>0.776</v>
      </c>
    </row>
    <row r="18" ht="14.25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IFERROR(__xludf.DUMMYFUNCTION("iferror(PERCENTRANK.INC(FILTER($S$2:$S$426, $P$2:$P$426&lt;3.75), $S18), 1)"),1.0)</f>
        <v>1</v>
      </c>
      <c r="X18" s="20">
        <f>IFERROR(__xludf.DUMMYFUNCTION("iferror(PERCENTRANK.INC(FILTER($S$2:$S$426, $P$2:$P$426&lt;4.5), $S18), 1)"),0.982)</f>
        <v>0.982</v>
      </c>
      <c r="Y18" s="20">
        <f>IFERROR(__xludf.DUMMYFUNCTION("iferror(PERCENTRANK.INC(FILTER($S$2:$S$426, $P$2:$P$426&gt;=4.1), $S18), 0.01)"),0.761)</f>
        <v>0.761</v>
      </c>
    </row>
    <row r="19" ht="14.25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IFERROR(__xludf.DUMMYFUNCTION("iferror(PERCENTRANK.INC(FILTER($S$2:$S$426, $P$2:$P$426&lt;3.75), $S19), 1)"),1.0)</f>
        <v>1</v>
      </c>
      <c r="X19" s="20">
        <f>IFERROR(__xludf.DUMMYFUNCTION("iferror(PERCENTRANK.INC(FILTER($S$2:$S$426, $P$2:$P$426&lt;4.5), $S19), 1)"),0.979)</f>
        <v>0.979</v>
      </c>
      <c r="Y19" s="20">
        <f>IFERROR(__xludf.DUMMYFUNCTION("iferror(PERCENTRANK.INC(FILTER($S$2:$S$426, $P$2:$P$426&gt;=4.1), $S19), 0.01)"),0.746)</f>
        <v>0.746</v>
      </c>
    </row>
    <row r="20" ht="14.25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IFERROR(__xludf.DUMMYFUNCTION("iferror(PERCENTRANK.INC(FILTER($S$2:$S$426, $P$2:$P$426&lt;3.75), $S20), 1)"),1.0)</f>
        <v>1</v>
      </c>
      <c r="X20" s="20">
        <f>IFERROR(__xludf.DUMMYFUNCTION("iferror(PERCENTRANK.INC(FILTER($S$2:$S$426, $P$2:$P$426&lt;4.5), $S20), 1)"),0.977)</f>
        <v>0.977</v>
      </c>
      <c r="Y20" s="20">
        <f>IFERROR(__xludf.DUMMYFUNCTION("iferror(PERCENTRANK.INC(FILTER($S$2:$S$426, $P$2:$P$426&gt;=4.1), $S20), 0.01)"),0.741)</f>
        <v>0.741</v>
      </c>
    </row>
    <row r="21" ht="14.25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IFERROR(__xludf.DUMMYFUNCTION("iferror(PERCENTRANK.INC(FILTER($S$2:$S$426, $P$2:$P$426&lt;3.75), $S21), 1)"),0.997)</f>
        <v>0.997</v>
      </c>
      <c r="X21" s="20">
        <f>IFERROR(__xludf.DUMMYFUNCTION("iferror(PERCENTRANK.INC(FILTER($S$2:$S$426, $P$2:$P$426&lt;4.5), $S21), 1)"),0.973)</f>
        <v>0.973</v>
      </c>
      <c r="Y21" s="20">
        <f>IFERROR(__xludf.DUMMYFUNCTION("iferror(PERCENTRANK.INC(FILTER($S$2:$S$426, $P$2:$P$426&gt;=4.1), $S21), 0.01)"),0.734)</f>
        <v>0.734</v>
      </c>
    </row>
    <row r="22" ht="14.25" customHeight="1">
      <c r="A22" s="14" t="s">
        <v>974</v>
      </c>
      <c r="B22" s="14" t="s">
        <v>371</v>
      </c>
      <c r="C22" s="14" t="s">
        <v>954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IFERROR(__xludf.DUMMYFUNCTION("iferror(PERCENTRANK.INC(FILTER($S$2:$S$426, $P$2:$P$426&lt;3.75), $S22), 1)"),0.996)</f>
        <v>0.996</v>
      </c>
      <c r="X22" s="20">
        <f>IFERROR(__xludf.DUMMYFUNCTION("iferror(PERCENTRANK.INC(FILTER($S$2:$S$426, $P$2:$P$426&lt;4.5), $S22), 1)"),0.969)</f>
        <v>0.969</v>
      </c>
      <c r="Y22" s="20">
        <f>IFERROR(__xludf.DUMMYFUNCTION("iferror(PERCENTRANK.INC(FILTER($S$2:$S$426, $P$2:$P$426&gt;=4.1), $S22), 0.01)"),0.731)</f>
        <v>0.731</v>
      </c>
    </row>
    <row r="23" ht="14.25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IFERROR(__xludf.DUMMYFUNCTION("iferror(PERCENTRANK.INC(FILTER($S$2:$S$426, $P$2:$P$426&lt;3.75), $S23), 1)"),0.996)</f>
        <v>0.996</v>
      </c>
      <c r="X23" s="20">
        <f>IFERROR(__xludf.DUMMYFUNCTION("iferror(PERCENTRANK.INC(FILTER($S$2:$S$426, $P$2:$P$426&lt;4.5), $S23), 1)"),0.968)</f>
        <v>0.968</v>
      </c>
      <c r="Y23" s="20">
        <f>IFERROR(__xludf.DUMMYFUNCTION("iferror(PERCENTRANK.INC(FILTER($S$2:$S$426, $P$2:$P$426&gt;=4.1), $S23), 0.01)"),0.716)</f>
        <v>0.716</v>
      </c>
    </row>
    <row r="24" ht="14.25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IFERROR(__xludf.DUMMYFUNCTION("iferror(PERCENTRANK.INC(FILTER($S$2:$S$426, $P$2:$P$426&lt;3.75), $S24), 1)"),0.994)</f>
        <v>0.994</v>
      </c>
      <c r="X24" s="20">
        <f>IFERROR(__xludf.DUMMYFUNCTION("iferror(PERCENTRANK.INC(FILTER($S$2:$S$426, $P$2:$P$426&lt;4.5), $S24), 1)"),0.964)</f>
        <v>0.964</v>
      </c>
      <c r="Y24" s="20">
        <f>IFERROR(__xludf.DUMMYFUNCTION("iferror(PERCENTRANK.INC(FILTER($S$2:$S$426, $P$2:$P$426&gt;=4.1), $S24), 0.01)"),0.701)</f>
        <v>0.701</v>
      </c>
    </row>
    <row r="25" ht="14.25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IFERROR(__xludf.DUMMYFUNCTION("iferror(PERCENTRANK.INC(FILTER($S$2:$S$426, $P$2:$P$426&lt;3.75), $S25), 1)"),0.993)</f>
        <v>0.993</v>
      </c>
      <c r="X25" s="20">
        <f>IFERROR(__xludf.DUMMYFUNCTION("iferror(PERCENTRANK.INC(FILTER($S$2:$S$426, $P$2:$P$426&lt;4.5), $S25), 1)"),0.959)</f>
        <v>0.959</v>
      </c>
      <c r="Y25" s="20">
        <f>IFERROR(__xludf.DUMMYFUNCTION("iferror(PERCENTRANK.INC(FILTER($S$2:$S$426, $P$2:$P$426&gt;=4.1), $S25), 0.01)"),0.697)</f>
        <v>0.697</v>
      </c>
    </row>
    <row r="26" ht="14.25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IFERROR(__xludf.DUMMYFUNCTION("iferror(PERCENTRANK.INC(FILTER($S$2:$S$426, $P$2:$P$426&lt;3.75), $S26), 1)"),0.991)</f>
        <v>0.991</v>
      </c>
      <c r="X26" s="20">
        <f>IFERROR(__xludf.DUMMYFUNCTION("iferror(PERCENTRANK.INC(FILTER($S$2:$S$426, $P$2:$P$426&lt;4.5), $S26), 1)"),0.957)</f>
        <v>0.957</v>
      </c>
      <c r="Y26" s="20">
        <f>IFERROR(__xludf.DUMMYFUNCTION("iferror(PERCENTRANK.INC(FILTER($S$2:$S$426, $P$2:$P$426&gt;=4.1), $S26), 0.01)"),0.687)</f>
        <v>0.687</v>
      </c>
    </row>
    <row r="27" ht="14.25" customHeight="1">
      <c r="A27" s="14" t="s">
        <v>979</v>
      </c>
      <c r="B27" s="14" t="s">
        <v>357</v>
      </c>
      <c r="C27" s="14" t="s">
        <v>954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IFERROR(__xludf.DUMMYFUNCTION("iferror(PERCENTRANK.INC(FILTER($S$2:$S$426, $P$2:$P$426&lt;3.75), $S27), 1)"),0.987)</f>
        <v>0.987</v>
      </c>
      <c r="X27" s="20">
        <f>IFERROR(__xludf.DUMMYFUNCTION("iferror(PERCENTRANK.INC(FILTER($S$2:$S$426, $P$2:$P$426&lt;4.5), $S27), 1)"),0.955)</f>
        <v>0.955</v>
      </c>
      <c r="Y27" s="20">
        <f>IFERROR(__xludf.DUMMYFUNCTION("iferror(PERCENTRANK.INC(FILTER($S$2:$S$426, $P$2:$P$426&gt;=4.1), $S27), 0.01)"),0.666)</f>
        <v>0.666</v>
      </c>
    </row>
    <row r="28" ht="14.25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IFERROR(__xludf.DUMMYFUNCTION("iferror(PERCENTRANK.INC(FILTER($S$2:$S$426, $P$2:$P$426&lt;3.75), $S28), 1)"),0.987)</f>
        <v>0.987</v>
      </c>
      <c r="X28" s="20">
        <f>IFERROR(__xludf.DUMMYFUNCTION("iferror(PERCENTRANK.INC(FILTER($S$2:$S$426, $P$2:$P$426&lt;4.5), $S28), 1)"),0.954)</f>
        <v>0.954</v>
      </c>
      <c r="Y28" s="20">
        <f>IFERROR(__xludf.DUMMYFUNCTION("iferror(PERCENTRANK.INC(FILTER($S$2:$S$426, $P$2:$P$426&gt;=4.1), $S28), 0.01)"),0.657)</f>
        <v>0.657</v>
      </c>
    </row>
    <row r="29" ht="14.25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IFERROR(__xludf.DUMMYFUNCTION("iferror(PERCENTRANK.INC(FILTER($S$2:$S$426, $P$2:$P$426&lt;3.75), $S29), 1)"),0.986)</f>
        <v>0.986</v>
      </c>
      <c r="X29" s="20">
        <f>IFERROR(__xludf.DUMMYFUNCTION("iferror(PERCENTRANK.INC(FILTER($S$2:$S$426, $P$2:$P$426&lt;4.5), $S29), 1)"),0.954)</f>
        <v>0.954</v>
      </c>
      <c r="Y29" s="20">
        <f>IFERROR(__xludf.DUMMYFUNCTION("iferror(PERCENTRANK.INC(FILTER($S$2:$S$426, $P$2:$P$426&gt;=4.1), $S29), 0.01)"),0.642)</f>
        <v>0.642</v>
      </c>
    </row>
    <row r="30" ht="14.25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100*(K30-MIN($J$2:$J$502))/(MAX($J$2:$J$502) - MIN($J$2:$J$502))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IFERROR(__xludf.DUMMYFUNCTION("iferror(PERCENTRANK.INC(FILTER($S$2:$S$426, $P$2:$P$426&lt;3.75), $S30), 1)"),0.985)</f>
        <v>0.985</v>
      </c>
      <c r="X30" s="20">
        <f>IFERROR(__xludf.DUMMYFUNCTION("iferror(PERCENTRANK.INC(FILTER($S$2:$S$426, $P$2:$P$426&lt;4.5), $S30), 1)"),0.953)</f>
        <v>0.953</v>
      </c>
      <c r="Y30" s="20">
        <f>IFERROR(__xludf.DUMMYFUNCTION("iferror(PERCENTRANK.INC(FILTER($S$2:$S$426, $P$2:$P$426&gt;=4.1), $S30), 0.01)"),0.627)</f>
        <v>0.627</v>
      </c>
    </row>
    <row r="31" ht="14.25" customHeight="1">
      <c r="A31" s="14" t="s">
        <v>983</v>
      </c>
      <c r="B31" s="14" t="s">
        <v>122</v>
      </c>
      <c r="C31" s="14" t="s">
        <v>954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IFERROR(__xludf.DUMMYFUNCTION("iferror(PERCENTRANK.INC(FILTER($S$2:$S$426, $P$2:$P$426&lt;3.75), $S31), 1)"),0.983)</f>
        <v>0.983</v>
      </c>
      <c r="X31" s="20">
        <f>IFERROR(__xludf.DUMMYFUNCTION("iferror(PERCENTRANK.INC(FILTER($S$2:$S$426, $P$2:$P$426&lt;4.5), $S31), 1)"),0.952)</f>
        <v>0.952</v>
      </c>
      <c r="Y31" s="20">
        <f>IFERROR(__xludf.DUMMYFUNCTION("iferror(PERCENTRANK.INC(FILTER($S$2:$S$426, $P$2:$P$426&gt;=4.1), $S31), 0.01)"),0.612)</f>
        <v>0.612</v>
      </c>
    </row>
    <row r="32" ht="14.25" customHeight="1">
      <c r="A32" s="14" t="s">
        <v>984</v>
      </c>
      <c r="B32" s="14" t="s">
        <v>445</v>
      </c>
      <c r="C32" s="14" t="s">
        <v>954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IFERROR(__xludf.DUMMYFUNCTION("iferror(PERCENTRANK.INC(FILTER($S$2:$S$426, $P$2:$P$426&lt;3.75), $S32), 1)"),0.981)</f>
        <v>0.981</v>
      </c>
      <c r="X32" s="20">
        <f>IFERROR(__xludf.DUMMYFUNCTION("iferror(PERCENTRANK.INC(FILTER($S$2:$S$426, $P$2:$P$426&lt;4.5), $S32), 1)"),0.95)</f>
        <v>0.95</v>
      </c>
      <c r="Y32" s="20">
        <f>IFERROR(__xludf.DUMMYFUNCTION("iferror(PERCENTRANK.INC(FILTER($S$2:$S$426, $P$2:$P$426&gt;=4.1), $S32), 0.01)"),0.597)</f>
        <v>0.597</v>
      </c>
    </row>
    <row r="33" ht="14.25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IFERROR(__xludf.DUMMYFUNCTION("iferror(PERCENTRANK.INC(FILTER($S$2:$S$426, $P$2:$P$426&lt;3.75), $S33), 1)"),0.981)</f>
        <v>0.981</v>
      </c>
      <c r="X33" s="20">
        <f>IFERROR(__xludf.DUMMYFUNCTION("iferror(PERCENTRANK.INC(FILTER($S$2:$S$426, $P$2:$P$426&lt;4.5), $S33), 1)"),0.95)</f>
        <v>0.95</v>
      </c>
      <c r="Y33" s="20">
        <f>IFERROR(__xludf.DUMMYFUNCTION("iferror(PERCENTRANK.INC(FILTER($S$2:$S$426, $P$2:$P$426&gt;=4.1), $S33), 0.01)"),0.582)</f>
        <v>0.582</v>
      </c>
    </row>
    <row r="34" ht="14.25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IFERROR(__xludf.DUMMYFUNCTION("iferror(PERCENTRANK.INC(FILTER($S$2:$S$426, $P$2:$P$426&lt;3.75), $S34), 1)"),0.981)</f>
        <v>0.981</v>
      </c>
      <c r="X34" s="20">
        <f>IFERROR(__xludf.DUMMYFUNCTION("iferror(PERCENTRANK.INC(FILTER($S$2:$S$426, $P$2:$P$426&lt;4.5), $S34), 1)"),0.947)</f>
        <v>0.947</v>
      </c>
      <c r="Y34" s="20">
        <f>IFERROR(__xludf.DUMMYFUNCTION("iferror(PERCENTRANK.INC(FILTER($S$2:$S$426, $P$2:$P$426&gt;=4.1), $S34), 0.01)"),0.567)</f>
        <v>0.567</v>
      </c>
    </row>
    <row r="35" ht="14.25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IFERROR(__xludf.DUMMYFUNCTION("iferror(PERCENTRANK.INC(FILTER($S$2:$S$426, $P$2:$P$426&lt;3.75), $S35), 1)"),0.98)</f>
        <v>0.98</v>
      </c>
      <c r="X35" s="20">
        <f>IFERROR(__xludf.DUMMYFUNCTION("iferror(PERCENTRANK.INC(FILTER($S$2:$S$426, $P$2:$P$426&lt;4.5), $S35), 1)"),0.946)</f>
        <v>0.946</v>
      </c>
      <c r="Y35" s="20">
        <f>IFERROR(__xludf.DUMMYFUNCTION("iferror(PERCENTRANK.INC(FILTER($S$2:$S$426, $P$2:$P$426&gt;=4.1), $S35), 0.01)"),0.563)</f>
        <v>0.563</v>
      </c>
    </row>
    <row r="36" ht="14.25" customHeight="1">
      <c r="A36" s="14" t="s">
        <v>988</v>
      </c>
      <c r="B36" s="14" t="s">
        <v>499</v>
      </c>
      <c r="C36" s="14" t="s">
        <v>954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IFERROR(__xludf.DUMMYFUNCTION("iferror(PERCENTRANK.INC(FILTER($S$2:$S$426, $P$2:$P$426&lt;3.75), $S36), 1)"),0.98)</f>
        <v>0.98</v>
      </c>
      <c r="X36" s="20">
        <f>IFERROR(__xludf.DUMMYFUNCTION("iferror(PERCENTRANK.INC(FILTER($S$2:$S$426, $P$2:$P$426&lt;4.5), $S36), 1)"),0.941)</f>
        <v>0.941</v>
      </c>
      <c r="Y36" s="20">
        <f>IFERROR(__xludf.DUMMYFUNCTION("iferror(PERCENTRANK.INC(FILTER($S$2:$S$426, $P$2:$P$426&gt;=4.1), $S36), 0.01)"),0.553)</f>
        <v>0.553</v>
      </c>
    </row>
    <row r="37" ht="14.25" customHeight="1">
      <c r="A37" s="14" t="s">
        <v>989</v>
      </c>
      <c r="B37" s="14" t="s">
        <v>194</v>
      </c>
      <c r="C37" s="14" t="s">
        <v>954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IFERROR(__xludf.DUMMYFUNCTION("iferror(PERCENTRANK.INC(FILTER($S$2:$S$426, $P$2:$P$426&lt;3.75), $S37), 1)"),0.98)</f>
        <v>0.98</v>
      </c>
      <c r="X37" s="20">
        <f>IFERROR(__xludf.DUMMYFUNCTION("iferror(PERCENTRANK.INC(FILTER($S$2:$S$426, $P$2:$P$426&lt;4.5), $S37), 1)"),0.937)</f>
        <v>0.937</v>
      </c>
      <c r="Y37" s="20">
        <f>IFERROR(__xludf.DUMMYFUNCTION("iferror(PERCENTRANK.INC(FILTER($S$2:$S$426, $P$2:$P$426&gt;=4.1), $S37), 0.01)"),0.552)</f>
        <v>0.552</v>
      </c>
    </row>
    <row r="38" ht="14.25" customHeight="1">
      <c r="A38" s="14" t="s">
        <v>990</v>
      </c>
      <c r="B38" s="14" t="s">
        <v>132</v>
      </c>
      <c r="C38" s="14" t="s">
        <v>954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IFERROR(__xludf.DUMMYFUNCTION("iferror(PERCENTRANK.INC(FILTER($S$2:$S$426, $P$2:$P$426&lt;3.75), $S38), 1)"),0.98)</f>
        <v>0.98</v>
      </c>
      <c r="X38" s="20">
        <f>IFERROR(__xludf.DUMMYFUNCTION("iferror(PERCENTRANK.INC(FILTER($S$2:$S$426, $P$2:$P$426&lt;4.5), $S38), 1)"),0.932)</f>
        <v>0.932</v>
      </c>
      <c r="Y38" s="20">
        <f>IFERROR(__xludf.DUMMYFUNCTION("iferror(PERCENTRANK.INC(FILTER($S$2:$S$426, $P$2:$P$426&gt;=4.1), $S38), 0.01)"),0.54)</f>
        <v>0.54</v>
      </c>
    </row>
    <row r="39" ht="14.25" customHeight="1">
      <c r="A39" s="14" t="s">
        <v>991</v>
      </c>
      <c r="B39" s="14" t="s">
        <v>269</v>
      </c>
      <c r="C39" s="14" t="s">
        <v>954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IFERROR(__xludf.DUMMYFUNCTION("iferror(PERCENTRANK.INC(FILTER($S$2:$S$426, $P$2:$P$426&lt;3.75), $S39), 1)"),0.98)</f>
        <v>0.98</v>
      </c>
      <c r="X39" s="20">
        <f>IFERROR(__xludf.DUMMYFUNCTION("iferror(PERCENTRANK.INC(FILTER($S$2:$S$426, $P$2:$P$426&lt;4.5), $S39), 1)"),0.928)</f>
        <v>0.928</v>
      </c>
      <c r="Y39" s="20">
        <f>IFERROR(__xludf.DUMMYFUNCTION("iferror(PERCENTRANK.INC(FILTER($S$2:$S$426, $P$2:$P$426&gt;=4.1), $S39), 0.01)"),0.537)</f>
        <v>0.537</v>
      </c>
    </row>
    <row r="40" ht="14.25" customHeight="1">
      <c r="A40" s="14" t="s">
        <v>992</v>
      </c>
      <c r="B40" s="14" t="s">
        <v>253</v>
      </c>
      <c r="C40" s="14" t="s">
        <v>954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IFERROR(__xludf.DUMMYFUNCTION("iferror(PERCENTRANK.INC(FILTER($S$2:$S$426, $P$2:$P$426&lt;3.75), $S40), 1)"),0.98)</f>
        <v>0.98</v>
      </c>
      <c r="X40" s="20">
        <f>IFERROR(__xludf.DUMMYFUNCTION("iferror(PERCENTRANK.INC(FILTER($S$2:$S$426, $P$2:$P$426&lt;4.5), $S40), 1)"),0.927)</f>
        <v>0.927</v>
      </c>
      <c r="Y40" s="20">
        <f>IFERROR(__xludf.DUMMYFUNCTION("iferror(PERCENTRANK.INC(FILTER($S$2:$S$426, $P$2:$P$426&gt;=4.1), $S40), 0.01)"),0.522)</f>
        <v>0.522</v>
      </c>
    </row>
    <row r="41" ht="14.25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IFERROR(__xludf.DUMMYFUNCTION("iferror(PERCENTRANK.INC(FILTER($S$2:$S$426, $P$2:$P$426&lt;3.75), $S41), 1)"),0.98)</f>
        <v>0.98</v>
      </c>
      <c r="X41" s="20">
        <f>IFERROR(__xludf.DUMMYFUNCTION("iferror(PERCENTRANK.INC(FILTER($S$2:$S$426, $P$2:$P$426&lt;4.5), $S41), 1)"),0.927)</f>
        <v>0.927</v>
      </c>
      <c r="Y41" s="20">
        <f>IFERROR(__xludf.DUMMYFUNCTION("iferror(PERCENTRANK.INC(FILTER($S$2:$S$426, $P$2:$P$426&gt;=4.1), $S41), 0.01)"),0.507)</f>
        <v>0.507</v>
      </c>
    </row>
    <row r="42" ht="14.25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IFERROR(__xludf.DUMMYFUNCTION("iferror(PERCENTRANK.INC(FILTER($S$2:$S$426, $P$2:$P$426&lt;3.75), $S42), 1)"),0.979)</f>
        <v>0.979</v>
      </c>
      <c r="X42" s="20">
        <f>IFERROR(__xludf.DUMMYFUNCTION("iferror(PERCENTRANK.INC(FILTER($S$2:$S$426, $P$2:$P$426&lt;4.5), $S42), 1)"),0.926)</f>
        <v>0.926</v>
      </c>
      <c r="Y42" s="20">
        <f>IFERROR(__xludf.DUMMYFUNCTION("iferror(PERCENTRANK.INC(FILTER($S$2:$S$426, $P$2:$P$426&gt;=4.1), $S42), 0.01)"),0.493)</f>
        <v>0.493</v>
      </c>
    </row>
    <row r="43" ht="14.25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IFERROR(__xludf.DUMMYFUNCTION("iferror(PERCENTRANK.INC(FILTER($S$2:$S$426, $P$2:$P$426&lt;3.75), $S43), 1)"),0.979)</f>
        <v>0.979</v>
      </c>
      <c r="X43" s="20">
        <f>IFERROR(__xludf.DUMMYFUNCTION("iferror(PERCENTRANK.INC(FILTER($S$2:$S$426, $P$2:$P$426&lt;4.5), $S43), 1)"),0.923)</f>
        <v>0.923</v>
      </c>
      <c r="Y43" s="20">
        <f>IFERROR(__xludf.DUMMYFUNCTION("iferror(PERCENTRANK.INC(FILTER($S$2:$S$426, $P$2:$P$426&gt;=4.1), $S43), 0.01)"),0.487)</f>
        <v>0.487</v>
      </c>
    </row>
    <row r="44" ht="14.25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IFERROR(__xludf.DUMMYFUNCTION("iferror(PERCENTRANK.INC(FILTER($S$2:$S$426, $P$2:$P$426&lt;3.75), $S44), 1)"),0.977)</f>
        <v>0.977</v>
      </c>
      <c r="X44" s="20">
        <f>IFERROR(__xludf.DUMMYFUNCTION("iferror(PERCENTRANK.INC(FILTER($S$2:$S$426, $P$2:$P$426&lt;4.5), $S44), 1)"),0.919)</f>
        <v>0.919</v>
      </c>
      <c r="Y44" s="20">
        <f>IFERROR(__xludf.DUMMYFUNCTION("iferror(PERCENTRANK.INC(FILTER($S$2:$S$426, $P$2:$P$426&gt;=4.1), $S44), 0.01)"),0.478)</f>
        <v>0.478</v>
      </c>
    </row>
    <row r="45" ht="14.25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IFERROR(__xludf.DUMMYFUNCTION("iferror(PERCENTRANK.INC(FILTER($S$2:$S$426, $P$2:$P$426&lt;3.75), $S45), 1)"),0.977)</f>
        <v>0.977</v>
      </c>
      <c r="X45" s="20">
        <f>IFERROR(__xludf.DUMMYFUNCTION("iferror(PERCENTRANK.INC(FILTER($S$2:$S$426, $P$2:$P$426&lt;4.5), $S45), 1)"),0.914)</f>
        <v>0.914</v>
      </c>
      <c r="Y45" s="20">
        <f>IFERROR(__xludf.DUMMYFUNCTION("iferror(PERCENTRANK.INC(FILTER($S$2:$S$426, $P$2:$P$426&gt;=4.1), $S45), 0.01)"),0.469)</f>
        <v>0.469</v>
      </c>
    </row>
    <row r="46" ht="14.25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IFERROR(__xludf.DUMMYFUNCTION("iferror(PERCENTRANK.INC(FILTER($S$2:$S$426, $P$2:$P$426&lt;3.75), $S46), 1)"),0.977)</f>
        <v>0.977</v>
      </c>
      <c r="X46" s="20">
        <f>IFERROR(__xludf.DUMMYFUNCTION("iferror(PERCENTRANK.INC(FILTER($S$2:$S$426, $P$2:$P$426&lt;4.5), $S46), 1)"),0.91)</f>
        <v>0.91</v>
      </c>
      <c r="Y46" s="20">
        <f>IFERROR(__xludf.DUMMYFUNCTION("iferror(PERCENTRANK.INC(FILTER($S$2:$S$426, $P$2:$P$426&gt;=4.1), $S46), 0.01)"),0.463)</f>
        <v>0.463</v>
      </c>
    </row>
    <row r="47" ht="14.25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IFERROR(__xludf.DUMMYFUNCTION("iferror(PERCENTRANK.INC(FILTER($S$2:$S$426, $P$2:$P$426&lt;3.75), $S47), 1)"),0.977)</f>
        <v>0.977</v>
      </c>
      <c r="X47" s="20">
        <f>IFERROR(__xludf.DUMMYFUNCTION("iferror(PERCENTRANK.INC(FILTER($S$2:$S$426, $P$2:$P$426&lt;4.5), $S47), 1)"),0.909)</f>
        <v>0.909</v>
      </c>
      <c r="Y47" s="20">
        <f>IFERROR(__xludf.DUMMYFUNCTION("iferror(PERCENTRANK.INC(FILTER($S$2:$S$426, $P$2:$P$426&gt;=4.1), $S47), 0.01)"),0.448)</f>
        <v>0.448</v>
      </c>
    </row>
    <row r="48" ht="14.25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IFERROR(__xludf.DUMMYFUNCTION("iferror(PERCENTRANK.INC(FILTER($S$2:$S$426, $P$2:$P$426&lt;3.75), $S48), 1)"),0.976)</f>
        <v>0.976</v>
      </c>
      <c r="X48" s="20">
        <f>IFERROR(__xludf.DUMMYFUNCTION("iferror(PERCENTRANK.INC(FILTER($S$2:$S$426, $P$2:$P$426&lt;4.5), $S48), 1)"),0.905)</f>
        <v>0.905</v>
      </c>
      <c r="Y48" s="20">
        <f>IFERROR(__xludf.DUMMYFUNCTION("iferror(PERCENTRANK.INC(FILTER($S$2:$S$426, $P$2:$P$426&gt;=4.1), $S48), 0.01)"),0.418)</f>
        <v>0.418</v>
      </c>
    </row>
    <row r="49" ht="14.25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IFERROR(__xludf.DUMMYFUNCTION("iferror(PERCENTRANK.INC(FILTER($S$2:$S$426, $P$2:$P$426&lt;3.75), $S49), 1)"),0.975)</f>
        <v>0.975</v>
      </c>
      <c r="X49" s="20">
        <f>IFERROR(__xludf.DUMMYFUNCTION("iferror(PERCENTRANK.INC(FILTER($S$2:$S$426, $P$2:$P$426&lt;4.5), $S49), 1)"),0.9)</f>
        <v>0.9</v>
      </c>
      <c r="Y49" s="20">
        <f>IFERROR(__xludf.DUMMYFUNCTION("iferror(PERCENTRANK.INC(FILTER($S$2:$S$426, $P$2:$P$426&gt;=4.1), $S49), 0.01)"),0.403)</f>
        <v>0.403</v>
      </c>
    </row>
    <row r="50" ht="14.25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IFERROR(__xludf.DUMMYFUNCTION("iferror(PERCENTRANK.INC(FILTER($S$2:$S$426, $P$2:$P$426&lt;3.75), $S50), 1)"),0.975)</f>
        <v>0.975</v>
      </c>
      <c r="X50" s="20">
        <f>IFERROR(__xludf.DUMMYFUNCTION("iferror(PERCENTRANK.INC(FILTER($S$2:$S$426, $P$2:$P$426&lt;4.5), $S50), 1)"),0.9)</f>
        <v>0.9</v>
      </c>
      <c r="Y50" s="20">
        <f>IFERROR(__xludf.DUMMYFUNCTION("iferror(PERCENTRANK.INC(FILTER($S$2:$S$426, $P$2:$P$426&gt;=4.1), $S50), 0.01)"),0.388)</f>
        <v>0.388</v>
      </c>
    </row>
    <row r="51" ht="14.25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IFERROR(__xludf.DUMMYFUNCTION("iferror(PERCENTRANK.INC(FILTER($S$2:$S$426, $P$2:$P$426&lt;3.75), $S51), 1)"),0.974)</f>
        <v>0.974</v>
      </c>
      <c r="X51" s="20">
        <f>IFERROR(__xludf.DUMMYFUNCTION("iferror(PERCENTRANK.INC(FILTER($S$2:$S$426, $P$2:$P$426&lt;4.5), $S51), 1)"),0.896)</f>
        <v>0.896</v>
      </c>
      <c r="Y51" s="20">
        <f>IFERROR(__xludf.DUMMYFUNCTION("iferror(PERCENTRANK.INC(FILTER($S$2:$S$426, $P$2:$P$426&gt;=4.1), $S51), 0.01)"),0.373)</f>
        <v>0.373</v>
      </c>
    </row>
    <row r="52" ht="14.25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IFERROR(__xludf.DUMMYFUNCTION("iferror(PERCENTRANK.INC(FILTER($S$2:$S$426, $P$2:$P$426&lt;3.75), $S52), 1)"),0.974)</f>
        <v>0.974</v>
      </c>
      <c r="X52" s="20">
        <f>IFERROR(__xludf.DUMMYFUNCTION("iferror(PERCENTRANK.INC(FILTER($S$2:$S$426, $P$2:$P$426&lt;4.5), $S52), 1)"),0.891)</f>
        <v>0.891</v>
      </c>
      <c r="Y52" s="20">
        <f>IFERROR(__xludf.DUMMYFUNCTION("iferror(PERCENTRANK.INC(FILTER($S$2:$S$426, $P$2:$P$426&gt;=4.1), $S52), 0.01)"),0.366)</f>
        <v>0.366</v>
      </c>
    </row>
    <row r="53" ht="14.25" customHeight="1">
      <c r="A53" s="14" t="s">
        <v>1005</v>
      </c>
      <c r="B53" s="14" t="s">
        <v>321</v>
      </c>
      <c r="C53" s="14" t="s">
        <v>954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IFERROR(__xludf.DUMMYFUNCTION("iferror(PERCENTRANK.INC(FILTER($S$2:$S$426, $P$2:$P$426&lt;3.75), $S53), 1)"),0.973)</f>
        <v>0.973</v>
      </c>
      <c r="X53" s="20">
        <f>IFERROR(__xludf.DUMMYFUNCTION("iferror(PERCENTRANK.INC(FILTER($S$2:$S$426, $P$2:$P$426&lt;4.5), $S53), 1)"),0.89)</f>
        <v>0.89</v>
      </c>
      <c r="Y53" s="20">
        <f>IFERROR(__xludf.DUMMYFUNCTION("iferror(PERCENTRANK.INC(FILTER($S$2:$S$426, $P$2:$P$426&gt;=4.1), $S53), 0.01)"),0.358)</f>
        <v>0.358</v>
      </c>
    </row>
    <row r="54" ht="14.25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IFERROR(__xludf.DUMMYFUNCTION("iferror(PERCENTRANK.INC(FILTER($S$2:$S$426, $P$2:$P$426&lt;3.75), $S54), 1)"),0.973)</f>
        <v>0.973</v>
      </c>
      <c r="X54" s="20">
        <f>IFERROR(__xludf.DUMMYFUNCTION("iferror(PERCENTRANK.INC(FILTER($S$2:$S$426, $P$2:$P$426&lt;4.5), $S54), 1)"),0.89)</f>
        <v>0.89</v>
      </c>
      <c r="Y54" s="20">
        <f>IFERROR(__xludf.DUMMYFUNCTION("iferror(PERCENTRANK.INC(FILTER($S$2:$S$426, $P$2:$P$426&gt;=4.1), $S54), 0.01)"),0.343)</f>
        <v>0.343</v>
      </c>
    </row>
    <row r="55" ht="14.25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IFERROR(__xludf.DUMMYFUNCTION("iferror(PERCENTRANK.INC(FILTER($S$2:$S$426, $P$2:$P$426&lt;3.75), $S55), 1)"),0.971)</f>
        <v>0.971</v>
      </c>
      <c r="X55" s="20">
        <f>IFERROR(__xludf.DUMMYFUNCTION("iferror(PERCENTRANK.INC(FILTER($S$2:$S$426, $P$2:$P$426&lt;4.5), $S55), 1)"),0.887)</f>
        <v>0.887</v>
      </c>
      <c r="Y55" s="20">
        <f>IFERROR(__xludf.DUMMYFUNCTION("iferror(PERCENTRANK.INC(FILTER($S$2:$S$426, $P$2:$P$426&gt;=4.1), $S55), 0.01)"),0.333)</f>
        <v>0.333</v>
      </c>
    </row>
    <row r="56" ht="14.25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IFERROR(__xludf.DUMMYFUNCTION("iferror(PERCENTRANK.INC(FILTER($S$2:$S$426, $P$2:$P$426&lt;3.75), $S56), 1)"),0.971)</f>
        <v>0.971</v>
      </c>
      <c r="X56" s="20">
        <f>IFERROR(__xludf.DUMMYFUNCTION("iferror(PERCENTRANK.INC(FILTER($S$2:$S$426, $P$2:$P$426&lt;4.5), $S56), 1)"),0.884)</f>
        <v>0.884</v>
      </c>
      <c r="Y56" s="20">
        <f>IFERROR(__xludf.DUMMYFUNCTION("iferror(PERCENTRANK.INC(FILTER($S$2:$S$426, $P$2:$P$426&gt;=4.1), $S56), 0.01)"),0.328)</f>
        <v>0.328</v>
      </c>
    </row>
    <row r="57" ht="14.25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IFERROR(__xludf.DUMMYFUNCTION("iferror(PERCENTRANK.INC(FILTER($S$2:$S$426, $P$2:$P$426&lt;3.75), $S57), 1)"),0.97)</f>
        <v>0.97</v>
      </c>
      <c r="X57" s="20">
        <f>IFERROR(__xludf.DUMMYFUNCTION("iferror(PERCENTRANK.INC(FILTER($S$2:$S$426, $P$2:$P$426&lt;4.5), $S57), 1)"),0.882)</f>
        <v>0.882</v>
      </c>
      <c r="Y57" s="20">
        <f>IFERROR(__xludf.DUMMYFUNCTION("iferror(PERCENTRANK.INC(FILTER($S$2:$S$426, $P$2:$P$426&gt;=4.1), $S57), 0.01)"),0.327)</f>
        <v>0.327</v>
      </c>
    </row>
    <row r="58" ht="14.25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IFERROR(__xludf.DUMMYFUNCTION("iferror(PERCENTRANK.INC(FILTER($S$2:$S$426, $P$2:$P$426&lt;3.75), $S58), 1)"),0.968)</f>
        <v>0.968</v>
      </c>
      <c r="X58" s="20">
        <f>IFERROR(__xludf.DUMMYFUNCTION("iferror(PERCENTRANK.INC(FILTER($S$2:$S$426, $P$2:$P$426&lt;4.5), $S58), 1)"),0.878)</f>
        <v>0.878</v>
      </c>
      <c r="Y58" s="20">
        <f>IFERROR(__xludf.DUMMYFUNCTION("iferror(PERCENTRANK.INC(FILTER($S$2:$S$426, $P$2:$P$426&gt;=4.1), $S58), 0.01)"),0.32)</f>
        <v>0.32</v>
      </c>
    </row>
    <row r="59" ht="14.25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IFERROR(__xludf.DUMMYFUNCTION("iferror(PERCENTRANK.INC(FILTER($S$2:$S$426, $P$2:$P$426&lt;3.75), $S59), 1)"),0.967)</f>
        <v>0.967</v>
      </c>
      <c r="X59" s="20">
        <f>IFERROR(__xludf.DUMMYFUNCTION("iferror(PERCENTRANK.INC(FILTER($S$2:$S$426, $P$2:$P$426&lt;4.5), $S59), 1)"),0.873)</f>
        <v>0.873</v>
      </c>
      <c r="Y59" s="20">
        <f>IFERROR(__xludf.DUMMYFUNCTION("iferror(PERCENTRANK.INC(FILTER($S$2:$S$426, $P$2:$P$426&gt;=4.1), $S59), 0.01)"),0.317)</f>
        <v>0.317</v>
      </c>
    </row>
    <row r="60" ht="14.25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IFERROR(__xludf.DUMMYFUNCTION("iferror(PERCENTRANK.INC(FILTER($S$2:$S$426, $P$2:$P$426&lt;3.75), $S60), 1)"),0.963)</f>
        <v>0.963</v>
      </c>
      <c r="X60" s="20">
        <f>IFERROR(__xludf.DUMMYFUNCTION("iferror(PERCENTRANK.INC(FILTER($S$2:$S$426, $P$2:$P$426&lt;4.5), $S60), 1)"),0.87)</f>
        <v>0.87</v>
      </c>
      <c r="Y60" s="20">
        <f>IFERROR(__xludf.DUMMYFUNCTION("iferror(PERCENTRANK.INC(FILTER($S$2:$S$426, $P$2:$P$426&gt;=4.1), $S60), 0.01)"),0.299)</f>
        <v>0.299</v>
      </c>
    </row>
    <row r="61" ht="14.25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IFERROR(__xludf.DUMMYFUNCTION("iferror(PERCENTRANK.INC(FILTER($S$2:$S$426, $P$2:$P$426&lt;3.75), $S61), 1)"),0.961)</f>
        <v>0.961</v>
      </c>
      <c r="X61" s="20">
        <f>IFERROR(__xludf.DUMMYFUNCTION("iferror(PERCENTRANK.INC(FILTER($S$2:$S$426, $P$2:$P$426&lt;4.5), $S61), 1)"),0.869)</f>
        <v>0.869</v>
      </c>
      <c r="Y61" s="20">
        <f>IFERROR(__xludf.DUMMYFUNCTION("iferror(PERCENTRANK.INC(FILTER($S$2:$S$426, $P$2:$P$426&gt;=4.1), $S61), 0.01)"),0.287)</f>
        <v>0.287</v>
      </c>
    </row>
    <row r="62" ht="14.25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IFERROR(__xludf.DUMMYFUNCTION("iferror(PERCENTRANK.INC(FILTER($S$2:$S$426, $P$2:$P$426&lt;3.75), $S62), 1)"),0.961)</f>
        <v>0.961</v>
      </c>
      <c r="X62" s="20">
        <f>IFERROR(__xludf.DUMMYFUNCTION("iferror(PERCENTRANK.INC(FILTER($S$2:$S$426, $P$2:$P$426&lt;4.5), $S62), 1)"),0.864)</f>
        <v>0.864</v>
      </c>
      <c r="Y62" s="20">
        <f>IFERROR(__xludf.DUMMYFUNCTION("iferror(PERCENTRANK.INC(FILTER($S$2:$S$426, $P$2:$P$426&gt;=4.1), $S62), 0.01)"),0.287)</f>
        <v>0.287</v>
      </c>
    </row>
    <row r="63" ht="14.25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IFERROR(__xludf.DUMMYFUNCTION("iferror(PERCENTRANK.INC(FILTER($S$2:$S$426, $P$2:$P$426&lt;3.75), $S63), 1)"),0.96)</f>
        <v>0.96</v>
      </c>
      <c r="X63" s="20">
        <f>IFERROR(__xludf.DUMMYFUNCTION("iferror(PERCENTRANK.INC(FILTER($S$2:$S$426, $P$2:$P$426&lt;4.5), $S63), 1)"),0.86)</f>
        <v>0.86</v>
      </c>
      <c r="Y63" s="20">
        <f>IFERROR(__xludf.DUMMYFUNCTION("iferror(PERCENTRANK.INC(FILTER($S$2:$S$426, $P$2:$P$426&gt;=4.1), $S63), 0.01)"),0.284)</f>
        <v>0.284</v>
      </c>
    </row>
    <row r="64" ht="14.25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IFERROR(__xludf.DUMMYFUNCTION("iferror(PERCENTRANK.INC(FILTER($S$2:$S$426, $P$2:$P$426&lt;3.75), $S64), 1)"),0.96)</f>
        <v>0.96</v>
      </c>
      <c r="X64" s="20">
        <f>IFERROR(__xludf.DUMMYFUNCTION("iferror(PERCENTRANK.INC(FILTER($S$2:$S$426, $P$2:$P$426&lt;4.5), $S64), 1)"),0.855)</f>
        <v>0.855</v>
      </c>
      <c r="Y64" s="20">
        <f>IFERROR(__xludf.DUMMYFUNCTION("iferror(PERCENTRANK.INC(FILTER($S$2:$S$426, $P$2:$P$426&gt;=4.1), $S64), 0.01)"),0.269)</f>
        <v>0.269</v>
      </c>
    </row>
    <row r="65" ht="14.25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IFERROR(__xludf.DUMMYFUNCTION("iferror(PERCENTRANK.INC(FILTER($S$2:$S$426, $P$2:$P$426&lt;3.75), $S65), 1)"),0.958)</f>
        <v>0.958</v>
      </c>
      <c r="X65" s="20">
        <f>IFERROR(__xludf.DUMMYFUNCTION("iferror(PERCENTRANK.INC(FILTER($S$2:$S$426, $P$2:$P$426&lt;4.5), $S65), 1)"),0.846)</f>
        <v>0.846</v>
      </c>
      <c r="Y65" s="20">
        <f>IFERROR(__xludf.DUMMYFUNCTION("iferror(PERCENTRANK.INC(FILTER($S$2:$S$426, $P$2:$P$426&gt;=4.1), $S65), 0.01)"),0.254)</f>
        <v>0.254</v>
      </c>
    </row>
    <row r="66" ht="14.25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IFERROR(__xludf.DUMMYFUNCTION("iferror(PERCENTRANK.INC(FILTER($S$2:$S$426, $P$2:$P$426&lt;3.75), $S66), 1)"),0.958)</f>
        <v>0.958</v>
      </c>
      <c r="X66" s="20">
        <f>IFERROR(__xludf.DUMMYFUNCTION("iferror(PERCENTRANK.INC(FILTER($S$2:$S$426, $P$2:$P$426&lt;4.5), $S66), 1)"),0.844)</f>
        <v>0.844</v>
      </c>
      <c r="Y66" s="20">
        <f>IFERROR(__xludf.DUMMYFUNCTION("iferror(PERCENTRANK.INC(FILTER($S$2:$S$426, $P$2:$P$426&gt;=4.1), $S66), 0.01)"),0.239)</f>
        <v>0.239</v>
      </c>
    </row>
    <row r="67" ht="14.25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IFERROR(__xludf.DUMMYFUNCTION("iferror(PERCENTRANK.INC(FILTER($S$2:$S$426, $P$2:$P$426&lt;3.75), $S67), 1)"),0.958)</f>
        <v>0.958</v>
      </c>
      <c r="X67" s="20">
        <f>IFERROR(__xludf.DUMMYFUNCTION("iferror(PERCENTRANK.INC(FILTER($S$2:$S$426, $P$2:$P$426&lt;4.5), $S67), 1)"),0.842)</f>
        <v>0.842</v>
      </c>
      <c r="Y67" s="20">
        <f>IFERROR(__xludf.DUMMYFUNCTION("iferror(PERCENTRANK.INC(FILTER($S$2:$S$426, $P$2:$P$426&gt;=4.1), $S67), 0.01)"),0.236)</f>
        <v>0.236</v>
      </c>
    </row>
    <row r="68" ht="14.25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IFERROR(__xludf.DUMMYFUNCTION("iferror(PERCENTRANK.INC(FILTER($S$2:$S$426, $P$2:$P$426&lt;3.75), $S68), 1)"),0.957)</f>
        <v>0.957</v>
      </c>
      <c r="X68" s="20">
        <f>IFERROR(__xludf.DUMMYFUNCTION("iferror(PERCENTRANK.INC(FILTER($S$2:$S$426, $P$2:$P$426&lt;4.5), $S68), 1)"),0.837)</f>
        <v>0.837</v>
      </c>
      <c r="Y68" s="20">
        <f>IFERROR(__xludf.DUMMYFUNCTION("iferror(PERCENTRANK.INC(FILTER($S$2:$S$426, $P$2:$P$426&gt;=4.1), $S68), 0.01)"),0.227)</f>
        <v>0.227</v>
      </c>
    </row>
    <row r="69" ht="14.25" customHeight="1">
      <c r="A69" s="14" t="s">
        <v>1021</v>
      </c>
      <c r="B69" s="14" t="s">
        <v>122</v>
      </c>
      <c r="C69" s="14" t="s">
        <v>954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IFERROR(__xludf.DUMMYFUNCTION("iferror(PERCENTRANK.INC(FILTER($S$2:$S$426, $P$2:$P$426&lt;3.75), $S69), 1)"),0.957)</f>
        <v>0.957</v>
      </c>
      <c r="X69" s="20">
        <f>IFERROR(__xludf.DUMMYFUNCTION("iferror(PERCENTRANK.INC(FILTER($S$2:$S$426, $P$2:$P$426&lt;4.5), $S69), 1)"),0.833)</f>
        <v>0.833</v>
      </c>
      <c r="Y69" s="20">
        <f>IFERROR(__xludf.DUMMYFUNCTION("iferror(PERCENTRANK.INC(FILTER($S$2:$S$426, $P$2:$P$426&gt;=4.1), $S69), 0.01)"),0.224)</f>
        <v>0.224</v>
      </c>
    </row>
    <row r="70" ht="14.25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IFERROR(__xludf.DUMMYFUNCTION("iferror(PERCENTRANK.INC(FILTER($S$2:$S$426, $P$2:$P$426&lt;3.75), $S70), 1)"),0.956)</f>
        <v>0.956</v>
      </c>
      <c r="X70" s="20">
        <f>IFERROR(__xludf.DUMMYFUNCTION("iferror(PERCENTRANK.INC(FILTER($S$2:$S$426, $P$2:$P$426&lt;4.5), $S70), 1)"),0.828)</f>
        <v>0.828</v>
      </c>
      <c r="Y70" s="20">
        <f>IFERROR(__xludf.DUMMYFUNCTION("iferror(PERCENTRANK.INC(FILTER($S$2:$S$426, $P$2:$P$426&gt;=4.1), $S70), 0.01)"),0.209)</f>
        <v>0.209</v>
      </c>
    </row>
    <row r="71" ht="14.25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IFERROR(__xludf.DUMMYFUNCTION("iferror(PERCENTRANK.INC(FILTER($S$2:$S$426, $P$2:$P$426&lt;3.75), $S71), 1)"),0.955)</f>
        <v>0.955</v>
      </c>
      <c r="X71" s="20">
        <f>IFERROR(__xludf.DUMMYFUNCTION("iferror(PERCENTRANK.INC(FILTER($S$2:$S$426, $P$2:$P$426&lt;4.5), $S71), 1)"),0.824)</f>
        <v>0.824</v>
      </c>
      <c r="Y71" s="20">
        <f>IFERROR(__xludf.DUMMYFUNCTION("iferror(PERCENTRANK.INC(FILTER($S$2:$S$426, $P$2:$P$426&gt;=4.1), $S71), 0.01)"),0.207)</f>
        <v>0.207</v>
      </c>
    </row>
    <row r="72" ht="14.25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IFERROR(__xludf.DUMMYFUNCTION("iferror(PERCENTRANK.INC(FILTER($S$2:$S$426, $P$2:$P$426&lt;3.75), $S72), 1)"),0.954)</f>
        <v>0.954</v>
      </c>
      <c r="X72" s="20">
        <f>IFERROR(__xludf.DUMMYFUNCTION("iferror(PERCENTRANK.INC(FILTER($S$2:$S$426, $P$2:$P$426&lt;4.5), $S72), 1)"),0.819)</f>
        <v>0.819</v>
      </c>
      <c r="Y72" s="20">
        <f>IFERROR(__xludf.DUMMYFUNCTION("iferror(PERCENTRANK.INC(FILTER($S$2:$S$426, $P$2:$P$426&gt;=4.1), $S72), 0.01)"),0.202)</f>
        <v>0.202</v>
      </c>
    </row>
    <row r="73" ht="14.25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IFERROR(__xludf.DUMMYFUNCTION("iferror(PERCENTRANK.INC(FILTER($S$2:$S$426, $P$2:$P$426&lt;3.75), $S73), 1)"),0.951)</f>
        <v>0.951</v>
      </c>
      <c r="X73" s="20">
        <f>IFERROR(__xludf.DUMMYFUNCTION("iferror(PERCENTRANK.INC(FILTER($S$2:$S$426, $P$2:$P$426&lt;4.5), $S73), 1)"),0.814)</f>
        <v>0.814</v>
      </c>
      <c r="Y73" s="20">
        <f>IFERROR(__xludf.DUMMYFUNCTION("iferror(PERCENTRANK.INC(FILTER($S$2:$S$426, $P$2:$P$426&gt;=4.1), $S73), 0.01)"),0.194)</f>
        <v>0.194</v>
      </c>
    </row>
    <row r="74" ht="14.25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IFERROR(__xludf.DUMMYFUNCTION("iferror(PERCENTRANK.INC(FILTER($S$2:$S$426, $P$2:$P$426&lt;3.75), $S74), 1)"),0.949)</f>
        <v>0.949</v>
      </c>
      <c r="X74" s="20">
        <f>IFERROR(__xludf.DUMMYFUNCTION("iferror(PERCENTRANK.INC(FILTER($S$2:$S$426, $P$2:$P$426&lt;4.5), $S74), 1)"),0.81)</f>
        <v>0.81</v>
      </c>
      <c r="Y74" s="20">
        <f>IFERROR(__xludf.DUMMYFUNCTION("iferror(PERCENTRANK.INC(FILTER($S$2:$S$426, $P$2:$P$426&gt;=4.1), $S74), 0.01)"),0.186)</f>
        <v>0.186</v>
      </c>
    </row>
    <row r="75" ht="14.25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IFERROR(__xludf.DUMMYFUNCTION("iferror(PERCENTRANK.INC(FILTER($S$2:$S$426, $P$2:$P$426&lt;3.75), $S75), 1)"),0.948)</f>
        <v>0.948</v>
      </c>
      <c r="X75" s="20">
        <f>IFERROR(__xludf.DUMMYFUNCTION("iferror(PERCENTRANK.INC(FILTER($S$2:$S$426, $P$2:$P$426&lt;4.5), $S75), 1)"),0.805)</f>
        <v>0.805</v>
      </c>
      <c r="Y75" s="20">
        <f>IFERROR(__xludf.DUMMYFUNCTION("iferror(PERCENTRANK.INC(FILTER($S$2:$S$426, $P$2:$P$426&gt;=4.1), $S75), 0.01)"),0.18)</f>
        <v>0.18</v>
      </c>
    </row>
    <row r="76" ht="14.25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IFERROR(__xludf.DUMMYFUNCTION("iferror(PERCENTRANK.INC(FILTER($S$2:$S$426, $P$2:$P$426&lt;3.75), $S76), 1)"),0.948)</f>
        <v>0.948</v>
      </c>
      <c r="X76" s="20">
        <f>IFERROR(__xludf.DUMMYFUNCTION("iferror(PERCENTRANK.INC(FILTER($S$2:$S$426, $P$2:$P$426&lt;4.5), $S76), 1)"),0.801)</f>
        <v>0.801</v>
      </c>
      <c r="Y76" s="20">
        <f>IFERROR(__xludf.DUMMYFUNCTION("iferror(PERCENTRANK.INC(FILTER($S$2:$S$426, $P$2:$P$426&gt;=4.1), $S76), 0.01)"),0.18)</f>
        <v>0.18</v>
      </c>
    </row>
    <row r="77" ht="14.25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IFERROR(__xludf.DUMMYFUNCTION("iferror(PERCENTRANK.INC(FILTER($S$2:$S$426, $P$2:$P$426&lt;3.75), $S77), 1)"),0.947)</f>
        <v>0.947</v>
      </c>
      <c r="X77" s="20">
        <f>IFERROR(__xludf.DUMMYFUNCTION("iferror(PERCENTRANK.INC(FILTER($S$2:$S$426, $P$2:$P$426&lt;4.5), $S77), 1)"),0.796)</f>
        <v>0.796</v>
      </c>
      <c r="Y77" s="20">
        <f>IFERROR(__xludf.DUMMYFUNCTION("iferror(PERCENTRANK.INC(FILTER($S$2:$S$426, $P$2:$P$426&gt;=4.1), $S77), 0.01)"),0.179)</f>
        <v>0.179</v>
      </c>
    </row>
    <row r="78" ht="14.25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IFERROR(__xludf.DUMMYFUNCTION("iferror(PERCENTRANK.INC(FILTER($S$2:$S$426, $P$2:$P$426&lt;3.75), $S78), 1)"),0.943)</f>
        <v>0.943</v>
      </c>
      <c r="X78" s="20">
        <f>IFERROR(__xludf.DUMMYFUNCTION("iferror(PERCENTRANK.INC(FILTER($S$2:$S$426, $P$2:$P$426&lt;4.5), $S78), 1)"),0.792)</f>
        <v>0.792</v>
      </c>
      <c r="Y78" s="20">
        <f>IFERROR(__xludf.DUMMYFUNCTION("iferror(PERCENTRANK.INC(FILTER($S$2:$S$426, $P$2:$P$426&gt;=4.1), $S78), 0.01)"),0.176)</f>
        <v>0.176</v>
      </c>
    </row>
    <row r="79" ht="14.25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IFERROR(__xludf.DUMMYFUNCTION("iferror(PERCENTRANK.INC(FILTER($S$2:$S$426, $P$2:$P$426&lt;3.75), $S79), 1)"),0.941)</f>
        <v>0.941</v>
      </c>
      <c r="X79" s="20">
        <f>IFERROR(__xludf.DUMMYFUNCTION("iferror(PERCENTRANK.INC(FILTER($S$2:$S$426, $P$2:$P$426&lt;4.5), $S79), 1)"),0.787)</f>
        <v>0.787</v>
      </c>
      <c r="Y79" s="20">
        <f>IFERROR(__xludf.DUMMYFUNCTION("iferror(PERCENTRANK.INC(FILTER($S$2:$S$426, $P$2:$P$426&gt;=4.1), $S79), 0.01)"),0.175)</f>
        <v>0.175</v>
      </c>
    </row>
    <row r="80" ht="14.25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IFERROR(__xludf.DUMMYFUNCTION("iferror(PERCENTRANK.INC(FILTER($S$2:$S$426, $P$2:$P$426&lt;3.75), $S80), 1)"),0.94)</f>
        <v>0.94</v>
      </c>
      <c r="X80" s="20">
        <f>IFERROR(__xludf.DUMMYFUNCTION("iferror(PERCENTRANK.INC(FILTER($S$2:$S$426, $P$2:$P$426&lt;4.5), $S80), 1)"),0.783)</f>
        <v>0.783</v>
      </c>
      <c r="Y80" s="20">
        <f>IFERROR(__xludf.DUMMYFUNCTION("iferror(PERCENTRANK.INC(FILTER($S$2:$S$426, $P$2:$P$426&gt;=4.1), $S80), 0.01)"),0.175)</f>
        <v>0.175</v>
      </c>
    </row>
    <row r="81" ht="14.25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IFERROR(__xludf.DUMMYFUNCTION("iferror(PERCENTRANK.INC(FILTER($S$2:$S$426, $P$2:$P$426&lt;3.75), $S81), 1)"),0.935)</f>
        <v>0.935</v>
      </c>
      <c r="X81" s="20">
        <f>IFERROR(__xludf.DUMMYFUNCTION("iferror(PERCENTRANK.INC(FILTER($S$2:$S$426, $P$2:$P$426&lt;4.5), $S81), 1)"),0.778)</f>
        <v>0.778</v>
      </c>
      <c r="Y81" s="20">
        <f>IFERROR(__xludf.DUMMYFUNCTION("iferror(PERCENTRANK.INC(FILTER($S$2:$S$426, $P$2:$P$426&gt;=4.1), $S81), 0.01)"),0.174)</f>
        <v>0.174</v>
      </c>
    </row>
    <row r="82" ht="14.25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IFERROR(__xludf.DUMMYFUNCTION("iferror(PERCENTRANK.INC(FILTER($S$2:$S$426, $P$2:$P$426&lt;3.75), $S82), 1)"),0.928)</f>
        <v>0.928</v>
      </c>
      <c r="X82" s="20">
        <f>IFERROR(__xludf.DUMMYFUNCTION("iferror(PERCENTRANK.INC(FILTER($S$2:$S$426, $P$2:$P$426&lt;4.5), $S82), 1)"),0.774)</f>
        <v>0.774</v>
      </c>
      <c r="Y82" s="20">
        <f>IFERROR(__xludf.DUMMYFUNCTION("iferror(PERCENTRANK.INC(FILTER($S$2:$S$426, $P$2:$P$426&gt;=4.1), $S82), 0.01)"),0.174)</f>
        <v>0.174</v>
      </c>
    </row>
    <row r="83" ht="14.25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IFERROR(__xludf.DUMMYFUNCTION("iferror(PERCENTRANK.INC(FILTER($S$2:$S$426, $P$2:$P$426&lt;3.75), $S83), 1)"),0.922)</f>
        <v>0.922</v>
      </c>
      <c r="X83" s="20">
        <f>IFERROR(__xludf.DUMMYFUNCTION("iferror(PERCENTRANK.INC(FILTER($S$2:$S$426, $P$2:$P$426&lt;4.5), $S83), 1)"),0.769)</f>
        <v>0.769</v>
      </c>
      <c r="Y83" s="20">
        <f>IFERROR(__xludf.DUMMYFUNCTION("iferror(PERCENTRANK.INC(FILTER($S$2:$S$426, $P$2:$P$426&gt;=4.1), $S83), 0.01)"),0.174)</f>
        <v>0.174</v>
      </c>
    </row>
    <row r="84" ht="14.25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IFERROR(__xludf.DUMMYFUNCTION("iferror(PERCENTRANK.INC(FILTER($S$2:$S$426, $P$2:$P$426&lt;3.75), $S84), 1)"),0.915)</f>
        <v>0.915</v>
      </c>
      <c r="X84" s="20">
        <f>IFERROR(__xludf.DUMMYFUNCTION("iferror(PERCENTRANK.INC(FILTER($S$2:$S$426, $P$2:$P$426&lt;4.5), $S84), 1)"),0.765)</f>
        <v>0.765</v>
      </c>
      <c r="Y84" s="20">
        <f>IFERROR(__xludf.DUMMYFUNCTION("iferror(PERCENTRANK.INC(FILTER($S$2:$S$426, $P$2:$P$426&gt;=4.1), $S84), 0.01)"),0.174)</f>
        <v>0.174</v>
      </c>
    </row>
    <row r="85" ht="14.25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IFERROR(__xludf.DUMMYFUNCTION("iferror(PERCENTRANK.INC(FILTER($S$2:$S$426, $P$2:$P$426&lt;3.75), $S85), 1)"),0.913)</f>
        <v>0.913</v>
      </c>
      <c r="X85" s="20">
        <f>IFERROR(__xludf.DUMMYFUNCTION("iferror(PERCENTRANK.INC(FILTER($S$2:$S$426, $P$2:$P$426&lt;4.5), $S85), 1)"),0.76)</f>
        <v>0.76</v>
      </c>
      <c r="Y85" s="20">
        <f>IFERROR(__xludf.DUMMYFUNCTION("iferror(PERCENTRANK.INC(FILTER($S$2:$S$426, $P$2:$P$426&gt;=4.1), $S85), 0.01)"),0.173)</f>
        <v>0.173</v>
      </c>
    </row>
    <row r="86" ht="14.25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IFERROR(__xludf.DUMMYFUNCTION("iferror(PERCENTRANK.INC(FILTER($S$2:$S$426, $P$2:$P$426&lt;3.75), $S86), 1)"),0.908)</f>
        <v>0.908</v>
      </c>
      <c r="X86" s="20">
        <f>IFERROR(__xludf.DUMMYFUNCTION("iferror(PERCENTRANK.INC(FILTER($S$2:$S$426, $P$2:$P$426&lt;4.5), $S86), 1)"),0.756)</f>
        <v>0.756</v>
      </c>
      <c r="Y86" s="20">
        <f>IFERROR(__xludf.DUMMYFUNCTION("iferror(PERCENTRANK.INC(FILTER($S$2:$S$426, $P$2:$P$426&gt;=4.1), $S86), 0.01)"),0.173)</f>
        <v>0.173</v>
      </c>
    </row>
    <row r="87" ht="14.25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IFERROR(__xludf.DUMMYFUNCTION("iferror(PERCENTRANK.INC(FILTER($S$2:$S$426, $P$2:$P$426&lt;3.75), $S87), 1)"),0.902)</f>
        <v>0.902</v>
      </c>
      <c r="X87" s="20">
        <f>IFERROR(__xludf.DUMMYFUNCTION("iferror(PERCENTRANK.INC(FILTER($S$2:$S$426, $P$2:$P$426&lt;4.5), $S87), 1)"),0.751)</f>
        <v>0.751</v>
      </c>
      <c r="Y87" s="20">
        <f>IFERROR(__xludf.DUMMYFUNCTION("iferror(PERCENTRANK.INC(FILTER($S$2:$S$426, $P$2:$P$426&gt;=4.1), $S87), 0.01)"),0.17)</f>
        <v>0.17</v>
      </c>
    </row>
    <row r="88" ht="14.25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IFERROR(__xludf.DUMMYFUNCTION("iferror(PERCENTRANK.INC(FILTER($S$2:$S$426, $P$2:$P$426&lt;3.75), $S88), 1)"),0.897)</f>
        <v>0.897</v>
      </c>
      <c r="X88" s="20">
        <f>IFERROR(__xludf.DUMMYFUNCTION("iferror(PERCENTRANK.INC(FILTER($S$2:$S$426, $P$2:$P$426&lt;4.5), $S88), 1)"),0.747)</f>
        <v>0.747</v>
      </c>
      <c r="Y88" s="20">
        <f>IFERROR(__xludf.DUMMYFUNCTION("iferror(PERCENTRANK.INC(FILTER($S$2:$S$426, $P$2:$P$426&gt;=4.1), $S88), 0.01)"),0.164)</f>
        <v>0.164</v>
      </c>
    </row>
    <row r="89" ht="14.25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IFERROR(__xludf.DUMMYFUNCTION("iferror(PERCENTRANK.INC(FILTER($S$2:$S$426, $P$2:$P$426&lt;3.75), $S89), 1)"),0.897)</f>
        <v>0.897</v>
      </c>
      <c r="X89" s="20">
        <f>IFERROR(__xludf.DUMMYFUNCTION("iferror(PERCENTRANK.INC(FILTER($S$2:$S$426, $P$2:$P$426&lt;4.5), $S89), 1)"),0.742)</f>
        <v>0.742</v>
      </c>
      <c r="Y89" s="20">
        <f>IFERROR(__xludf.DUMMYFUNCTION("iferror(PERCENTRANK.INC(FILTER($S$2:$S$426, $P$2:$P$426&gt;=4.1), $S89), 0.01)"),0.149)</f>
        <v>0.149</v>
      </c>
    </row>
    <row r="90" ht="14.25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IFERROR(__xludf.DUMMYFUNCTION("iferror(PERCENTRANK.INC(FILTER($S$2:$S$426, $P$2:$P$426&lt;3.75), $S90), 1)"),0.896)</f>
        <v>0.896</v>
      </c>
      <c r="X90" s="20">
        <f>IFERROR(__xludf.DUMMYFUNCTION("iferror(PERCENTRANK.INC(FILTER($S$2:$S$426, $P$2:$P$426&lt;4.5), $S90), 1)"),0.738)</f>
        <v>0.738</v>
      </c>
      <c r="Y90" s="20">
        <f>IFERROR(__xludf.DUMMYFUNCTION("iferror(PERCENTRANK.INC(FILTER($S$2:$S$426, $P$2:$P$426&gt;=4.1), $S90), 0.01)"),0.147)</f>
        <v>0.147</v>
      </c>
    </row>
    <row r="91" ht="14.25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IFERROR(__xludf.DUMMYFUNCTION("iferror(PERCENTRANK.INC(FILTER($S$2:$S$426, $P$2:$P$426&lt;3.75), $S91), 1)"),0.895)</f>
        <v>0.895</v>
      </c>
      <c r="X91" s="20">
        <f>IFERROR(__xludf.DUMMYFUNCTION("iferror(PERCENTRANK.INC(FILTER($S$2:$S$426, $P$2:$P$426&lt;4.5), $S91), 1)"),0.733)</f>
        <v>0.733</v>
      </c>
      <c r="Y91" s="20">
        <f>IFERROR(__xludf.DUMMYFUNCTION("iferror(PERCENTRANK.INC(FILTER($S$2:$S$426, $P$2:$P$426&gt;=4.1), $S91), 0.01)"),0.145)</f>
        <v>0.145</v>
      </c>
    </row>
    <row r="92" ht="14.25" customHeight="1">
      <c r="A92" s="14" t="s">
        <v>1044</v>
      </c>
      <c r="B92" s="14" t="s">
        <v>175</v>
      </c>
      <c r="C92" s="14" t="s">
        <v>954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IFERROR(__xludf.DUMMYFUNCTION("iferror(PERCENTRANK.INC(FILTER($S$2:$S$426, $P$2:$P$426&lt;3.75), $S92), 1)"),0.894)</f>
        <v>0.894</v>
      </c>
      <c r="X92" s="20">
        <f>IFERROR(__xludf.DUMMYFUNCTION("iferror(PERCENTRANK.INC(FILTER($S$2:$S$426, $P$2:$P$426&lt;4.5), $S92), 1)"),0.729)</f>
        <v>0.729</v>
      </c>
      <c r="Y92" s="20">
        <f>IFERROR(__xludf.DUMMYFUNCTION("iferror(PERCENTRANK.INC(FILTER($S$2:$S$426, $P$2:$P$426&gt;=4.1), $S92), 0.01)"),0.145)</f>
        <v>0.145</v>
      </c>
    </row>
    <row r="93" ht="14.25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IFERROR(__xludf.DUMMYFUNCTION("iferror(PERCENTRANK.INC(FILTER($S$2:$S$426, $P$2:$P$426&lt;3.75), $S93), 1)"),0.889)</f>
        <v>0.889</v>
      </c>
      <c r="X93" s="20">
        <f>IFERROR(__xludf.DUMMYFUNCTION("iferror(PERCENTRANK.INC(FILTER($S$2:$S$426, $P$2:$P$426&lt;4.5), $S93), 1)"),0.724)</f>
        <v>0.724</v>
      </c>
      <c r="Y93" s="20">
        <f>IFERROR(__xludf.DUMMYFUNCTION("iferror(PERCENTRANK.INC(FILTER($S$2:$S$426, $P$2:$P$426&gt;=4.1), $S93), 0.01)"),0.144)</f>
        <v>0.144</v>
      </c>
    </row>
    <row r="94" ht="14.25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IFERROR(__xludf.DUMMYFUNCTION("iferror(PERCENTRANK.INC(FILTER($S$2:$S$426, $P$2:$P$426&lt;3.75), $S94), 1)"),0.882)</f>
        <v>0.882</v>
      </c>
      <c r="X94" s="20">
        <f>IFERROR(__xludf.DUMMYFUNCTION("iferror(PERCENTRANK.INC(FILTER($S$2:$S$426, $P$2:$P$426&lt;4.5), $S94), 1)"),0.719)</f>
        <v>0.719</v>
      </c>
      <c r="Y94" s="20">
        <f>IFERROR(__xludf.DUMMYFUNCTION("iferror(PERCENTRANK.INC(FILTER($S$2:$S$426, $P$2:$P$426&gt;=4.1), $S94), 0.01)"),0.141)</f>
        <v>0.141</v>
      </c>
    </row>
    <row r="95" ht="14.25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IFERROR(__xludf.DUMMYFUNCTION("iferror(PERCENTRANK.INC(FILTER($S$2:$S$426, $P$2:$P$426&lt;3.75), $S95), 1)"),0.88)</f>
        <v>0.88</v>
      </c>
      <c r="X95" s="20">
        <f>IFERROR(__xludf.DUMMYFUNCTION("iferror(PERCENTRANK.INC(FILTER($S$2:$S$426, $P$2:$P$426&lt;4.5), $S95), 1)"),0.715)</f>
        <v>0.715</v>
      </c>
      <c r="Y95" s="20">
        <f>IFERROR(__xludf.DUMMYFUNCTION("iferror(PERCENTRANK.INC(FILTER($S$2:$S$426, $P$2:$P$426&gt;=4.1), $S95), 0.01)"),0.137)</f>
        <v>0.137</v>
      </c>
    </row>
    <row r="96" ht="14.25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IFERROR(__xludf.DUMMYFUNCTION("iferror(PERCENTRANK.INC(FILTER($S$2:$S$426, $P$2:$P$426&lt;3.75), $S96), 1)"),0.879)</f>
        <v>0.879</v>
      </c>
      <c r="X96" s="20">
        <f>IFERROR(__xludf.DUMMYFUNCTION("iferror(PERCENTRANK.INC(FILTER($S$2:$S$426, $P$2:$P$426&lt;4.5), $S96), 1)"),0.71)</f>
        <v>0.71</v>
      </c>
      <c r="Y96" s="20">
        <f>IFERROR(__xludf.DUMMYFUNCTION("iferror(PERCENTRANK.INC(FILTER($S$2:$S$426, $P$2:$P$426&gt;=4.1), $S96), 0.01)"),0.135)</f>
        <v>0.135</v>
      </c>
    </row>
    <row r="97" ht="14.25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IFERROR(__xludf.DUMMYFUNCTION("iferror(PERCENTRANK.INC(FILTER($S$2:$S$426, $P$2:$P$426&lt;3.75), $S97), 1)"),0.878)</f>
        <v>0.878</v>
      </c>
      <c r="X97" s="20">
        <f>IFERROR(__xludf.DUMMYFUNCTION("iferror(PERCENTRANK.INC(FILTER($S$2:$S$426, $P$2:$P$426&lt;4.5), $S97), 1)"),0.706)</f>
        <v>0.706</v>
      </c>
      <c r="Y97" s="20">
        <f>IFERROR(__xludf.DUMMYFUNCTION("iferror(PERCENTRANK.INC(FILTER($S$2:$S$426, $P$2:$P$426&gt;=4.1), $S97), 0.01)"),0.134)</f>
        <v>0.134</v>
      </c>
    </row>
    <row r="98" ht="14.25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IFERROR(__xludf.DUMMYFUNCTION("iferror(PERCENTRANK.INC(FILTER($S$2:$S$426, $P$2:$P$426&lt;3.75), $S98), 1)"),0.876)</f>
        <v>0.876</v>
      </c>
      <c r="X98" s="20">
        <f>IFERROR(__xludf.DUMMYFUNCTION("iferror(PERCENTRANK.INC(FILTER($S$2:$S$426, $P$2:$P$426&lt;4.5), $S98), 1)"),0.702)</f>
        <v>0.702</v>
      </c>
      <c r="Y98" s="20">
        <f>IFERROR(__xludf.DUMMYFUNCTION("iferror(PERCENTRANK.INC(FILTER($S$2:$S$426, $P$2:$P$426&gt;=4.1), $S98), 0.01)"),0.119)</f>
        <v>0.119</v>
      </c>
    </row>
    <row r="99" ht="14.25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IFERROR(__xludf.DUMMYFUNCTION("iferror(PERCENTRANK.INC(FILTER($S$2:$S$426, $P$2:$P$426&lt;3.75), $S99), 1)"),0.876)</f>
        <v>0.876</v>
      </c>
      <c r="X99" s="20">
        <f>IFERROR(__xludf.DUMMYFUNCTION("iferror(PERCENTRANK.INC(FILTER($S$2:$S$426, $P$2:$P$426&lt;4.5), $S99), 1)"),0.701)</f>
        <v>0.701</v>
      </c>
      <c r="Y99" s="20">
        <f>IFERROR(__xludf.DUMMYFUNCTION("iferror(PERCENTRANK.INC(FILTER($S$2:$S$426, $P$2:$P$426&gt;=4.1), $S99), 0.01)"),0.119)</f>
        <v>0.119</v>
      </c>
    </row>
    <row r="100" ht="14.25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IFERROR(__xludf.DUMMYFUNCTION("iferror(PERCENTRANK.INC(FILTER($S$2:$S$426, $P$2:$P$426&lt;3.75), $S100), 1)"),0.869)</f>
        <v>0.869</v>
      </c>
      <c r="X100" s="20">
        <f>IFERROR(__xludf.DUMMYFUNCTION("iferror(PERCENTRANK.INC(FILTER($S$2:$S$426, $P$2:$P$426&lt;4.5), $S100), 1)"),0.697)</f>
        <v>0.697</v>
      </c>
      <c r="Y100" s="20">
        <f>IFERROR(__xludf.DUMMYFUNCTION("iferror(PERCENTRANK.INC(FILTER($S$2:$S$426, $P$2:$P$426&gt;=4.1), $S100), 0.01)"),0.114)</f>
        <v>0.114</v>
      </c>
    </row>
    <row r="101" ht="14.25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IFERROR(__xludf.DUMMYFUNCTION("iferror(PERCENTRANK.INC(FILTER($S$2:$S$426, $P$2:$P$426&lt;3.75), $S101), 1)"),0.864)</f>
        <v>0.864</v>
      </c>
      <c r="X101" s="20">
        <f>IFERROR(__xludf.DUMMYFUNCTION("iferror(PERCENTRANK.INC(FILTER($S$2:$S$426, $P$2:$P$426&lt;4.5), $S101), 1)"),0.692)</f>
        <v>0.692</v>
      </c>
      <c r="Y101" s="20">
        <f>IFERROR(__xludf.DUMMYFUNCTION("iferror(PERCENTRANK.INC(FILTER($S$2:$S$426, $P$2:$P$426&gt;=4.1), $S101), 0.01)"),0.104)</f>
        <v>0.104</v>
      </c>
    </row>
    <row r="102" ht="14.25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IFERROR(__xludf.DUMMYFUNCTION("iferror(PERCENTRANK.INC(FILTER($S$2:$S$426, $P$2:$P$426&lt;3.75), $S102), 1)"),0.863)</f>
        <v>0.863</v>
      </c>
      <c r="X102" s="20">
        <f>IFERROR(__xludf.DUMMYFUNCTION("iferror(PERCENTRANK.INC(FILTER($S$2:$S$426, $P$2:$P$426&lt;4.5), $S102), 1)"),0.688)</f>
        <v>0.688</v>
      </c>
      <c r="Y102" s="20">
        <f>IFERROR(__xludf.DUMMYFUNCTION("iferror(PERCENTRANK.INC(FILTER($S$2:$S$426, $P$2:$P$426&gt;=4.1), $S102), 0.01)"),0.102)</f>
        <v>0.102</v>
      </c>
    </row>
    <row r="103" ht="14.25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IFERROR(__xludf.DUMMYFUNCTION("iferror(PERCENTRANK.INC(FILTER($S$2:$S$426, $P$2:$P$426&lt;3.75), $S103), 1)"),0.861)</f>
        <v>0.861</v>
      </c>
      <c r="X103" s="20">
        <f>IFERROR(__xludf.DUMMYFUNCTION("iferror(PERCENTRANK.INC(FILTER($S$2:$S$426, $P$2:$P$426&lt;4.5), $S103), 1)"),0.683)</f>
        <v>0.683</v>
      </c>
      <c r="Y103" s="20">
        <f>IFERROR(__xludf.DUMMYFUNCTION("iferror(PERCENTRANK.INC(FILTER($S$2:$S$426, $P$2:$P$426&gt;=4.1), $S103), 0.01)"),0.096)</f>
        <v>0.096</v>
      </c>
    </row>
    <row r="104" ht="14.25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IFERROR(__xludf.DUMMYFUNCTION("iferror(PERCENTRANK.INC(FILTER($S$2:$S$426, $P$2:$P$426&lt;3.75), $S104), 1)"),0.86)</f>
        <v>0.86</v>
      </c>
      <c r="X104" s="20">
        <f>IFERROR(__xludf.DUMMYFUNCTION("iferror(PERCENTRANK.INC(FILTER($S$2:$S$426, $P$2:$P$426&lt;4.5), $S104), 1)"),0.679)</f>
        <v>0.679</v>
      </c>
      <c r="Y104" s="20">
        <f>IFERROR(__xludf.DUMMYFUNCTION("iferror(PERCENTRANK.INC(FILTER($S$2:$S$426, $P$2:$P$426&gt;=4.1), $S104), 0.01)"),0.09)</f>
        <v>0.09</v>
      </c>
    </row>
    <row r="105" ht="14.25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IFERROR(__xludf.DUMMYFUNCTION("iferror(PERCENTRANK.INC(FILTER($S$2:$S$426, $P$2:$P$426&lt;3.75), $S105), 1)"),0.858)</f>
        <v>0.858</v>
      </c>
      <c r="X105" s="20">
        <f>IFERROR(__xludf.DUMMYFUNCTION("iferror(PERCENTRANK.INC(FILTER($S$2:$S$426, $P$2:$P$426&lt;4.5), $S105), 1)"),0.676)</f>
        <v>0.676</v>
      </c>
      <c r="Y105" s="20">
        <f>IFERROR(__xludf.DUMMYFUNCTION("iferror(PERCENTRANK.INC(FILTER($S$2:$S$426, $P$2:$P$426&gt;=4.1), $S105), 0.01)"),0.075)</f>
        <v>0.075</v>
      </c>
    </row>
    <row r="106" ht="14.25" customHeight="1">
      <c r="A106" s="14" t="s">
        <v>1058</v>
      </c>
      <c r="B106" s="14" t="s">
        <v>223</v>
      </c>
      <c r="C106" s="14" t="s">
        <v>954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IFERROR(__xludf.DUMMYFUNCTION("iferror(PERCENTRANK.INC(FILTER($S$2:$S$426, $P$2:$P$426&lt;3.75), $S106), 1)"),0.856)</f>
        <v>0.856</v>
      </c>
      <c r="X106" s="20">
        <f>IFERROR(__xludf.DUMMYFUNCTION("iferror(PERCENTRANK.INC(FILTER($S$2:$S$426, $P$2:$P$426&lt;4.5), $S106), 1)"),0.67)</f>
        <v>0.67</v>
      </c>
      <c r="Y106" s="20">
        <f>IFERROR(__xludf.DUMMYFUNCTION("iferror(PERCENTRANK.INC(FILTER($S$2:$S$426, $P$2:$P$426&gt;=4.1), $S106), 0.01)"),0.072)</f>
        <v>0.072</v>
      </c>
    </row>
    <row r="107" ht="14.25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IFERROR(__xludf.DUMMYFUNCTION("iferror(PERCENTRANK.INC(FILTER($S$2:$S$426, $P$2:$P$426&lt;3.75), $S107), 1)"),0.853)</f>
        <v>0.853</v>
      </c>
      <c r="X107" s="20">
        <f>IFERROR(__xludf.DUMMYFUNCTION("iferror(PERCENTRANK.INC(FILTER($S$2:$S$426, $P$2:$P$426&lt;4.5), $S107), 1)"),0.665)</f>
        <v>0.665</v>
      </c>
      <c r="Y107" s="20">
        <f>IFERROR(__xludf.DUMMYFUNCTION("iferror(PERCENTRANK.INC(FILTER($S$2:$S$426, $P$2:$P$426&gt;=4.1), $S107), 0.01)"),0.068)</f>
        <v>0.068</v>
      </c>
    </row>
    <row r="108" ht="14.25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IFERROR(__xludf.DUMMYFUNCTION("iferror(PERCENTRANK.INC(FILTER($S$2:$S$426, $P$2:$P$426&lt;3.75), $S108), 1)"),0.852)</f>
        <v>0.852</v>
      </c>
      <c r="X108" s="20">
        <f>IFERROR(__xludf.DUMMYFUNCTION("iferror(PERCENTRANK.INC(FILTER($S$2:$S$426, $P$2:$P$426&lt;4.5), $S108), 1)"),0.661)</f>
        <v>0.661</v>
      </c>
      <c r="Y108" s="20">
        <f>IFERROR(__xludf.DUMMYFUNCTION("iferror(PERCENTRANK.INC(FILTER($S$2:$S$426, $P$2:$P$426&gt;=4.1), $S108), 0.01)"),0.067)</f>
        <v>0.067</v>
      </c>
    </row>
    <row r="109" ht="14.25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IFERROR(__xludf.DUMMYFUNCTION("iferror(PERCENTRANK.INC(FILTER($S$2:$S$426, $P$2:$P$426&lt;3.75), $S109), 1)"),0.85)</f>
        <v>0.85</v>
      </c>
      <c r="X109" s="20">
        <f>IFERROR(__xludf.DUMMYFUNCTION("iferror(PERCENTRANK.INC(FILTER($S$2:$S$426, $P$2:$P$426&lt;4.5), $S109), 1)"),0.656)</f>
        <v>0.656</v>
      </c>
      <c r="Y109" s="20">
        <f>IFERROR(__xludf.DUMMYFUNCTION("iferror(PERCENTRANK.INC(FILTER($S$2:$S$426, $P$2:$P$426&gt;=4.1), $S109), 0.01)"),0.064)</f>
        <v>0.064</v>
      </c>
    </row>
    <row r="110" ht="14.25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IFERROR(__xludf.DUMMYFUNCTION("iferror(PERCENTRANK.INC(FILTER($S$2:$S$426, $P$2:$P$426&lt;3.75), $S110), 1)"),0.843)</f>
        <v>0.843</v>
      </c>
      <c r="X110" s="20">
        <f>IFERROR(__xludf.DUMMYFUNCTION("iferror(PERCENTRANK.INC(FILTER($S$2:$S$426, $P$2:$P$426&lt;4.5), $S110), 1)"),0.652)</f>
        <v>0.652</v>
      </c>
      <c r="Y110" s="20">
        <f>IFERROR(__xludf.DUMMYFUNCTION("iferror(PERCENTRANK.INC(FILTER($S$2:$S$426, $P$2:$P$426&gt;=4.1), $S110), 0.01)"),0.061)</f>
        <v>0.061</v>
      </c>
    </row>
    <row r="111" ht="14.25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IFERROR(__xludf.DUMMYFUNCTION("iferror(PERCENTRANK.INC(FILTER($S$2:$S$426, $P$2:$P$426&lt;3.75), $S111), 1)"),0.837)</f>
        <v>0.837</v>
      </c>
      <c r="X111" s="20">
        <f>IFERROR(__xludf.DUMMYFUNCTION("iferror(PERCENTRANK.INC(FILTER($S$2:$S$426, $P$2:$P$426&lt;4.5), $S111), 1)"),0.647)</f>
        <v>0.647</v>
      </c>
      <c r="Y111" s="20">
        <f>IFERROR(__xludf.DUMMYFUNCTION("iferror(PERCENTRANK.INC(FILTER($S$2:$S$426, $P$2:$P$426&gt;=4.1), $S111), 0.01)"),0.06)</f>
        <v>0.06</v>
      </c>
    </row>
    <row r="112" ht="14.25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IFERROR(__xludf.DUMMYFUNCTION("iferror(PERCENTRANK.INC(FILTER($S$2:$S$426, $P$2:$P$426&lt;3.75), $S112), 1)"),0.831)</f>
        <v>0.831</v>
      </c>
      <c r="X112" s="20">
        <f>IFERROR(__xludf.DUMMYFUNCTION("iferror(PERCENTRANK.INC(FILTER($S$2:$S$426, $P$2:$P$426&lt;4.5), $S112), 1)"),0.643)</f>
        <v>0.643</v>
      </c>
      <c r="Y112" s="20">
        <f>IFERROR(__xludf.DUMMYFUNCTION("iferror(PERCENTRANK.INC(FILTER($S$2:$S$426, $P$2:$P$426&gt;=4.1), $S112), 0.01)"),0.06)</f>
        <v>0.06</v>
      </c>
    </row>
    <row r="113" ht="14.25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IFERROR(__xludf.DUMMYFUNCTION("iferror(PERCENTRANK.INC(FILTER($S$2:$S$426, $P$2:$P$426&lt;3.75), $S113), 1)"),0.83)</f>
        <v>0.83</v>
      </c>
      <c r="X113" s="20">
        <f>IFERROR(__xludf.DUMMYFUNCTION("iferror(PERCENTRANK.INC(FILTER($S$2:$S$426, $P$2:$P$426&lt;4.5), $S113), 1)"),0.638)</f>
        <v>0.638</v>
      </c>
      <c r="Y113" s="20">
        <f>IFERROR(__xludf.DUMMYFUNCTION("iferror(PERCENTRANK.INC(FILTER($S$2:$S$426, $P$2:$P$426&gt;=4.1), $S113), 0.01)"),0.06)</f>
        <v>0.06</v>
      </c>
    </row>
    <row r="114" ht="14.25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IFERROR(__xludf.DUMMYFUNCTION("iferror(PERCENTRANK.INC(FILTER($S$2:$S$426, $P$2:$P$426&lt;3.75), $S114), 1)"),0.824)</f>
        <v>0.824</v>
      </c>
      <c r="X114" s="20">
        <f>IFERROR(__xludf.DUMMYFUNCTION("iferror(PERCENTRANK.INC(FILTER($S$2:$S$426, $P$2:$P$426&lt;4.5), $S114), 1)"),0.633)</f>
        <v>0.633</v>
      </c>
      <c r="Y114" s="20">
        <f>IFERROR(__xludf.DUMMYFUNCTION("iferror(PERCENTRANK.INC(FILTER($S$2:$S$426, $P$2:$P$426&gt;=4.1), $S114), 0.01)"),0.059)</f>
        <v>0.059</v>
      </c>
    </row>
    <row r="115" ht="14.25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IFERROR(__xludf.DUMMYFUNCTION("iferror(PERCENTRANK.INC(FILTER($S$2:$S$426, $P$2:$P$426&lt;3.75), $S115), 1)"),0.817)</f>
        <v>0.817</v>
      </c>
      <c r="X115" s="20">
        <f>IFERROR(__xludf.DUMMYFUNCTION("iferror(PERCENTRANK.INC(FILTER($S$2:$S$426, $P$2:$P$426&lt;4.5), $S115), 1)"),0.629)</f>
        <v>0.629</v>
      </c>
      <c r="Y115" s="20">
        <f>IFERROR(__xludf.DUMMYFUNCTION("iferror(PERCENTRANK.INC(FILTER($S$2:$S$426, $P$2:$P$426&gt;=4.1), $S115), 0.01)"),0.057)</f>
        <v>0.057</v>
      </c>
    </row>
    <row r="116" ht="14.25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IFERROR(__xludf.DUMMYFUNCTION("iferror(PERCENTRANK.INC(FILTER($S$2:$S$426, $P$2:$P$426&lt;3.75), $S116), 1)"),0.817)</f>
        <v>0.817</v>
      </c>
      <c r="X116" s="20">
        <f>IFERROR(__xludf.DUMMYFUNCTION("iferror(PERCENTRANK.INC(FILTER($S$2:$S$426, $P$2:$P$426&lt;4.5), $S116), 1)"),0.624)</f>
        <v>0.624</v>
      </c>
      <c r="Y116" s="20">
        <f>IFERROR(__xludf.DUMMYFUNCTION("iferror(PERCENTRANK.INC(FILTER($S$2:$S$426, $P$2:$P$426&gt;=4.1), $S116), 0.01)"),0.057)</f>
        <v>0.057</v>
      </c>
    </row>
    <row r="117" ht="14.25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IFERROR(__xludf.DUMMYFUNCTION("iferror(PERCENTRANK.INC(FILTER($S$2:$S$426, $P$2:$P$426&lt;3.75), $S117), 1)"),0.81)</f>
        <v>0.81</v>
      </c>
      <c r="X117" s="20">
        <f>IFERROR(__xludf.DUMMYFUNCTION("iferror(PERCENTRANK.INC(FILTER($S$2:$S$426, $P$2:$P$426&lt;4.5), $S117), 1)"),0.62)</f>
        <v>0.62</v>
      </c>
      <c r="Y117" s="20">
        <f>IFERROR(__xludf.DUMMYFUNCTION("iferror(PERCENTRANK.INC(FILTER($S$2:$S$426, $P$2:$P$426&gt;=4.1), $S117), 0.01)"),0.056)</f>
        <v>0.056</v>
      </c>
    </row>
    <row r="118" ht="14.25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IFERROR(__xludf.DUMMYFUNCTION("iferror(PERCENTRANK.INC(FILTER($S$2:$S$426, $P$2:$P$426&lt;3.75), $S118), 1)"),0.807)</f>
        <v>0.807</v>
      </c>
      <c r="X118" s="20">
        <f>IFERROR(__xludf.DUMMYFUNCTION("iferror(PERCENTRANK.INC(FILTER($S$2:$S$426, $P$2:$P$426&lt;4.5), $S118), 1)"),0.615)</f>
        <v>0.615</v>
      </c>
      <c r="Y118" s="20">
        <f>IFERROR(__xludf.DUMMYFUNCTION("iferror(PERCENTRANK.INC(FILTER($S$2:$S$426, $P$2:$P$426&gt;=4.1), $S118), 0.01)"),0.054)</f>
        <v>0.054</v>
      </c>
    </row>
    <row r="119" ht="14.25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IFERROR(__xludf.DUMMYFUNCTION("iferror(PERCENTRANK.INC(FILTER($S$2:$S$426, $P$2:$P$426&lt;3.75), $S119), 1)"),0.804)</f>
        <v>0.804</v>
      </c>
      <c r="X119" s="20">
        <f>IFERROR(__xludf.DUMMYFUNCTION("iferror(PERCENTRANK.INC(FILTER($S$2:$S$426, $P$2:$P$426&lt;4.5), $S119), 1)"),0.611)</f>
        <v>0.611</v>
      </c>
      <c r="Y119" s="20">
        <f>IFERROR(__xludf.DUMMYFUNCTION("iferror(PERCENTRANK.INC(FILTER($S$2:$S$426, $P$2:$P$426&gt;=4.1), $S119), 0.01)"),0.052)</f>
        <v>0.052</v>
      </c>
    </row>
    <row r="120" ht="14.25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IFERROR(__xludf.DUMMYFUNCTION("iferror(PERCENTRANK.INC(FILTER($S$2:$S$426, $P$2:$P$426&lt;3.75), $S120), 1)"),0.797)</f>
        <v>0.797</v>
      </c>
      <c r="X120" s="20">
        <f>IFERROR(__xludf.DUMMYFUNCTION("iferror(PERCENTRANK.INC(FILTER($S$2:$S$426, $P$2:$P$426&lt;4.5), $S120), 1)"),0.606)</f>
        <v>0.606</v>
      </c>
      <c r="Y120" s="20">
        <f>IFERROR(__xludf.DUMMYFUNCTION("iferror(PERCENTRANK.INC(FILTER($S$2:$S$426, $P$2:$P$426&gt;=4.1), $S120), 0.01)"),0.05)</f>
        <v>0.05</v>
      </c>
    </row>
    <row r="121" ht="14.25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IFERROR(__xludf.DUMMYFUNCTION("iferror(PERCENTRANK.INC(FILTER($S$2:$S$426, $P$2:$P$426&lt;3.75), $S121), 1)"),0.791)</f>
        <v>0.791</v>
      </c>
      <c r="X121" s="20">
        <f>IFERROR(__xludf.DUMMYFUNCTION("iferror(PERCENTRANK.INC(FILTER($S$2:$S$426, $P$2:$P$426&lt;4.5), $S121), 1)"),0.602)</f>
        <v>0.602</v>
      </c>
      <c r="Y121" s="20">
        <f>IFERROR(__xludf.DUMMYFUNCTION("iferror(PERCENTRANK.INC(FILTER($S$2:$S$426, $P$2:$P$426&gt;=4.1), $S121), 0.01)"),0.05)</f>
        <v>0.05</v>
      </c>
    </row>
    <row r="122" ht="14.25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IFERROR(__xludf.DUMMYFUNCTION("iferror(PERCENTRANK.INC(FILTER($S$2:$S$426, $P$2:$P$426&lt;3.75), $S122), 1)"),0.784)</f>
        <v>0.784</v>
      </c>
      <c r="X122" s="20">
        <f>IFERROR(__xludf.DUMMYFUNCTION("iferror(PERCENTRANK.INC(FILTER($S$2:$S$426, $P$2:$P$426&lt;4.5), $S122), 1)"),0.597)</f>
        <v>0.597</v>
      </c>
      <c r="Y122" s="20">
        <f>IFERROR(__xludf.DUMMYFUNCTION("iferror(PERCENTRANK.INC(FILTER($S$2:$S$426, $P$2:$P$426&gt;=4.1), $S122), 0.01)"),0.05)</f>
        <v>0.05</v>
      </c>
    </row>
    <row r="123" ht="14.25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IFERROR(__xludf.DUMMYFUNCTION("iferror(PERCENTRANK.INC(FILTER($S$2:$S$426, $P$2:$P$426&lt;3.75), $S123), 1)"),0.783)</f>
        <v>0.783</v>
      </c>
      <c r="X123" s="20">
        <f>IFERROR(__xludf.DUMMYFUNCTION("iferror(PERCENTRANK.INC(FILTER($S$2:$S$426, $P$2:$P$426&lt;4.5), $S123), 1)"),0.593)</f>
        <v>0.593</v>
      </c>
      <c r="Y123" s="20">
        <f>IFERROR(__xludf.DUMMYFUNCTION("iferror(PERCENTRANK.INC(FILTER($S$2:$S$426, $P$2:$P$426&gt;=4.1), $S123), 0.01)"),0.049)</f>
        <v>0.049</v>
      </c>
    </row>
    <row r="124" ht="14.25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IFERROR(__xludf.DUMMYFUNCTION("iferror(PERCENTRANK.INC(FILTER($S$2:$S$426, $P$2:$P$426&lt;3.75), $S124), 1)"),0.78)</f>
        <v>0.78</v>
      </c>
      <c r="X124" s="20">
        <f>IFERROR(__xludf.DUMMYFUNCTION("iferror(PERCENTRANK.INC(FILTER($S$2:$S$426, $P$2:$P$426&lt;4.5), $S124), 1)"),0.588)</f>
        <v>0.588</v>
      </c>
      <c r="Y124" s="20">
        <f>IFERROR(__xludf.DUMMYFUNCTION("iferror(PERCENTRANK.INC(FILTER($S$2:$S$426, $P$2:$P$426&gt;=4.1), $S124), 0.01)"),0.045)</f>
        <v>0.045</v>
      </c>
    </row>
    <row r="125" ht="14.25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IFERROR(__xludf.DUMMYFUNCTION("iferror(PERCENTRANK.INC(FILTER($S$2:$S$426, $P$2:$P$426&lt;3.75), $S125), 1)"),0.778)</f>
        <v>0.778</v>
      </c>
      <c r="X125" s="20">
        <f>IFERROR(__xludf.DUMMYFUNCTION("iferror(PERCENTRANK.INC(FILTER($S$2:$S$426, $P$2:$P$426&lt;4.5), $S125), 1)"),0.584)</f>
        <v>0.584</v>
      </c>
      <c r="Y125" s="20">
        <f>IFERROR(__xludf.DUMMYFUNCTION("iferror(PERCENTRANK.INC(FILTER($S$2:$S$426, $P$2:$P$426&gt;=4.1), $S125), 0.01)"),0.041)</f>
        <v>0.041</v>
      </c>
    </row>
    <row r="126" ht="14.25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IFERROR(__xludf.DUMMYFUNCTION("iferror(PERCENTRANK.INC(FILTER($S$2:$S$426, $P$2:$P$426&lt;3.75), $S126), 1)"),0.771)</f>
        <v>0.771</v>
      </c>
      <c r="X126" s="20">
        <f>IFERROR(__xludf.DUMMYFUNCTION("iferror(PERCENTRANK.INC(FILTER($S$2:$S$426, $P$2:$P$426&lt;4.5), $S126), 1)"),0.579)</f>
        <v>0.579</v>
      </c>
      <c r="Y126" s="20">
        <f>IFERROR(__xludf.DUMMYFUNCTION("iferror(PERCENTRANK.INC(FILTER($S$2:$S$426, $P$2:$P$426&gt;=4.1), $S126), 0.01)"),0.04)</f>
        <v>0.04</v>
      </c>
    </row>
    <row r="127" ht="14.25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IFERROR(__xludf.DUMMYFUNCTION("iferror(PERCENTRANK.INC(FILTER($S$2:$S$426, $P$2:$P$426&lt;3.75), $S127), 1)"),0.768)</f>
        <v>0.768</v>
      </c>
      <c r="X127" s="20">
        <f>IFERROR(__xludf.DUMMYFUNCTION("iferror(PERCENTRANK.INC(FILTER($S$2:$S$426, $P$2:$P$426&lt;4.5), $S127), 1)"),0.575)</f>
        <v>0.575</v>
      </c>
      <c r="Y127" s="20">
        <f>IFERROR(__xludf.DUMMYFUNCTION("iferror(PERCENTRANK.INC(FILTER($S$2:$S$426, $P$2:$P$426&gt;=4.1), $S127), 0.01)"),0.039)</f>
        <v>0.039</v>
      </c>
    </row>
    <row r="128" ht="14.25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IFERROR(__xludf.DUMMYFUNCTION("iferror(PERCENTRANK.INC(FILTER($S$2:$S$426, $P$2:$P$426&lt;3.75), $S128), 1)"),0.765)</f>
        <v>0.765</v>
      </c>
      <c r="X128" s="20">
        <f>IFERROR(__xludf.DUMMYFUNCTION("iferror(PERCENTRANK.INC(FILTER($S$2:$S$426, $P$2:$P$426&lt;4.5), $S128), 1)"),0.57)</f>
        <v>0.57</v>
      </c>
      <c r="Y128" s="20">
        <f>IFERROR(__xludf.DUMMYFUNCTION("iferror(PERCENTRANK.INC(FILTER($S$2:$S$426, $P$2:$P$426&gt;=4.1), $S128), 0.01)"),0.037)</f>
        <v>0.037</v>
      </c>
    </row>
    <row r="129" ht="14.25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IFERROR(__xludf.DUMMYFUNCTION("iferror(PERCENTRANK.INC(FILTER($S$2:$S$426, $P$2:$P$426&lt;3.75), $S129), 1)"),0.758)</f>
        <v>0.758</v>
      </c>
      <c r="X129" s="20">
        <f>IFERROR(__xludf.DUMMYFUNCTION("iferror(PERCENTRANK.INC(FILTER($S$2:$S$426, $P$2:$P$426&lt;4.5), $S129), 1)"),0.566)</f>
        <v>0.566</v>
      </c>
      <c r="Y129" s="20">
        <f>IFERROR(__xludf.DUMMYFUNCTION("iferror(PERCENTRANK.INC(FILTER($S$2:$S$426, $P$2:$P$426&gt;=4.1), $S129), 0.01)"),0.036)</f>
        <v>0.036</v>
      </c>
    </row>
    <row r="130" ht="14.25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IFERROR(__xludf.DUMMYFUNCTION("iferror(PERCENTRANK.INC(FILTER($S$2:$S$426, $P$2:$P$426&lt;3.75), $S130), 1)"),0.754)</f>
        <v>0.754</v>
      </c>
      <c r="X130" s="20">
        <f>IFERROR(__xludf.DUMMYFUNCTION("iferror(PERCENTRANK.INC(FILTER($S$2:$S$426, $P$2:$P$426&lt;4.5), $S130), 1)"),0.557)</f>
        <v>0.557</v>
      </c>
      <c r="Y130" s="20">
        <f>IFERROR(__xludf.DUMMYFUNCTION("iferror(PERCENTRANK.INC(FILTER($S$2:$S$426, $P$2:$P$426&gt;=4.1), $S130), 0.01)"),0.03)</f>
        <v>0.03</v>
      </c>
    </row>
    <row r="131" ht="14.25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IFERROR(__xludf.DUMMYFUNCTION("iferror(PERCENTRANK.INC(FILTER($S$2:$S$426, $P$2:$P$426&lt;3.75), $S131), 1)"),0.752)</f>
        <v>0.752</v>
      </c>
      <c r="X131" s="20">
        <f>IFERROR(__xludf.DUMMYFUNCTION("iferror(PERCENTRANK.INC(FILTER($S$2:$S$426, $P$2:$P$426&lt;4.5), $S131), 1)"),0.552)</f>
        <v>0.552</v>
      </c>
      <c r="Y131" s="20">
        <f>IFERROR(__xludf.DUMMYFUNCTION("iferror(PERCENTRANK.INC(FILTER($S$2:$S$426, $P$2:$P$426&gt;=4.1), $S131), 0.01)"),0.027)</f>
        <v>0.027</v>
      </c>
    </row>
    <row r="132" ht="14.25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IFERROR(__xludf.DUMMYFUNCTION("iferror(PERCENTRANK.INC(FILTER($S$2:$S$426, $P$2:$P$426&lt;3.75), $S132), 1)"),0.745)</f>
        <v>0.745</v>
      </c>
      <c r="X132" s="20">
        <f>IFERROR(__xludf.DUMMYFUNCTION("iferror(PERCENTRANK.INC(FILTER($S$2:$S$426, $P$2:$P$426&lt;4.5), $S132), 1)"),0.548)</f>
        <v>0.548</v>
      </c>
      <c r="Y132" s="20">
        <f>IFERROR(__xludf.DUMMYFUNCTION("iferror(PERCENTRANK.INC(FILTER($S$2:$S$426, $P$2:$P$426&gt;=4.1), $S132), 0.01)"),0.026)</f>
        <v>0.026</v>
      </c>
    </row>
    <row r="133" ht="14.25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IFERROR(__xludf.DUMMYFUNCTION("iferror(PERCENTRANK.INC(FILTER($S$2:$S$426, $P$2:$P$426&lt;3.75), $S133), 1)"),0.739)</f>
        <v>0.739</v>
      </c>
      <c r="X133" s="20">
        <f>IFERROR(__xludf.DUMMYFUNCTION("iferror(PERCENTRANK.INC(FILTER($S$2:$S$426, $P$2:$P$426&lt;4.5), $S133), 1)"),0.543)</f>
        <v>0.543</v>
      </c>
      <c r="Y133" s="20">
        <f>IFERROR(__xludf.DUMMYFUNCTION("iferror(PERCENTRANK.INC(FILTER($S$2:$S$426, $P$2:$P$426&gt;=4.1), $S133), 0.01)"),0.025)</f>
        <v>0.025</v>
      </c>
    </row>
    <row r="134" ht="14.25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IFERROR(__xludf.DUMMYFUNCTION("iferror(PERCENTRANK.INC(FILTER($S$2:$S$426, $P$2:$P$426&lt;3.75), $S134), 1)"),0.732)</f>
        <v>0.732</v>
      </c>
      <c r="X134" s="20">
        <f>IFERROR(__xludf.DUMMYFUNCTION("iferror(PERCENTRANK.INC(FILTER($S$2:$S$426, $P$2:$P$426&lt;4.5), $S134), 1)"),0.538)</f>
        <v>0.538</v>
      </c>
      <c r="Y134" s="20">
        <f>IFERROR(__xludf.DUMMYFUNCTION("iferror(PERCENTRANK.INC(FILTER($S$2:$S$426, $P$2:$P$426&gt;=4.1), $S134), 0.01)"),0.025)</f>
        <v>0.025</v>
      </c>
    </row>
    <row r="135" ht="14.25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IFERROR(__xludf.DUMMYFUNCTION("iferror(PERCENTRANK.INC(FILTER($S$2:$S$426, $P$2:$P$426&lt;3.75), $S135), 1)"),0.725)</f>
        <v>0.725</v>
      </c>
      <c r="X135" s="20">
        <f>IFERROR(__xludf.DUMMYFUNCTION("iferror(PERCENTRANK.INC(FILTER($S$2:$S$426, $P$2:$P$426&lt;4.5), $S135), 1)"),0.534)</f>
        <v>0.534</v>
      </c>
      <c r="Y135" s="20">
        <f>IFERROR(__xludf.DUMMYFUNCTION("iferror(PERCENTRANK.INC(FILTER($S$2:$S$426, $P$2:$P$426&gt;=4.1), $S135), 0.01)"),0.024)</f>
        <v>0.024</v>
      </c>
    </row>
    <row r="136" ht="14.25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IFERROR(__xludf.DUMMYFUNCTION("iferror(PERCENTRANK.INC(FILTER($S$2:$S$426, $P$2:$P$426&lt;3.75), $S136), 1)"),0.719)</f>
        <v>0.719</v>
      </c>
      <c r="X136" s="20">
        <f>IFERROR(__xludf.DUMMYFUNCTION("iferror(PERCENTRANK.INC(FILTER($S$2:$S$426, $P$2:$P$426&lt;4.5), $S136), 1)"),0.529)</f>
        <v>0.529</v>
      </c>
      <c r="Y136" s="20">
        <f>IFERROR(__xludf.DUMMYFUNCTION("iferror(PERCENTRANK.INC(FILTER($S$2:$S$426, $P$2:$P$426&gt;=4.1), $S136), 0.01)"),0.023)</f>
        <v>0.023</v>
      </c>
    </row>
    <row r="137" ht="14.25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IFERROR(__xludf.DUMMYFUNCTION("iferror(PERCENTRANK.INC(FILTER($S$2:$S$426, $P$2:$P$426&lt;3.75), $S137), 1)"),0.712)</f>
        <v>0.712</v>
      </c>
      <c r="X137" s="20">
        <f>IFERROR(__xludf.DUMMYFUNCTION("iferror(PERCENTRANK.INC(FILTER($S$2:$S$426, $P$2:$P$426&lt;4.5), $S137), 1)"),0.525)</f>
        <v>0.525</v>
      </c>
      <c r="Y137" s="20">
        <f>IFERROR(__xludf.DUMMYFUNCTION("iferror(PERCENTRANK.INC(FILTER($S$2:$S$426, $P$2:$P$426&gt;=4.1), $S137), 0.01)"),0.022)</f>
        <v>0.022</v>
      </c>
    </row>
    <row r="138" ht="14.25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IFERROR(__xludf.DUMMYFUNCTION("iferror(PERCENTRANK.INC(FILTER($S$2:$S$426, $P$2:$P$426&lt;3.75), $S138), 1)"),0.706)</f>
        <v>0.706</v>
      </c>
      <c r="X138" s="20">
        <f>IFERROR(__xludf.DUMMYFUNCTION("iferror(PERCENTRANK.INC(FILTER($S$2:$S$426, $P$2:$P$426&lt;4.5), $S138), 1)"),0.52)</f>
        <v>0.52</v>
      </c>
      <c r="Y138" s="20">
        <f>IFERROR(__xludf.DUMMYFUNCTION("iferror(PERCENTRANK.INC(FILTER($S$2:$S$426, $P$2:$P$426&gt;=4.1), $S138), 0.01)"),0.021)</f>
        <v>0.021</v>
      </c>
    </row>
    <row r="139" ht="14.25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IFERROR(__xludf.DUMMYFUNCTION("iferror(PERCENTRANK.INC(FILTER($S$2:$S$426, $P$2:$P$426&lt;3.75), $S139), 1)"),0.699)</f>
        <v>0.699</v>
      </c>
      <c r="X139" s="20">
        <f>IFERROR(__xludf.DUMMYFUNCTION("iferror(PERCENTRANK.INC(FILTER($S$2:$S$426, $P$2:$P$426&lt;4.5), $S139), 1)"),0.516)</f>
        <v>0.516</v>
      </c>
      <c r="Y139" s="20">
        <f>IFERROR(__xludf.DUMMYFUNCTION("iferror(PERCENTRANK.INC(FILTER($S$2:$S$426, $P$2:$P$426&gt;=4.1), $S139), 0.01)"),0.02)</f>
        <v>0.02</v>
      </c>
    </row>
    <row r="140" ht="14.25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IFERROR(__xludf.DUMMYFUNCTION("iferror(PERCENTRANK.INC(FILTER($S$2:$S$426, $P$2:$P$426&lt;3.75), $S140), 1)"),0.693)</f>
        <v>0.693</v>
      </c>
      <c r="X140" s="20">
        <f>IFERROR(__xludf.DUMMYFUNCTION("iferror(PERCENTRANK.INC(FILTER($S$2:$S$426, $P$2:$P$426&lt;4.5), $S140), 1)"),0.511)</f>
        <v>0.511</v>
      </c>
      <c r="Y140" s="20">
        <f>IFERROR(__xludf.DUMMYFUNCTION("iferror(PERCENTRANK.INC(FILTER($S$2:$S$426, $P$2:$P$426&gt;=4.1), $S140), 0.01)"),0.016)</f>
        <v>0.016</v>
      </c>
    </row>
    <row r="141" ht="14.25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100*(K141-MIN($J$2:$J$502))/(MAX($J$2:$J$502) - MIN($J$2:$J$502))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IFERROR(__xludf.DUMMYFUNCTION("iferror(PERCENTRANK.INC(FILTER($S$2:$S$426, $P$2:$P$426&lt;3.75), $S141), 1)"),0.69)</f>
        <v>0.69</v>
      </c>
      <c r="X141" s="20">
        <f>IFERROR(__xludf.DUMMYFUNCTION("iferror(PERCENTRANK.INC(FILTER($S$2:$S$426, $P$2:$P$426&lt;4.5), $S141), 1)"),0.507)</f>
        <v>0.507</v>
      </c>
      <c r="Y141" s="20">
        <f>IFERROR(__xludf.DUMMYFUNCTION("iferror(PERCENTRANK.INC(FILTER($S$2:$S$426, $P$2:$P$426&gt;=4.1), $S141), 0.01)"),0.015)</f>
        <v>0.015</v>
      </c>
    </row>
    <row r="142" ht="14.25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IFERROR(__xludf.DUMMYFUNCTION("iferror(PERCENTRANK.INC(FILTER($S$2:$S$426, $P$2:$P$426&lt;3.75), $S142), 1)"),0.69)</f>
        <v>0.69</v>
      </c>
      <c r="X142" s="20">
        <f>IFERROR(__xludf.DUMMYFUNCTION("iferror(PERCENTRANK.INC(FILTER($S$2:$S$426, $P$2:$P$426&lt;4.5), $S142), 1)"),0.502)</f>
        <v>0.502</v>
      </c>
      <c r="Y142" s="20">
        <f>IFERROR(__xludf.DUMMYFUNCTION("iferror(PERCENTRANK.INC(FILTER($S$2:$S$426, $P$2:$P$426&gt;=4.1), $S142), 0.01)"),0.015)</f>
        <v>0.015</v>
      </c>
    </row>
    <row r="143" ht="14.25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IFERROR(__xludf.DUMMYFUNCTION("iferror(PERCENTRANK.INC(FILTER($S$2:$S$426, $P$2:$P$426&lt;3.75), $S143), 1)"),0.686)</f>
        <v>0.686</v>
      </c>
      <c r="X143" s="20">
        <f>IFERROR(__xludf.DUMMYFUNCTION("iferror(PERCENTRANK.INC(FILTER($S$2:$S$426, $P$2:$P$426&lt;4.5), $S143), 1)"),0.498)</f>
        <v>0.498</v>
      </c>
      <c r="Y143" s="20">
        <f>IFERROR(__xludf.DUMMYFUNCTION("iferror(PERCENTRANK.INC(FILTER($S$2:$S$426, $P$2:$P$426&gt;=4.1), $S143), 0.01)"),0.013)</f>
        <v>0.013</v>
      </c>
    </row>
    <row r="144" ht="14.25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IFERROR(__xludf.DUMMYFUNCTION("iferror(PERCENTRANK.INC(FILTER($S$2:$S$426, $P$2:$P$426&lt;3.75), $S144), 1)"),0.68)</f>
        <v>0.68</v>
      </c>
      <c r="X144" s="20">
        <f>IFERROR(__xludf.DUMMYFUNCTION("iferror(PERCENTRANK.INC(FILTER($S$2:$S$426, $P$2:$P$426&lt;4.5), $S144), 1)"),0.484)</f>
        <v>0.484</v>
      </c>
      <c r="Y144" s="20">
        <f>IFERROR(__xludf.DUMMYFUNCTION("iferror(PERCENTRANK.INC(FILTER($S$2:$S$426, $P$2:$P$426&gt;=4.1), $S144), 0.01)"),0.008)</f>
        <v>0.008</v>
      </c>
    </row>
    <row r="145" ht="14.25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IFERROR(__xludf.DUMMYFUNCTION("iferror(PERCENTRANK.INC(FILTER($S$2:$S$426, $P$2:$P$426&lt;3.75), $S145), 1)"),0.68)</f>
        <v>0.68</v>
      </c>
      <c r="X145" s="20">
        <f>IFERROR(__xludf.DUMMYFUNCTION("iferror(PERCENTRANK.INC(FILTER($S$2:$S$426, $P$2:$P$426&lt;4.5), $S145), 1)"),0.48)</f>
        <v>0.48</v>
      </c>
      <c r="Y145" s="20">
        <f>IFERROR(__xludf.DUMMYFUNCTION("iferror(PERCENTRANK.INC(FILTER($S$2:$S$426, $P$2:$P$426&gt;=4.1), $S145), 0.01)"),0.008)</f>
        <v>0.008</v>
      </c>
    </row>
    <row r="146" ht="14.25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IFERROR(__xludf.DUMMYFUNCTION("iferror(PERCENTRANK.INC(FILTER($S$2:$S$426, $P$2:$P$426&lt;3.75), $S146), 1)"),0.673)</f>
        <v>0.673</v>
      </c>
      <c r="X146" s="20">
        <f>IFERROR(__xludf.DUMMYFUNCTION("iferror(PERCENTRANK.INC(FILTER($S$2:$S$426, $P$2:$P$426&lt;4.5), $S146), 1)"),0.475)</f>
        <v>0.475</v>
      </c>
      <c r="Y146" s="20">
        <f>IFERROR(__xludf.DUMMYFUNCTION("iferror(PERCENTRANK.INC(FILTER($S$2:$S$426, $P$2:$P$426&gt;=4.1), $S146), 0.01)"),0.003)</f>
        <v>0.003</v>
      </c>
    </row>
    <row r="147" ht="14.25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IFERROR(__xludf.DUMMYFUNCTION("iferror(PERCENTRANK.INC(FILTER($S$2:$S$426, $P$2:$P$426&lt;3.75), $S147), 1)"),0.668)</f>
        <v>0.668</v>
      </c>
      <c r="X147" s="20">
        <f>IFERROR(__xludf.DUMMYFUNCTION("iferror(PERCENTRANK.INC(FILTER($S$2:$S$426, $P$2:$P$426&lt;4.5), $S147), 1)"),0.471)</f>
        <v>0.471</v>
      </c>
      <c r="Y147" s="20">
        <f>IFERROR(__xludf.DUMMYFUNCTION("iferror(PERCENTRANK.INC(FILTER($S$2:$S$426, $P$2:$P$426&gt;=4.1), $S147), 0.01)"),0.0)</f>
        <v>0</v>
      </c>
    </row>
    <row r="148" ht="14.25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IFERROR(__xludf.DUMMYFUNCTION("iferror(PERCENTRANK.INC(FILTER($S$2:$S$426, $P$2:$P$426&lt;3.75), $S148), 1)"),0.667)</f>
        <v>0.667</v>
      </c>
      <c r="X148" s="20">
        <f>IFERROR(__xludf.DUMMYFUNCTION("iferror(PERCENTRANK.INC(FILTER($S$2:$S$426, $P$2:$P$426&lt;4.5), $S148), 1)"),0.466)</f>
        <v>0.466</v>
      </c>
      <c r="Y148" s="20">
        <f>IFERROR(__xludf.DUMMYFUNCTION("iferror(PERCENTRANK.INC(FILTER($S$2:$S$426, $P$2:$P$426&gt;=4.1), $S148), 0.01)"),0.01)</f>
        <v>0.01</v>
      </c>
    </row>
    <row r="149" ht="14.25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IFERROR(__xludf.DUMMYFUNCTION("iferror(PERCENTRANK.INC(FILTER($S$2:$S$426, $P$2:$P$426&lt;3.75), $S149), 1)"),0.66)</f>
        <v>0.66</v>
      </c>
      <c r="X149" s="20">
        <f>IFERROR(__xludf.DUMMYFUNCTION("iferror(PERCENTRANK.INC(FILTER($S$2:$S$426, $P$2:$P$426&lt;4.5), $S149), 1)"),0.462)</f>
        <v>0.462</v>
      </c>
      <c r="Y149" s="20">
        <f>IFERROR(__xludf.DUMMYFUNCTION("iferror(PERCENTRANK.INC(FILTER($S$2:$S$426, $P$2:$P$426&gt;=4.1), $S149), 0.01)"),0.01)</f>
        <v>0.01</v>
      </c>
    </row>
    <row r="150" ht="14.25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IFERROR(__xludf.DUMMYFUNCTION("iferror(PERCENTRANK.INC(FILTER($S$2:$S$426, $P$2:$P$426&lt;3.75), $S150), 1)"),0.654)</f>
        <v>0.654</v>
      </c>
      <c r="X150" s="20">
        <f>IFERROR(__xludf.DUMMYFUNCTION("iferror(PERCENTRANK.INC(FILTER($S$2:$S$426, $P$2:$P$426&lt;4.5), $S150), 1)"),0.457)</f>
        <v>0.457</v>
      </c>
      <c r="Y150" s="20">
        <f>IFERROR(__xludf.DUMMYFUNCTION("iferror(PERCENTRANK.INC(FILTER($S$2:$S$426, $P$2:$P$426&gt;=4.1), $S150), 0.01)"),0.01)</f>
        <v>0.01</v>
      </c>
    </row>
    <row r="151" ht="14.25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IFERROR(__xludf.DUMMYFUNCTION("iferror(PERCENTRANK.INC(FILTER($S$2:$S$426, $P$2:$P$426&lt;3.75), $S151), 1)"),0.647)</f>
        <v>0.647</v>
      </c>
      <c r="X151" s="20">
        <f>IFERROR(__xludf.DUMMYFUNCTION("iferror(PERCENTRANK.INC(FILTER($S$2:$S$426, $P$2:$P$426&lt;4.5), $S151), 1)"),0.452)</f>
        <v>0.452</v>
      </c>
      <c r="Y151" s="20">
        <f>IFERROR(__xludf.DUMMYFUNCTION("iferror(PERCENTRANK.INC(FILTER($S$2:$S$426, $P$2:$P$426&gt;=4.1), $S151), 0.01)"),0.01)</f>
        <v>0.01</v>
      </c>
    </row>
    <row r="152" ht="14.25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IFERROR(__xludf.DUMMYFUNCTION("iferror(PERCENTRANK.INC(FILTER($S$2:$S$426, $P$2:$P$426&lt;3.75), $S152), 1)"),0.641)</f>
        <v>0.641</v>
      </c>
      <c r="X152" s="20">
        <f>IFERROR(__xludf.DUMMYFUNCTION("iferror(PERCENTRANK.INC(FILTER($S$2:$S$426, $P$2:$P$426&lt;4.5), $S152), 1)"),0.448)</f>
        <v>0.448</v>
      </c>
      <c r="Y152" s="20">
        <f>IFERROR(__xludf.DUMMYFUNCTION("iferror(PERCENTRANK.INC(FILTER($S$2:$S$426, $P$2:$P$426&gt;=4.1), $S152), 0.01)"),0.01)</f>
        <v>0.01</v>
      </c>
    </row>
    <row r="153" ht="14.25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IFERROR(__xludf.DUMMYFUNCTION("iferror(PERCENTRANK.INC(FILTER($S$2:$S$426, $P$2:$P$426&lt;3.75), $S153), 1)"),0.634)</f>
        <v>0.634</v>
      </c>
      <c r="X153" s="20">
        <f>IFERROR(__xludf.DUMMYFUNCTION("iferror(PERCENTRANK.INC(FILTER($S$2:$S$426, $P$2:$P$426&lt;4.5), $S153), 1)"),0.443)</f>
        <v>0.443</v>
      </c>
      <c r="Y153" s="20">
        <f>IFERROR(__xludf.DUMMYFUNCTION("iferror(PERCENTRANK.INC(FILTER($S$2:$S$426, $P$2:$P$426&gt;=4.1), $S153), 0.01)"),0.01)</f>
        <v>0.01</v>
      </c>
    </row>
    <row r="154" ht="14.25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IFERROR(__xludf.DUMMYFUNCTION("iferror(PERCENTRANK.INC(FILTER($S$2:$S$426, $P$2:$P$426&lt;3.75), $S154), 1)"),0.634)</f>
        <v>0.634</v>
      </c>
      <c r="X154" s="20">
        <f>IFERROR(__xludf.DUMMYFUNCTION("iferror(PERCENTRANK.INC(FILTER($S$2:$S$426, $P$2:$P$426&lt;4.5), $S154), 1)"),0.439)</f>
        <v>0.439</v>
      </c>
      <c r="Y154" s="20">
        <f>IFERROR(__xludf.DUMMYFUNCTION("iferror(PERCENTRANK.INC(FILTER($S$2:$S$426, $P$2:$P$426&gt;=4.1), $S154), 0.01)"),0.01)</f>
        <v>0.01</v>
      </c>
    </row>
    <row r="155" ht="14.25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IFERROR(__xludf.DUMMYFUNCTION("iferror(PERCENTRANK.INC(FILTER($S$2:$S$426, $P$2:$P$426&lt;3.75), $S155), 1)"),0.627)</f>
        <v>0.627</v>
      </c>
      <c r="X155" s="20">
        <f>IFERROR(__xludf.DUMMYFUNCTION("iferror(PERCENTRANK.INC(FILTER($S$2:$S$426, $P$2:$P$426&lt;4.5), $S155), 1)"),0.434)</f>
        <v>0.434</v>
      </c>
      <c r="Y155" s="20">
        <f>IFERROR(__xludf.DUMMYFUNCTION("iferror(PERCENTRANK.INC(FILTER($S$2:$S$426, $P$2:$P$426&gt;=4.1), $S155), 0.01)"),0.01)</f>
        <v>0.01</v>
      </c>
    </row>
    <row r="156" ht="14.25" customHeight="1">
      <c r="A156" s="17" t="s">
        <v>1107</v>
      </c>
      <c r="B156" s="17" t="s">
        <v>625</v>
      </c>
      <c r="C156" s="16">
        <v>3.0</v>
      </c>
      <c r="D156" s="17" t="s">
        <v>954</v>
      </c>
      <c r="E156" s="17" t="s">
        <v>169</v>
      </c>
      <c r="F156" s="18">
        <v>72.0</v>
      </c>
      <c r="G156" s="18">
        <v>53.0</v>
      </c>
      <c r="H156" s="18">
        <v>486.0</v>
      </c>
      <c r="I156" s="18">
        <v>9.2</v>
      </c>
      <c r="J156" s="18">
        <v>2.0</v>
      </c>
      <c r="K156" s="18">
        <v>5.06</v>
      </c>
      <c r="L156" s="22">
        <v>34.88</v>
      </c>
      <c r="M156" s="15"/>
      <c r="N156" s="22">
        <v>5.06</v>
      </c>
      <c r="O156" s="22">
        <v>5.69</v>
      </c>
      <c r="R156" s="20">
        <f t="array" ref="R156">XLOOKUP(E156, 'Conference Match'!$A$2:$A$40,'Conference Match'!$C$2:$C$40)</f>
        <v>0.9</v>
      </c>
      <c r="S156" s="20">
        <f t="shared" si="1"/>
        <v>2.0488</v>
      </c>
      <c r="T156" s="20">
        <f t="shared" si="2"/>
        <v>20.46056093</v>
      </c>
      <c r="U156" s="20">
        <f t="shared" si="3"/>
        <v>-14.41943907</v>
      </c>
      <c r="W156" s="20">
        <f>IFERROR(__xludf.DUMMYFUNCTION("iferror(PERCENTRANK.INC(FILTER($S$2:$S$426, $P$2:$P$426&lt;3.75), $S156), 1)"),0.497)</f>
        <v>0.497</v>
      </c>
      <c r="X156" s="20">
        <f>IFERROR(__xludf.DUMMYFUNCTION("iferror(PERCENTRANK.INC(FILTER($S$2:$S$426, $P$2:$P$426&lt;4.5), $S156), 1)"),0.344)</f>
        <v>0.344</v>
      </c>
      <c r="Y156" s="20">
        <f>IFERROR(__xludf.DUMMYFUNCTION("iferror(PERCENTRANK.INC(FILTER($S$2:$S$426, $P$2:$P$426&gt;=4.1), $S156), 0.01)"),0.01)</f>
        <v>0.01</v>
      </c>
    </row>
    <row r="157" ht="14.25" customHeight="1">
      <c r="A157" s="14" t="s">
        <v>1108</v>
      </c>
      <c r="B157" s="14" t="s">
        <v>625</v>
      </c>
      <c r="C157" s="16">
        <v>1.0</v>
      </c>
      <c r="D157" s="14" t="s">
        <v>954</v>
      </c>
      <c r="E157" s="14" t="s">
        <v>169</v>
      </c>
      <c r="F157" s="14">
        <v>16.0</v>
      </c>
      <c r="G157" s="14">
        <v>10.0</v>
      </c>
      <c r="H157" s="14">
        <v>140.0</v>
      </c>
      <c r="I157" s="14">
        <v>14.0</v>
      </c>
      <c r="J157" s="14">
        <v>2.0</v>
      </c>
      <c r="K157" s="20">
        <v>5.9228746704196755</v>
      </c>
      <c r="L157" s="20">
        <v>42.720407216225084</v>
      </c>
      <c r="M157" s="15"/>
      <c r="N157" s="20">
        <v>5.9228746704196755</v>
      </c>
      <c r="O157" s="14">
        <v>1.99</v>
      </c>
      <c r="P157" s="20">
        <v>3.31</v>
      </c>
      <c r="Q157" s="20">
        <v>-3.5</v>
      </c>
      <c r="R157" s="20">
        <f t="array" ref="R157">XLOOKUP(E157, 'Conference Match'!$A$2:$A$40,'Conference Match'!$C$2:$C$40)</f>
        <v>0.9</v>
      </c>
      <c r="S157" s="20">
        <f t="shared" si="1"/>
        <v>2.769117441</v>
      </c>
      <c r="T157" s="20">
        <f t="shared" si="2"/>
        <v>34.35656214</v>
      </c>
      <c r="U157" s="20">
        <f t="shared" si="3"/>
        <v>-8.363845081</v>
      </c>
      <c r="W157" s="20">
        <f>IFERROR(__xludf.DUMMYFUNCTION("iferror(PERCENTRANK.INC(FILTER($S$2:$S$426, $P$2:$P$426&lt;3.75), $S157), 1)"),0.621)</f>
        <v>0.621</v>
      </c>
      <c r="X157" s="20">
        <f>IFERROR(__xludf.DUMMYFUNCTION("iferror(PERCENTRANK.INC(FILTER($S$2:$S$426, $P$2:$P$426&lt;4.5), $S157), 1)"),0.43)</f>
        <v>0.43</v>
      </c>
      <c r="Y157" s="20">
        <f>IFERROR(__xludf.DUMMYFUNCTION("iferror(PERCENTRANK.INC(FILTER($S$2:$S$426, $P$2:$P$426&gt;=4.1), $S157), 0.01)"),0.01)</f>
        <v>0.01</v>
      </c>
    </row>
    <row r="158" ht="14.25" customHeight="1">
      <c r="A158" s="14" t="s">
        <v>1109</v>
      </c>
      <c r="B158" s="14" t="s">
        <v>423</v>
      </c>
      <c r="C158" s="14" t="s">
        <v>954</v>
      </c>
      <c r="D158" s="14" t="s">
        <v>954</v>
      </c>
      <c r="E158" s="14" t="s">
        <v>188</v>
      </c>
      <c r="F158" s="14">
        <v>46.0</v>
      </c>
      <c r="G158" s="14">
        <v>22.0</v>
      </c>
      <c r="H158" s="14">
        <v>343.0</v>
      </c>
      <c r="I158" s="14">
        <v>15.6</v>
      </c>
      <c r="J158" s="14">
        <v>0.0</v>
      </c>
      <c r="K158" s="20">
        <v>6.112769051902868</v>
      </c>
      <c r="L158" s="20">
        <v>44.4475907808367</v>
      </c>
      <c r="M158" s="15"/>
      <c r="N158" s="20">
        <v>6.112769051902868</v>
      </c>
      <c r="O158" s="14">
        <v>1.8</v>
      </c>
      <c r="P158" s="20">
        <v>3.4</v>
      </c>
      <c r="Q158" s="20">
        <v>-4.0</v>
      </c>
      <c r="R158" s="20">
        <f t="array" ref="R158">XLOOKUP(E158, 'Conference Match'!$A$2:$A$40,'Conference Match'!$C$2:$C$40)</f>
        <v>0.9</v>
      </c>
      <c r="S158" s="20">
        <f t="shared" si="1"/>
        <v>2.760298429</v>
      </c>
      <c r="T158" s="20">
        <f t="shared" si="2"/>
        <v>34.18643021</v>
      </c>
      <c r="U158" s="20">
        <f t="shared" si="3"/>
        <v>-10.26116057</v>
      </c>
      <c r="W158" s="20">
        <f>IFERROR(__xludf.DUMMYFUNCTION("iferror(PERCENTRANK.INC(FILTER($S$2:$S$426, $P$2:$P$426&lt;3.75), $S158), 1)"),0.614)</f>
        <v>0.614</v>
      </c>
      <c r="X158" s="20">
        <f>IFERROR(__xludf.DUMMYFUNCTION("iferror(PERCENTRANK.INC(FILTER($S$2:$S$426, $P$2:$P$426&lt;4.5), $S158), 1)"),0.425)</f>
        <v>0.425</v>
      </c>
      <c r="Y158" s="20">
        <f>IFERROR(__xludf.DUMMYFUNCTION("iferror(PERCENTRANK.INC(FILTER($S$2:$S$426, $P$2:$P$426&gt;=4.1), $S158), 0.01)"),0.01)</f>
        <v>0.01</v>
      </c>
    </row>
    <row r="159" ht="14.25" customHeight="1">
      <c r="A159" s="14" t="s">
        <v>1110</v>
      </c>
      <c r="B159" s="14" t="s">
        <v>441</v>
      </c>
      <c r="C159" s="14">
        <v>11.0</v>
      </c>
      <c r="D159" s="14" t="s">
        <v>954</v>
      </c>
      <c r="E159" s="14" t="s">
        <v>149</v>
      </c>
      <c r="F159" s="14">
        <v>27.0</v>
      </c>
      <c r="G159" s="14">
        <v>20.0</v>
      </c>
      <c r="H159" s="14">
        <v>298.0</v>
      </c>
      <c r="I159" s="14">
        <v>14.9</v>
      </c>
      <c r="J159" s="14">
        <v>1.0</v>
      </c>
      <c r="K159" s="20">
        <v>6.38016046745021</v>
      </c>
      <c r="L159" s="20">
        <v>52.78697046678969</v>
      </c>
      <c r="M159" s="15"/>
      <c r="N159" s="20">
        <v>6.38016046745021</v>
      </c>
      <c r="O159" s="14">
        <v>0.74</v>
      </c>
      <c r="P159" s="20">
        <v>3.47</v>
      </c>
      <c r="Q159" s="20">
        <v>-3.5</v>
      </c>
      <c r="R159" s="20">
        <f t="array" ref="R159">XLOOKUP(E159, 'Conference Match'!$A$2:$A$40,'Conference Match'!$C$2:$C$40)</f>
        <v>0.95</v>
      </c>
      <c r="S159" s="20">
        <f t="shared" si="1"/>
        <v>2.745230489</v>
      </c>
      <c r="T159" s="20">
        <f t="shared" si="2"/>
        <v>33.89574709</v>
      </c>
      <c r="U159" s="20">
        <f t="shared" si="3"/>
        <v>-18.89122337</v>
      </c>
      <c r="W159" s="20">
        <f>IFERROR(__xludf.DUMMYFUNCTION("iferror(PERCENTRANK.INC(FILTER($S$2:$S$426, $P$2:$P$426&lt;3.75), $S159), 1)"),0.608)</f>
        <v>0.608</v>
      </c>
      <c r="X159" s="20">
        <f>IFERROR(__xludf.DUMMYFUNCTION("iferror(PERCENTRANK.INC(FILTER($S$2:$S$426, $P$2:$P$426&lt;4.5), $S159), 1)"),0.421)</f>
        <v>0.421</v>
      </c>
      <c r="Y159" s="20">
        <f>IFERROR(__xludf.DUMMYFUNCTION("iferror(PERCENTRANK.INC(FILTER($S$2:$S$426, $P$2:$P$426&gt;=4.1), $S159), 0.01)"),0.01)</f>
        <v>0.01</v>
      </c>
    </row>
    <row r="160" ht="14.25" customHeight="1">
      <c r="A160" s="14" t="s">
        <v>1111</v>
      </c>
      <c r="B160" s="14" t="s">
        <v>227</v>
      </c>
      <c r="C160" s="14" t="s">
        <v>954</v>
      </c>
      <c r="D160" s="14" t="s">
        <v>954</v>
      </c>
      <c r="E160" s="14" t="s">
        <v>188</v>
      </c>
      <c r="F160" s="14">
        <v>57.0</v>
      </c>
      <c r="G160" s="14">
        <v>44.0</v>
      </c>
      <c r="H160" s="14">
        <v>479.0</v>
      </c>
      <c r="I160" s="14">
        <v>10.9</v>
      </c>
      <c r="J160" s="14">
        <v>3.0</v>
      </c>
      <c r="K160" s="20">
        <v>5.77948838702458</v>
      </c>
      <c r="L160" s="20">
        <v>41.41623786620842</v>
      </c>
      <c r="M160" s="15"/>
      <c r="N160" s="20">
        <v>5.77948838702458</v>
      </c>
      <c r="O160" s="14">
        <v>3.51</v>
      </c>
      <c r="P160" s="14">
        <v>3.47</v>
      </c>
      <c r="Q160" s="14">
        <v>-7.5</v>
      </c>
      <c r="R160" s="20">
        <f t="array" ref="R160">XLOOKUP(E160, 'Conference Match'!$A$2:$A$40,'Conference Match'!$C$2:$C$40)</f>
        <v>0.9</v>
      </c>
      <c r="S160" s="20">
        <f t="shared" si="1"/>
        <v>2.72730791</v>
      </c>
      <c r="T160" s="20">
        <f t="shared" si="2"/>
        <v>33.54999372</v>
      </c>
      <c r="U160" s="20">
        <f t="shared" si="3"/>
        <v>-7.866244142</v>
      </c>
      <c r="W160" s="20">
        <f>IFERROR(__xludf.DUMMYFUNCTION("iferror(PERCENTRANK.INC(FILTER($S$2:$S$426, $P$2:$P$426&lt;3.75), $S160), 1)"),0.601)</f>
        <v>0.601</v>
      </c>
      <c r="X160" s="20">
        <f>IFERROR(__xludf.DUMMYFUNCTION("iferror(PERCENTRANK.INC(FILTER($S$2:$S$426, $P$2:$P$426&lt;4.5), $S160), 1)"),0.416)</f>
        <v>0.416</v>
      </c>
      <c r="Y160" s="20">
        <f>IFERROR(__xludf.DUMMYFUNCTION("iferror(PERCENTRANK.INC(FILTER($S$2:$S$426, $P$2:$P$426&gt;=4.1), $S160), 0.01)"),0.01)</f>
        <v>0.01</v>
      </c>
    </row>
    <row r="161" ht="14.25" customHeight="1">
      <c r="A161" s="14" t="s">
        <v>1112</v>
      </c>
      <c r="B161" s="14" t="s">
        <v>124</v>
      </c>
      <c r="C161" s="14">
        <v>1.0</v>
      </c>
      <c r="D161" s="14" t="s">
        <v>954</v>
      </c>
      <c r="E161" s="14" t="s">
        <v>125</v>
      </c>
      <c r="F161" s="14">
        <v>27.0</v>
      </c>
      <c r="G161" s="14">
        <v>20.0</v>
      </c>
      <c r="H161" s="14">
        <v>268.0</v>
      </c>
      <c r="I161" s="14">
        <v>13.4</v>
      </c>
      <c r="J161" s="14">
        <v>2.0</v>
      </c>
      <c r="K161" s="20">
        <v>6.0940493563391</v>
      </c>
      <c r="L161" s="20">
        <v>49.367432615343915</v>
      </c>
      <c r="M161" s="15"/>
      <c r="N161" s="20">
        <v>6.0940493563391</v>
      </c>
      <c r="O161" s="14">
        <v>2.62</v>
      </c>
      <c r="P161" s="20">
        <v>3.19</v>
      </c>
      <c r="Q161" s="20">
        <v>-5.5</v>
      </c>
      <c r="R161" s="20">
        <f t="array" ref="R161">XLOOKUP(E161, 'Conference Match'!$A$2:$A$40,'Conference Match'!$C$2:$C$40)</f>
        <v>0.95</v>
      </c>
      <c r="S161" s="20">
        <f t="shared" si="1"/>
        <v>2.726869378</v>
      </c>
      <c r="T161" s="20">
        <f t="shared" si="2"/>
        <v>33.54153379</v>
      </c>
      <c r="U161" s="20">
        <f t="shared" si="3"/>
        <v>-15.82589883</v>
      </c>
      <c r="W161" s="20">
        <f>IFERROR(__xludf.DUMMYFUNCTION("iferror(PERCENTRANK.INC(FILTER($S$2:$S$426, $P$2:$P$426&lt;3.75), $S161), 1)"),0.595)</f>
        <v>0.595</v>
      </c>
      <c r="X161" s="20">
        <f>IFERROR(__xludf.DUMMYFUNCTION("iferror(PERCENTRANK.INC(FILTER($S$2:$S$426, $P$2:$P$426&lt;4.5), $S161), 1)"),0.412)</f>
        <v>0.412</v>
      </c>
      <c r="Y161" s="20">
        <f>IFERROR(__xludf.DUMMYFUNCTION("iferror(PERCENTRANK.INC(FILTER($S$2:$S$426, $P$2:$P$426&gt;=4.1), $S161), 0.01)"),0.01)</f>
        <v>0.01</v>
      </c>
    </row>
    <row r="162" ht="14.25" customHeight="1">
      <c r="A162" s="14" t="s">
        <v>1113</v>
      </c>
      <c r="B162" s="14" t="s">
        <v>704</v>
      </c>
      <c r="C162" s="14" t="s">
        <v>954</v>
      </c>
      <c r="D162" s="14" t="s">
        <v>954</v>
      </c>
      <c r="E162" s="14" t="s">
        <v>176</v>
      </c>
      <c r="F162" s="14">
        <v>45.0</v>
      </c>
      <c r="G162" s="14">
        <v>25.0</v>
      </c>
      <c r="H162" s="14">
        <v>341.0</v>
      </c>
      <c r="I162" s="14">
        <v>13.6</v>
      </c>
      <c r="J162" s="14">
        <v>1.0</v>
      </c>
      <c r="K162" s="20">
        <v>5.83669115543785</v>
      </c>
      <c r="L162" s="20">
        <v>41.93652541069497</v>
      </c>
      <c r="M162" s="15"/>
      <c r="N162" s="20">
        <v>5.83669115543785</v>
      </c>
      <c r="O162" s="14">
        <v>2.99</v>
      </c>
      <c r="P162" s="20">
        <v>3.47</v>
      </c>
      <c r="Q162" s="40">
        <v>-7.5</v>
      </c>
      <c r="R162" s="20">
        <f t="array" ref="R162">XLOOKUP(E162, 'Conference Match'!$A$2:$A$40,'Conference Match'!$C$2:$C$40)</f>
        <v>0.9</v>
      </c>
      <c r="S162" s="20">
        <f t="shared" si="1"/>
        <v>2.633604408</v>
      </c>
      <c r="T162" s="20">
        <f t="shared" si="2"/>
        <v>31.74231297</v>
      </c>
      <c r="U162" s="20">
        <f t="shared" si="3"/>
        <v>-10.19421244</v>
      </c>
      <c r="W162" s="20">
        <f>IFERROR(__xludf.DUMMYFUNCTION("iferror(PERCENTRANK.INC(FILTER($S$2:$S$426, $P$2:$P$426&lt;3.75), $S162), 1)"),0.588)</f>
        <v>0.588</v>
      </c>
      <c r="X162" s="20">
        <f>IFERROR(__xludf.DUMMYFUNCTION("iferror(PERCENTRANK.INC(FILTER($S$2:$S$426, $P$2:$P$426&lt;4.5), $S162), 1)"),0.407)</f>
        <v>0.407</v>
      </c>
      <c r="Y162" s="20">
        <f>IFERROR(__xludf.DUMMYFUNCTION("iferror(PERCENTRANK.INC(FILTER($S$2:$S$426, $P$2:$P$426&gt;=4.1), $S162), 0.01)"),0.01)</f>
        <v>0.01</v>
      </c>
    </row>
    <row r="163" ht="14.25" customHeight="1">
      <c r="A163" s="14" t="s">
        <v>1114</v>
      </c>
      <c r="B163" s="14" t="s">
        <v>596</v>
      </c>
      <c r="C163" s="14" t="s">
        <v>954</v>
      </c>
      <c r="D163" s="14" t="s">
        <v>954</v>
      </c>
      <c r="E163" s="14" t="s">
        <v>157</v>
      </c>
      <c r="F163" s="14">
        <v>39.0</v>
      </c>
      <c r="G163" s="14">
        <v>23.0</v>
      </c>
      <c r="H163" s="14">
        <v>369.0</v>
      </c>
      <c r="I163" s="14">
        <v>16.0</v>
      </c>
      <c r="J163" s="14">
        <v>2.0</v>
      </c>
      <c r="K163" s="20">
        <v>6.784697552529622</v>
      </c>
      <c r="L163" s="20">
        <v>50.55911369063576</v>
      </c>
      <c r="M163" s="15"/>
      <c r="N163" s="20">
        <v>6.784697552529622</v>
      </c>
      <c r="O163" s="14">
        <v>2.64</v>
      </c>
      <c r="P163" s="14">
        <v>3.46</v>
      </c>
      <c r="Q163" s="14">
        <v>-8.5</v>
      </c>
      <c r="R163" s="20">
        <f t="array" ref="R163">XLOOKUP(E163, 'Conference Match'!$A$2:$A$40,'Conference Match'!$C$2:$C$40)</f>
        <v>0.9</v>
      </c>
      <c r="S163" s="20">
        <f t="shared" si="1"/>
        <v>2.629245559</v>
      </c>
      <c r="T163" s="20">
        <f t="shared" si="2"/>
        <v>31.65822426</v>
      </c>
      <c r="U163" s="20">
        <f t="shared" si="3"/>
        <v>-18.90088943</v>
      </c>
      <c r="W163" s="20">
        <f>IFERROR(__xludf.DUMMYFUNCTION("iferror(PERCENTRANK.INC(FILTER($S$2:$S$426, $P$2:$P$426&lt;3.75), $S163), 1)"),0.582)</f>
        <v>0.582</v>
      </c>
      <c r="X163" s="20">
        <f>IFERROR(__xludf.DUMMYFUNCTION("iferror(PERCENTRANK.INC(FILTER($S$2:$S$426, $P$2:$P$426&lt;4.5), $S163), 1)"),0.403)</f>
        <v>0.403</v>
      </c>
      <c r="Y163" s="20">
        <f>IFERROR(__xludf.DUMMYFUNCTION("iferror(PERCENTRANK.INC(FILTER($S$2:$S$426, $P$2:$P$426&gt;=4.1), $S163), 0.01)"),0.01)</f>
        <v>0.01</v>
      </c>
    </row>
    <row r="164" ht="14.25" customHeight="1">
      <c r="A164" s="14" t="s">
        <v>1115</v>
      </c>
      <c r="B164" s="14" t="s">
        <v>525</v>
      </c>
      <c r="C164" s="14" t="s">
        <v>954</v>
      </c>
      <c r="D164" s="14" t="s">
        <v>954</v>
      </c>
      <c r="E164" s="14" t="s">
        <v>188</v>
      </c>
      <c r="F164" s="14">
        <v>30.0</v>
      </c>
      <c r="G164" s="14">
        <v>19.0</v>
      </c>
      <c r="H164" s="14">
        <v>235.0</v>
      </c>
      <c r="I164" s="14">
        <v>12.4</v>
      </c>
      <c r="J164" s="14">
        <v>1.0</v>
      </c>
      <c r="K164" s="20">
        <v>5.443562188236467</v>
      </c>
      <c r="L164" s="20">
        <v>38.36082250880018</v>
      </c>
      <c r="M164" s="15"/>
      <c r="N164" s="20">
        <v>5.443562188236467</v>
      </c>
      <c r="O164" s="14">
        <v>1.86</v>
      </c>
      <c r="P164" s="14">
        <v>3.6</v>
      </c>
      <c r="Q164" s="14">
        <v>-5.5</v>
      </c>
      <c r="R164" s="20">
        <f t="array" ref="R164">XLOOKUP(E164, 'Conference Match'!$A$2:$A$40,'Conference Match'!$C$2:$C$40)</f>
        <v>0.9</v>
      </c>
      <c r="S164" s="20">
        <f t="shared" si="1"/>
        <v>2.601841194</v>
      </c>
      <c r="T164" s="20">
        <f t="shared" si="2"/>
        <v>31.12955305</v>
      </c>
      <c r="U164" s="20">
        <f t="shared" si="3"/>
        <v>-7.231269462</v>
      </c>
      <c r="W164" s="20">
        <f>IFERROR(__xludf.DUMMYFUNCTION("iferror(PERCENTRANK.INC(FILTER($S$2:$S$426, $P$2:$P$426&lt;3.75), $S164), 1)"),0.575)</f>
        <v>0.575</v>
      </c>
      <c r="X164" s="20">
        <f>IFERROR(__xludf.DUMMYFUNCTION("iferror(PERCENTRANK.INC(FILTER($S$2:$S$426, $P$2:$P$426&lt;4.5), $S164), 1)"),0.398)</f>
        <v>0.398</v>
      </c>
      <c r="Y164" s="20">
        <f>IFERROR(__xludf.DUMMYFUNCTION("iferror(PERCENTRANK.INC(FILTER($S$2:$S$426, $P$2:$P$426&gt;=4.1), $S164), 0.01)"),0.01)</f>
        <v>0.01</v>
      </c>
    </row>
    <row r="165" ht="14.25" customHeight="1">
      <c r="A165" s="14" t="s">
        <v>1116</v>
      </c>
      <c r="B165" s="14" t="s">
        <v>550</v>
      </c>
      <c r="D165" s="14" t="s">
        <v>954</v>
      </c>
      <c r="E165" s="14" t="s">
        <v>157</v>
      </c>
      <c r="F165" s="14">
        <v>24.0</v>
      </c>
      <c r="G165" s="14">
        <v>16.0</v>
      </c>
      <c r="H165" s="14">
        <v>199.0</v>
      </c>
      <c r="I165" s="14">
        <v>12.4</v>
      </c>
      <c r="J165" s="14">
        <v>1.0</v>
      </c>
      <c r="K165" s="20">
        <v>5.422439872037204</v>
      </c>
      <c r="L165" s="20">
        <v>38.168704568811926</v>
      </c>
      <c r="M165" s="15"/>
      <c r="N165" s="20">
        <v>5.422439872037204</v>
      </c>
      <c r="O165" s="14">
        <v>1.6</v>
      </c>
      <c r="P165" s="14">
        <v>3.31</v>
      </c>
      <c r="Q165" s="14">
        <v>-3.5</v>
      </c>
      <c r="R165" s="20">
        <f t="array" ref="R165">XLOOKUP(E165, 'Conference Match'!$A$2:$A$40,'Conference Match'!$C$2:$C$40)</f>
        <v>0.9</v>
      </c>
      <c r="S165" s="20">
        <f t="shared" si="1"/>
        <v>2.601039177</v>
      </c>
      <c r="T165" s="20">
        <f t="shared" si="2"/>
        <v>31.11408094</v>
      </c>
      <c r="U165" s="20">
        <f t="shared" si="3"/>
        <v>-7.054623628</v>
      </c>
      <c r="W165" s="20">
        <f>IFERROR(__xludf.DUMMYFUNCTION("iferror(PERCENTRANK.INC(FILTER($S$2:$S$426, $P$2:$P$426&lt;3.75), $S165), 1)"),0.569)</f>
        <v>0.569</v>
      </c>
      <c r="X165" s="20">
        <f>IFERROR(__xludf.DUMMYFUNCTION("iferror(PERCENTRANK.INC(FILTER($S$2:$S$426, $P$2:$P$426&lt;4.5), $S165), 1)"),0.394)</f>
        <v>0.394</v>
      </c>
      <c r="Y165" s="20">
        <f>IFERROR(__xludf.DUMMYFUNCTION("iferror(PERCENTRANK.INC(FILTER($S$2:$S$426, $P$2:$P$426&gt;=4.1), $S165), 0.01)"),0.01)</f>
        <v>0.01</v>
      </c>
    </row>
    <row r="166" ht="14.25" customHeight="1">
      <c r="A166" s="14" t="s">
        <v>1117</v>
      </c>
      <c r="B166" s="14" t="s">
        <v>143</v>
      </c>
      <c r="C166" s="14" t="s">
        <v>954</v>
      </c>
      <c r="D166" s="14" t="s">
        <v>954</v>
      </c>
      <c r="E166" s="14" t="s">
        <v>135</v>
      </c>
      <c r="F166" s="14">
        <v>44.0</v>
      </c>
      <c r="G166" s="14">
        <v>29.0</v>
      </c>
      <c r="H166" s="14">
        <v>439.0</v>
      </c>
      <c r="I166" s="14">
        <v>15.1</v>
      </c>
      <c r="J166" s="14">
        <v>6.0</v>
      </c>
      <c r="K166" s="20">
        <v>7.469831871419612</v>
      </c>
      <c r="L166" s="20">
        <v>56.790750066053754</v>
      </c>
      <c r="M166" s="15"/>
      <c r="N166" s="20">
        <v>7.469831871419612</v>
      </c>
      <c r="O166" s="14">
        <v>6.01</v>
      </c>
      <c r="R166" s="20">
        <f t="array" ref="R166">XLOOKUP(E166, 'Conference Match'!$A$2:$A$40,'Conference Match'!$C$2:$C$40)</f>
        <v>0.9</v>
      </c>
      <c r="S166" s="20">
        <f t="shared" si="1"/>
        <v>2.546569737</v>
      </c>
      <c r="T166" s="20">
        <f t="shared" si="2"/>
        <v>30.06328394</v>
      </c>
      <c r="U166" s="20">
        <f t="shared" si="3"/>
        <v>-26.72746613</v>
      </c>
      <c r="W166" s="20">
        <f>IFERROR(__xludf.DUMMYFUNCTION("iferror(PERCENTRANK.INC(FILTER($S$2:$S$426, $P$2:$P$426&lt;3.75), $S166), 1)"),0.562)</f>
        <v>0.562</v>
      </c>
      <c r="X166" s="20">
        <f>IFERROR(__xludf.DUMMYFUNCTION("iferror(PERCENTRANK.INC(FILTER($S$2:$S$426, $P$2:$P$426&lt;4.5), $S166), 1)"),0.389)</f>
        <v>0.389</v>
      </c>
      <c r="Y166" s="20">
        <f>IFERROR(__xludf.DUMMYFUNCTION("iferror(PERCENTRANK.INC(FILTER($S$2:$S$426, $P$2:$P$426&gt;=4.1), $S166), 0.01)"),0.01)</f>
        <v>0.01</v>
      </c>
    </row>
    <row r="167" ht="14.25" customHeight="1">
      <c r="A167" s="14" t="s">
        <v>1118</v>
      </c>
      <c r="B167" s="14" t="s">
        <v>299</v>
      </c>
      <c r="C167" s="14">
        <v>9.0</v>
      </c>
      <c r="D167" s="14" t="s">
        <v>954</v>
      </c>
      <c r="E167" s="14" t="s">
        <v>120</v>
      </c>
      <c r="F167" s="14">
        <v>41.0</v>
      </c>
      <c r="G167" s="14">
        <v>21.0</v>
      </c>
      <c r="H167" s="14">
        <v>300.0</v>
      </c>
      <c r="I167" s="14">
        <v>14.3</v>
      </c>
      <c r="J167" s="14">
        <v>2.0</v>
      </c>
      <c r="K167" s="20">
        <v>6.142940463960154</v>
      </c>
      <c r="L167" s="20">
        <v>49.951768513590025</v>
      </c>
      <c r="M167" s="15"/>
      <c r="N167" s="20">
        <v>6.142940463960154</v>
      </c>
      <c r="O167" s="14">
        <v>1.25</v>
      </c>
      <c r="P167" s="20">
        <v>3.03</v>
      </c>
      <c r="Q167" s="20">
        <v>-5.5</v>
      </c>
      <c r="R167" s="20">
        <f t="array" ref="R167">XLOOKUP(E167, 'Conference Match'!$A$2:$A$40,'Conference Match'!$C$2:$C$40)</f>
        <v>0.95</v>
      </c>
      <c r="S167" s="20">
        <f t="shared" si="1"/>
        <v>2.382158688</v>
      </c>
      <c r="T167" s="20">
        <f t="shared" si="2"/>
        <v>26.89154881</v>
      </c>
      <c r="U167" s="20">
        <f t="shared" si="3"/>
        <v>-23.0602197</v>
      </c>
      <c r="W167" s="20">
        <f>IFERROR(__xludf.DUMMYFUNCTION("iferror(PERCENTRANK.INC(FILTER($S$2:$S$426, $P$2:$P$426&lt;3.75), $S167), 1)"),0.549)</f>
        <v>0.549</v>
      </c>
      <c r="X167" s="20">
        <f>IFERROR(__xludf.DUMMYFUNCTION("iferror(PERCENTRANK.INC(FILTER($S$2:$S$426, $P$2:$P$426&lt;4.5), $S167), 1)"),0.38)</f>
        <v>0.38</v>
      </c>
      <c r="Y167" s="20">
        <f>IFERROR(__xludf.DUMMYFUNCTION("iferror(PERCENTRANK.INC(FILTER($S$2:$S$426, $P$2:$P$426&gt;=4.1), $S167), 0.01)"),0.01)</f>
        <v>0.01</v>
      </c>
    </row>
    <row r="168" ht="14.25" customHeight="1">
      <c r="A168" s="14" t="s">
        <v>1119</v>
      </c>
      <c r="B168" s="14" t="s">
        <v>317</v>
      </c>
      <c r="C168" s="14" t="s">
        <v>954</v>
      </c>
      <c r="D168" s="14" t="s">
        <v>954</v>
      </c>
      <c r="E168" s="14" t="s">
        <v>111</v>
      </c>
      <c r="F168" s="14">
        <v>55.0</v>
      </c>
      <c r="G168" s="14">
        <v>34.0</v>
      </c>
      <c r="H168" s="14">
        <v>408.0</v>
      </c>
      <c r="I168" s="14">
        <v>12.0</v>
      </c>
      <c r="J168" s="14">
        <v>5.0</v>
      </c>
      <c r="K168" s="20">
        <v>6.3052367281209385</v>
      </c>
      <c r="L168" s="20">
        <v>46.19817973711008</v>
      </c>
      <c r="M168" s="15"/>
      <c r="N168" s="20">
        <v>6.3052367281209385</v>
      </c>
      <c r="O168" s="14">
        <v>5.35</v>
      </c>
      <c r="R168" s="20">
        <f t="array" ref="R168">XLOOKUP(E168, 'Conference Match'!$A$2:$A$40,'Conference Match'!$C$2:$C$40)</f>
        <v>0.9</v>
      </c>
      <c r="S168" s="20">
        <f t="shared" si="1"/>
        <v>2.204942611</v>
      </c>
      <c r="T168" s="20">
        <f t="shared" si="2"/>
        <v>23.47278552</v>
      </c>
      <c r="U168" s="20">
        <f t="shared" si="3"/>
        <v>-22.72539421</v>
      </c>
      <c r="W168" s="20">
        <f>IFERROR(__xludf.DUMMYFUNCTION("iferror(PERCENTRANK.INC(FILTER($S$2:$S$426, $P$2:$P$426&lt;3.75), $S168), 1)"),0.536)</f>
        <v>0.536</v>
      </c>
      <c r="X168" s="20">
        <f>IFERROR(__xludf.DUMMYFUNCTION("iferror(PERCENTRANK.INC(FILTER($S$2:$S$426, $P$2:$P$426&lt;4.5), $S168), 1)"),0.371)</f>
        <v>0.371</v>
      </c>
      <c r="Y168" s="20">
        <f>IFERROR(__xludf.DUMMYFUNCTION("iferror(PERCENTRANK.INC(FILTER($S$2:$S$426, $P$2:$P$426&gt;=4.1), $S168), 0.01)"),0.01)</f>
        <v>0.01</v>
      </c>
    </row>
    <row r="169" ht="14.25" customHeight="1">
      <c r="A169" s="14" t="s">
        <v>1120</v>
      </c>
      <c r="B169" s="14" t="s">
        <v>655</v>
      </c>
      <c r="C169" s="14" t="s">
        <v>954</v>
      </c>
      <c r="D169" s="14" t="s">
        <v>954</v>
      </c>
      <c r="E169" s="14" t="s">
        <v>188</v>
      </c>
      <c r="F169" s="14">
        <v>25.0</v>
      </c>
      <c r="G169" s="14">
        <v>14.0</v>
      </c>
      <c r="H169" s="14">
        <v>207.0</v>
      </c>
      <c r="I169" s="14">
        <v>14.8</v>
      </c>
      <c r="J169" s="14">
        <v>1.0</v>
      </c>
      <c r="K169" s="20">
        <v>6.008333788307519</v>
      </c>
      <c r="L169" s="20">
        <v>43.49770027097065</v>
      </c>
      <c r="M169" s="15"/>
      <c r="N169" s="20">
        <v>6.008333788307519</v>
      </c>
      <c r="O169" s="14">
        <v>1.09</v>
      </c>
      <c r="P169" s="20">
        <v>2.87</v>
      </c>
      <c r="Q169" s="20">
        <v>-5.5</v>
      </c>
      <c r="R169" s="20">
        <f t="array" ref="R169">XLOOKUP(E169, 'Conference Match'!$A$2:$A$40,'Conference Match'!$C$2:$C$40)</f>
        <v>0.9</v>
      </c>
      <c r="S169" s="20">
        <f t="shared" si="1"/>
        <v>2.184500082</v>
      </c>
      <c r="T169" s="20">
        <f t="shared" si="2"/>
        <v>23.07841855</v>
      </c>
      <c r="U169" s="20">
        <f t="shared" si="3"/>
        <v>-20.41928172</v>
      </c>
      <c r="W169" s="20">
        <f>IFERROR(__xludf.DUMMYFUNCTION("iferror(PERCENTRANK.INC(FILTER($S$2:$S$426, $P$2:$P$426&lt;3.75), $S169), 1)"),0.529)</f>
        <v>0.529</v>
      </c>
      <c r="X169" s="20">
        <f>IFERROR(__xludf.DUMMYFUNCTION("iferror(PERCENTRANK.INC(FILTER($S$2:$S$426, $P$2:$P$426&lt;4.5), $S169), 1)"),0.367)</f>
        <v>0.367</v>
      </c>
      <c r="Y169" s="20">
        <f>IFERROR(__xludf.DUMMYFUNCTION("iferror(PERCENTRANK.INC(FILTER($S$2:$S$426, $P$2:$P$426&gt;=4.1), $S169), 0.01)"),0.01)</f>
        <v>0.01</v>
      </c>
    </row>
    <row r="170" ht="14.25" customHeight="1">
      <c r="A170" s="14" t="s">
        <v>1121</v>
      </c>
      <c r="B170" s="14" t="s">
        <v>166</v>
      </c>
      <c r="C170" s="14" t="s">
        <v>954</v>
      </c>
      <c r="D170" s="14" t="s">
        <v>954</v>
      </c>
      <c r="E170" s="14" t="s">
        <v>157</v>
      </c>
      <c r="F170" s="14">
        <v>45.0</v>
      </c>
      <c r="G170" s="14">
        <v>26.0</v>
      </c>
      <c r="H170" s="14">
        <v>480.0</v>
      </c>
      <c r="I170" s="14">
        <v>18.5</v>
      </c>
      <c r="J170" s="14">
        <v>4.0</v>
      </c>
      <c r="K170" s="20">
        <v>7.976135599882293</v>
      </c>
      <c r="L170" s="20">
        <v>61.39583354283752</v>
      </c>
      <c r="M170" s="15"/>
      <c r="N170" s="20">
        <v>7.976135599882293</v>
      </c>
      <c r="O170" s="14">
        <v>3.65</v>
      </c>
      <c r="P170" s="16">
        <v>3.84</v>
      </c>
      <c r="Q170" s="16">
        <v>-5.0</v>
      </c>
      <c r="R170" s="20">
        <f t="array" ref="R170">XLOOKUP(E170, 'Conference Match'!$A$2:$A$40,'Conference Match'!$C$2:$C$40)</f>
        <v>0.9</v>
      </c>
      <c r="S170" s="20">
        <f t="shared" si="1"/>
        <v>3.585704408</v>
      </c>
      <c r="T170" s="20">
        <f t="shared" si="2"/>
        <v>50.10974656</v>
      </c>
      <c r="U170" s="20">
        <f t="shared" si="3"/>
        <v>-11.28608699</v>
      </c>
      <c r="W170" s="20">
        <f>IFERROR(__xludf.DUMMYFUNCTION("iferror(PERCENTRANK.INC(FILTER($S$2:$S$426, $P$2:$P$426&lt;3.75), $S170), 1)"),0.856)</f>
        <v>0.856</v>
      </c>
      <c r="X170" s="20">
        <f>IFERROR(__xludf.DUMMYFUNCTION("iferror(PERCENTRANK.INC(FILTER($S$2:$S$426, $P$2:$P$426&lt;4.5), $S170), 1)"),0.674)</f>
        <v>0.674</v>
      </c>
      <c r="Y170" s="20">
        <f>IFERROR(__xludf.DUMMYFUNCTION("iferror(PERCENTRANK.INC(FILTER($S$2:$S$426, $P$2:$P$426&gt;=4.1), $S170), 0.01)"),0.072)</f>
        <v>0.072</v>
      </c>
    </row>
    <row r="171" ht="14.25" customHeight="1">
      <c r="A171" s="17" t="s">
        <v>1122</v>
      </c>
      <c r="B171" s="17" t="s">
        <v>585</v>
      </c>
      <c r="C171" s="18">
        <v>6.0</v>
      </c>
      <c r="D171" s="17" t="s">
        <v>954</v>
      </c>
      <c r="E171" s="17" t="s">
        <v>120</v>
      </c>
      <c r="F171" s="18">
        <v>65.0</v>
      </c>
      <c r="G171" s="18">
        <v>42.0</v>
      </c>
      <c r="H171" s="18">
        <v>421.0</v>
      </c>
      <c r="I171" s="18">
        <v>10.0</v>
      </c>
      <c r="J171" s="18">
        <v>4.0</v>
      </c>
      <c r="K171" s="22">
        <v>5.58</v>
      </c>
      <c r="L171" s="22">
        <v>43.17</v>
      </c>
      <c r="M171" s="15"/>
      <c r="N171" s="22">
        <v>5.58</v>
      </c>
      <c r="O171" s="16">
        <v>1.33</v>
      </c>
      <c r="P171" s="16">
        <v>3.97</v>
      </c>
      <c r="Q171" s="16">
        <v>0.0</v>
      </c>
      <c r="R171" s="20">
        <f t="array" ref="R171">XLOOKUP(E171, 'Conference Match'!$A$2:$A$40,'Conference Match'!$C$2:$C$40)</f>
        <v>0.95</v>
      </c>
      <c r="S171" s="20">
        <f t="shared" si="1"/>
        <v>3.3112</v>
      </c>
      <c r="T171" s="20">
        <f t="shared" si="2"/>
        <v>44.8141458</v>
      </c>
      <c r="U171" s="20">
        <f t="shared" si="3"/>
        <v>1.644145798</v>
      </c>
      <c r="W171" s="20">
        <f>IFERROR(__xludf.DUMMYFUNCTION("iferror(PERCENTRANK.INC(FILTER($S$2:$S$426, $P$2:$P$426&lt;3.75), $S171), 1)"),0.757)</f>
        <v>0.757</v>
      </c>
      <c r="X171" s="20">
        <f>IFERROR(__xludf.DUMMYFUNCTION("iferror(PERCENTRANK.INC(FILTER($S$2:$S$426, $P$2:$P$426&lt;4.5), $S171), 1)"),0.561)</f>
        <v>0.561</v>
      </c>
      <c r="Y171" s="20">
        <f>IFERROR(__xludf.DUMMYFUNCTION("iferror(PERCENTRANK.INC(FILTER($S$2:$S$426, $P$2:$P$426&gt;=4.1), $S171), 0.01)"),0.034)</f>
        <v>0.034</v>
      </c>
    </row>
    <row r="172" ht="14.25" customHeight="1">
      <c r="A172" s="14" t="s">
        <v>1123</v>
      </c>
      <c r="B172" s="14" t="s">
        <v>241</v>
      </c>
      <c r="C172" s="14" t="s">
        <v>954</v>
      </c>
      <c r="D172" s="14" t="s">
        <v>954</v>
      </c>
      <c r="E172" s="14" t="s">
        <v>138</v>
      </c>
      <c r="F172" s="14">
        <v>53.0</v>
      </c>
      <c r="G172" s="14">
        <v>38.0</v>
      </c>
      <c r="H172" s="14">
        <v>575.0</v>
      </c>
      <c r="I172" s="14">
        <v>15.1</v>
      </c>
      <c r="J172" s="14">
        <v>1.0</v>
      </c>
      <c r="K172" s="20">
        <v>6.635295359693722</v>
      </c>
      <c r="L172" s="20">
        <v>49.20022666107958</v>
      </c>
      <c r="M172" s="15"/>
      <c r="N172" s="20">
        <v>6.635295359693722</v>
      </c>
      <c r="O172" s="14">
        <v>4.56</v>
      </c>
      <c r="R172" s="20">
        <f t="array" ref="R172">XLOOKUP(E172, 'Conference Match'!$A$2:$A$40,'Conference Match'!$C$2:$C$40)</f>
        <v>0.9</v>
      </c>
      <c r="S172" s="20">
        <f t="shared" si="1"/>
        <v>2.106353165</v>
      </c>
      <c r="T172" s="20">
        <f t="shared" si="2"/>
        <v>21.57084759</v>
      </c>
      <c r="U172" s="20">
        <f t="shared" si="3"/>
        <v>-27.62937907</v>
      </c>
      <c r="W172" s="20">
        <f>IFERROR(__xludf.DUMMYFUNCTION("iferror(PERCENTRANK.INC(FILTER($S$2:$S$426, $P$2:$P$426&lt;3.75), $S172), 1)"),0.523)</f>
        <v>0.523</v>
      </c>
      <c r="X172" s="20">
        <f>IFERROR(__xludf.DUMMYFUNCTION("iferror(PERCENTRANK.INC(FILTER($S$2:$S$426, $P$2:$P$426&lt;4.5), $S172), 1)"),0.362)</f>
        <v>0.362</v>
      </c>
      <c r="Y172" s="20">
        <f>IFERROR(__xludf.DUMMYFUNCTION("iferror(PERCENTRANK.INC(FILTER($S$2:$S$426, $P$2:$P$426&gt;=4.1), $S172), 0.01)"),0.01)</f>
        <v>0.01</v>
      </c>
    </row>
    <row r="173" ht="14.25" customHeight="1">
      <c r="A173" s="14" t="s">
        <v>1124</v>
      </c>
      <c r="B173" s="14" t="s">
        <v>243</v>
      </c>
      <c r="C173" s="14">
        <v>1.0</v>
      </c>
      <c r="D173" s="14" t="s">
        <v>954</v>
      </c>
      <c r="E173" s="14" t="s">
        <v>152</v>
      </c>
      <c r="F173" s="14">
        <v>41.0</v>
      </c>
      <c r="G173" s="14">
        <v>30.0</v>
      </c>
      <c r="H173" s="14">
        <v>374.0</v>
      </c>
      <c r="I173" s="14">
        <v>12.5</v>
      </c>
      <c r="J173" s="14">
        <v>2.0</v>
      </c>
      <c r="K173" s="20">
        <v>5.928306317618691</v>
      </c>
      <c r="L173" s="20">
        <v>47.386507818970045</v>
      </c>
      <c r="M173" s="15"/>
      <c r="N173" s="20">
        <v>5.928306317618691</v>
      </c>
      <c r="O173" s="14">
        <v>4.81</v>
      </c>
      <c r="R173" s="20">
        <f t="array" ref="R173">XLOOKUP(E173, 'Conference Match'!$A$2:$A$40,'Conference Match'!$C$2:$C$40)</f>
        <v>0.95</v>
      </c>
      <c r="S173" s="20">
        <f t="shared" si="1"/>
        <v>2.0883782</v>
      </c>
      <c r="T173" s="20">
        <f t="shared" si="2"/>
        <v>21.22408363</v>
      </c>
      <c r="U173" s="20">
        <f t="shared" si="3"/>
        <v>-26.16242419</v>
      </c>
      <c r="W173" s="20">
        <f>IFERROR(__xludf.DUMMYFUNCTION("iferror(PERCENTRANK.INC(FILTER($S$2:$S$426, $P$2:$P$426&lt;3.75), $S173), 1)"),0.516)</f>
        <v>0.516</v>
      </c>
      <c r="X173" s="20">
        <f>IFERROR(__xludf.DUMMYFUNCTION("iferror(PERCENTRANK.INC(FILTER($S$2:$S$426, $P$2:$P$426&lt;4.5), $S173), 1)"),0.357)</f>
        <v>0.357</v>
      </c>
      <c r="Y173" s="20">
        <f>IFERROR(__xludf.DUMMYFUNCTION("iferror(PERCENTRANK.INC(FILTER($S$2:$S$426, $P$2:$P$426&gt;=4.1), $S173), 0.01)"),0.01)</f>
        <v>0.01</v>
      </c>
    </row>
    <row r="174" ht="14.25" customHeight="1">
      <c r="A174" s="14" t="s">
        <v>1125</v>
      </c>
      <c r="B174" s="14" t="s">
        <v>533</v>
      </c>
      <c r="C174" s="14" t="s">
        <v>954</v>
      </c>
      <c r="D174" s="14" t="s">
        <v>954</v>
      </c>
      <c r="E174" s="14" t="s">
        <v>135</v>
      </c>
      <c r="F174" s="14">
        <v>69.0</v>
      </c>
      <c r="G174" s="14">
        <v>38.0</v>
      </c>
      <c r="H174" s="14">
        <v>490.0</v>
      </c>
      <c r="I174" s="14">
        <v>12.9</v>
      </c>
      <c r="J174" s="14">
        <v>2.0</v>
      </c>
      <c r="K174" s="20">
        <v>5.959799421673798</v>
      </c>
      <c r="L174" s="20">
        <v>43.056256139165114</v>
      </c>
      <c r="M174" s="15"/>
      <c r="N174" s="20">
        <v>5.959799421673798</v>
      </c>
      <c r="O174" s="14">
        <v>4.91</v>
      </c>
      <c r="R174" s="20">
        <f t="array" ref="R174">XLOOKUP(E174, 'Conference Match'!$A$2:$A$40,'Conference Match'!$C$2:$C$40)</f>
        <v>0.9</v>
      </c>
      <c r="S174" s="20">
        <f t="shared" si="1"/>
        <v>2.054763896</v>
      </c>
      <c r="T174" s="20">
        <f t="shared" si="2"/>
        <v>20.5756134</v>
      </c>
      <c r="U174" s="20">
        <f t="shared" si="3"/>
        <v>-22.48064274</v>
      </c>
      <c r="W174" s="20">
        <f>IFERROR(__xludf.DUMMYFUNCTION("iferror(PERCENTRANK.INC(FILTER($S$2:$S$426, $P$2:$P$426&lt;3.75), $S174), 1)"),0.51)</f>
        <v>0.51</v>
      </c>
      <c r="X174" s="20">
        <f>IFERROR(__xludf.DUMMYFUNCTION("iferror(PERCENTRANK.INC(FILTER($S$2:$S$426, $P$2:$P$426&lt;4.5), $S174), 1)"),0.353)</f>
        <v>0.353</v>
      </c>
      <c r="Y174" s="20">
        <f>IFERROR(__xludf.DUMMYFUNCTION("iferror(PERCENTRANK.INC(FILTER($S$2:$S$426, $P$2:$P$426&gt;=4.1), $S174), 0.01)"),0.01)</f>
        <v>0.01</v>
      </c>
    </row>
    <row r="175" ht="14.25" customHeight="1">
      <c r="A175" s="14" t="s">
        <v>1126</v>
      </c>
      <c r="B175" s="14" t="s">
        <v>553</v>
      </c>
      <c r="C175" s="14" t="s">
        <v>954</v>
      </c>
      <c r="D175" s="14" t="s">
        <v>954</v>
      </c>
      <c r="E175" s="14" t="s">
        <v>176</v>
      </c>
      <c r="F175" s="14">
        <v>45.0</v>
      </c>
      <c r="G175" s="14">
        <v>27.0</v>
      </c>
      <c r="H175" s="14">
        <v>415.0</v>
      </c>
      <c r="I175" s="14">
        <v>15.4</v>
      </c>
      <c r="J175" s="14">
        <v>4.0</v>
      </c>
      <c r="K175" s="20">
        <v>7.0622467109934055</v>
      </c>
      <c r="L175" s="20">
        <v>53.083560918227164</v>
      </c>
      <c r="M175" s="15"/>
      <c r="N175" s="20">
        <v>7.0622467109934055</v>
      </c>
      <c r="O175" s="14">
        <v>3.9</v>
      </c>
      <c r="R175" s="20">
        <f t="array" ref="R175">XLOOKUP(E175, 'Conference Match'!$A$2:$A$40,'Conference Match'!$C$2:$C$40)</f>
        <v>0.9</v>
      </c>
      <c r="S175" s="20">
        <f t="shared" si="1"/>
        <v>2.051204408</v>
      </c>
      <c r="T175" s="20">
        <f t="shared" si="2"/>
        <v>20.50694555</v>
      </c>
      <c r="U175" s="20">
        <f t="shared" si="3"/>
        <v>-32.57661536</v>
      </c>
      <c r="W175" s="20">
        <f>IFERROR(__xludf.DUMMYFUNCTION("iferror(PERCENTRANK.INC(FILTER($S$2:$S$426, $P$2:$P$426&lt;3.75), $S175), 1)"),0.503)</f>
        <v>0.503</v>
      </c>
      <c r="X175" s="20">
        <f>IFERROR(__xludf.DUMMYFUNCTION("iferror(PERCENTRANK.INC(FILTER($S$2:$S$426, $P$2:$P$426&lt;4.5), $S175), 1)"),0.348)</f>
        <v>0.348</v>
      </c>
      <c r="Y175" s="20">
        <f>IFERROR(__xludf.DUMMYFUNCTION("iferror(PERCENTRANK.INC(FILTER($S$2:$S$426, $P$2:$P$426&gt;=4.1), $S175), 0.01)"),0.01)</f>
        <v>0.01</v>
      </c>
    </row>
    <row r="176" ht="14.25" customHeight="1">
      <c r="A176" s="14" t="s">
        <v>1127</v>
      </c>
      <c r="B176" s="14" t="s">
        <v>579</v>
      </c>
      <c r="C176" s="14">
        <v>17.0</v>
      </c>
      <c r="D176" s="14" t="s">
        <v>954</v>
      </c>
      <c r="E176" s="14" t="s">
        <v>152</v>
      </c>
      <c r="F176" s="14">
        <v>39.0</v>
      </c>
      <c r="G176" s="14">
        <v>28.0</v>
      </c>
      <c r="H176" s="14">
        <v>371.0</v>
      </c>
      <c r="I176" s="14">
        <v>13.3</v>
      </c>
      <c r="J176" s="14">
        <v>4.0</v>
      </c>
      <c r="K176" s="20">
        <v>6.546877039709108</v>
      </c>
      <c r="L176" s="20">
        <v>54.77953072454634</v>
      </c>
      <c r="M176" s="15"/>
      <c r="N176" s="20">
        <v>6.546877039709108</v>
      </c>
      <c r="O176" s="14">
        <v>3.99</v>
      </c>
      <c r="R176" s="20">
        <f t="array" ref="R176">XLOOKUP(E176, 'Conference Match'!$A$2:$A$40,'Conference Match'!$C$2:$C$40)</f>
        <v>0.95</v>
      </c>
      <c r="S176" s="20">
        <f t="shared" si="1"/>
        <v>2.041906638</v>
      </c>
      <c r="T176" s="20">
        <f t="shared" si="2"/>
        <v>20.32757765</v>
      </c>
      <c r="U176" s="20">
        <f t="shared" si="3"/>
        <v>-34.45195307</v>
      </c>
      <c r="W176" s="20">
        <f>IFERROR(__xludf.DUMMYFUNCTION("iferror(PERCENTRANK.INC(FILTER($S$2:$S$426, $P$2:$P$426&lt;3.75), $S176), 1)"),0.49)</f>
        <v>0.49</v>
      </c>
      <c r="X176" s="20">
        <f>IFERROR(__xludf.DUMMYFUNCTION("iferror(PERCENTRANK.INC(FILTER($S$2:$S$426, $P$2:$P$426&lt;4.5), $S176), 1)"),0.339)</f>
        <v>0.339</v>
      </c>
      <c r="Y176" s="20">
        <f>IFERROR(__xludf.DUMMYFUNCTION("iferror(PERCENTRANK.INC(FILTER($S$2:$S$426, $P$2:$P$426&gt;=4.1), $S176), 0.01)"),0.01)</f>
        <v>0.01</v>
      </c>
    </row>
    <row r="177" ht="14.25" customHeight="1">
      <c r="A177" s="14" t="s">
        <v>1128</v>
      </c>
      <c r="B177" s="14" t="s">
        <v>127</v>
      </c>
      <c r="C177" s="14" t="s">
        <v>954</v>
      </c>
      <c r="D177" s="14" t="s">
        <v>954</v>
      </c>
      <c r="E177" s="14" t="s">
        <v>111</v>
      </c>
      <c r="F177" s="14">
        <v>28.0</v>
      </c>
      <c r="G177" s="14">
        <v>15.0</v>
      </c>
      <c r="H177" s="14">
        <v>290.0</v>
      </c>
      <c r="I177" s="14">
        <v>19.3</v>
      </c>
      <c r="J177" s="14">
        <v>3.0</v>
      </c>
      <c r="K177" s="20">
        <v>7.773196397638124</v>
      </c>
      <c r="L177" s="20">
        <v>59.55000086472564</v>
      </c>
      <c r="M177" s="15"/>
      <c r="N177" s="20">
        <v>7.773196397638124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2.021175352</v>
      </c>
      <c r="T177" s="20">
        <f t="shared" si="2"/>
        <v>19.92764013</v>
      </c>
      <c r="U177" s="20">
        <f t="shared" si="3"/>
        <v>-39.62236074</v>
      </c>
      <c r="W177" s="20">
        <f>IFERROR(__xludf.DUMMYFUNCTION("iferror(PERCENTRANK.INC(FILTER($S$2:$S$426, $P$2:$P$426&lt;3.75), $S177), 1)"),0.484)</f>
        <v>0.484</v>
      </c>
      <c r="X177" s="20">
        <f>IFERROR(__xludf.DUMMYFUNCTION("iferror(PERCENTRANK.INC(FILTER($S$2:$S$426, $P$2:$P$426&lt;4.5), $S177), 1)"),0.335)</f>
        <v>0.335</v>
      </c>
      <c r="Y177" s="20">
        <f>IFERROR(__xludf.DUMMYFUNCTION("iferror(PERCENTRANK.INC(FILTER($S$2:$S$426, $P$2:$P$426&gt;=4.1), $S177), 0.01)"),0.01)</f>
        <v>0.01</v>
      </c>
    </row>
    <row r="178" ht="14.25" customHeight="1">
      <c r="A178" s="14" t="s">
        <v>1129</v>
      </c>
      <c r="B178" s="14" t="s">
        <v>468</v>
      </c>
      <c r="C178" s="14" t="s">
        <v>954</v>
      </c>
      <c r="D178" s="14" t="s">
        <v>954</v>
      </c>
      <c r="E178" s="14" t="s">
        <v>111</v>
      </c>
      <c r="F178" s="14">
        <v>28.0</v>
      </c>
      <c r="G178" s="14">
        <v>16.0</v>
      </c>
      <c r="H178" s="14">
        <v>278.0</v>
      </c>
      <c r="I178" s="14">
        <v>17.4</v>
      </c>
      <c r="J178" s="14">
        <v>4.0</v>
      </c>
      <c r="K178" s="20">
        <v>7.464267826209551</v>
      </c>
      <c r="L178" s="20">
        <v>56.74014231576376</v>
      </c>
      <c r="M178" s="15"/>
      <c r="N178" s="20">
        <v>7.464267826209551</v>
      </c>
      <c r="O178" s="14">
        <v>3.11</v>
      </c>
      <c r="R178" s="20">
        <f t="array" ref="R178">XLOOKUP(E178, 'Conference Match'!$A$2:$A$40,'Conference Match'!$C$2:$C$40)</f>
        <v>0.9</v>
      </c>
      <c r="S178" s="20">
        <f t="shared" si="1"/>
        <v>1.965568209</v>
      </c>
      <c r="T178" s="20">
        <f t="shared" si="2"/>
        <v>18.85489514</v>
      </c>
      <c r="U178" s="20">
        <f t="shared" si="3"/>
        <v>-37.88524718</v>
      </c>
      <c r="W178" s="20">
        <f>IFERROR(__xludf.DUMMYFUNCTION("iferror(PERCENTRANK.INC(FILTER($S$2:$S$426, $P$2:$P$426&lt;3.75), $S178), 1)"),0.477)</f>
        <v>0.477</v>
      </c>
      <c r="X178" s="20">
        <f>IFERROR(__xludf.DUMMYFUNCTION("iferror(PERCENTRANK.INC(FILTER($S$2:$S$426, $P$2:$P$426&lt;4.5), $S178), 1)"),0.33)</f>
        <v>0.33</v>
      </c>
      <c r="Y178" s="20">
        <f>IFERROR(__xludf.DUMMYFUNCTION("iferror(PERCENTRANK.INC(FILTER($S$2:$S$426, $P$2:$P$426&gt;=4.1), $S178), 0.01)"),0.01)</f>
        <v>0.01</v>
      </c>
    </row>
    <row r="179" ht="14.25" customHeight="1">
      <c r="A179" s="14" t="s">
        <v>1130</v>
      </c>
      <c r="B179" s="14" t="s">
        <v>1131</v>
      </c>
      <c r="C179" s="14" t="s">
        <v>954</v>
      </c>
      <c r="D179" s="14" t="s">
        <v>954</v>
      </c>
      <c r="E179" s="14" t="s">
        <v>209</v>
      </c>
      <c r="F179" s="14">
        <v>53.0</v>
      </c>
      <c r="G179" s="14">
        <v>24.0</v>
      </c>
      <c r="H179" s="14">
        <v>391.0</v>
      </c>
      <c r="I179" s="14">
        <v>16.3</v>
      </c>
      <c r="J179" s="14">
        <v>4.0</v>
      </c>
      <c r="K179" s="20">
        <v>7.122087812523911</v>
      </c>
      <c r="L179" s="20">
        <v>53.62784541071433</v>
      </c>
      <c r="M179" s="15"/>
      <c r="N179" s="20">
        <v>7.122087812523911</v>
      </c>
      <c r="O179" s="14">
        <v>3.35</v>
      </c>
      <c r="R179" s="20">
        <f t="array" ref="R179">XLOOKUP(E179, 'Conference Match'!$A$2:$A$40,'Conference Match'!$C$2:$C$40)</f>
        <v>0.9</v>
      </c>
      <c r="S179" s="20">
        <f t="shared" si="1"/>
        <v>1.951975806</v>
      </c>
      <c r="T179" s="20">
        <f t="shared" si="2"/>
        <v>18.59267736</v>
      </c>
      <c r="U179" s="20">
        <f t="shared" si="3"/>
        <v>-35.03516805</v>
      </c>
      <c r="W179" s="20">
        <f>IFERROR(__xludf.DUMMYFUNCTION("iferror(PERCENTRANK.INC(FILTER($S$2:$S$426, $P$2:$P$426&lt;3.75), $S179), 1)"),0.471)</f>
        <v>0.471</v>
      </c>
      <c r="X179" s="20">
        <f>IFERROR(__xludf.DUMMYFUNCTION("iferror(PERCENTRANK.INC(FILTER($S$2:$S$426, $P$2:$P$426&lt;4.5), $S179), 1)"),0.326)</f>
        <v>0.326</v>
      </c>
      <c r="Y179" s="20">
        <f>IFERROR(__xludf.DUMMYFUNCTION("iferror(PERCENTRANK.INC(FILTER($S$2:$S$426, $P$2:$P$426&gt;=4.1), $S179), 0.01)"),0.01)</f>
        <v>0.01</v>
      </c>
    </row>
    <row r="180" ht="14.25" customHeight="1">
      <c r="A180" s="14" t="s">
        <v>1132</v>
      </c>
      <c r="B180" s="14" t="s">
        <v>396</v>
      </c>
      <c r="C180" s="14" t="s">
        <v>954</v>
      </c>
      <c r="D180" s="14" t="s">
        <v>954</v>
      </c>
      <c r="E180" s="14" t="s">
        <v>157</v>
      </c>
      <c r="F180" s="14">
        <v>47.0</v>
      </c>
      <c r="G180" s="14">
        <v>40.0</v>
      </c>
      <c r="H180" s="14">
        <v>505.0</v>
      </c>
      <c r="I180" s="14">
        <v>12.6</v>
      </c>
      <c r="J180" s="14">
        <v>2.0</v>
      </c>
      <c r="K180" s="20">
        <v>6.192154396370953</v>
      </c>
      <c r="L180" s="20">
        <v>45.16963985446051</v>
      </c>
      <c r="M180" s="15"/>
      <c r="N180" s="20">
        <v>6.192154396370953</v>
      </c>
      <c r="O180" s="14">
        <v>4.03</v>
      </c>
      <c r="R180" s="20">
        <f t="array" ref="R180">XLOOKUP(E180, 'Conference Match'!$A$2:$A$40,'Conference Match'!$C$2:$C$40)</f>
        <v>0.9</v>
      </c>
      <c r="S180" s="20">
        <f t="shared" si="1"/>
        <v>1.920587791</v>
      </c>
      <c r="T180" s="20">
        <f t="shared" si="2"/>
        <v>17.98715558</v>
      </c>
      <c r="U180" s="20">
        <f t="shared" si="3"/>
        <v>-27.18248427</v>
      </c>
      <c r="W180" s="20">
        <f>IFERROR(__xludf.DUMMYFUNCTION("iferror(PERCENTRANK.INC(FILTER($S$2:$S$426, $P$2:$P$426&lt;3.75), $S180), 1)"),0.464)</f>
        <v>0.464</v>
      </c>
      <c r="X180" s="20">
        <f>IFERROR(__xludf.DUMMYFUNCTION("iferror(PERCENTRANK.INC(FILTER($S$2:$S$426, $P$2:$P$426&lt;4.5), $S180), 1)"),0.321)</f>
        <v>0.321</v>
      </c>
      <c r="Y180" s="20">
        <f>IFERROR(__xludf.DUMMYFUNCTION("iferror(PERCENTRANK.INC(FILTER($S$2:$S$426, $P$2:$P$426&gt;=4.1), $S180), 0.01)"),0.01)</f>
        <v>0.01</v>
      </c>
    </row>
    <row r="181" ht="14.25" customHeight="1">
      <c r="A181" s="14" t="s">
        <v>1133</v>
      </c>
      <c r="B181" s="14" t="s">
        <v>477</v>
      </c>
      <c r="C181" s="14" t="s">
        <v>954</v>
      </c>
      <c r="D181" s="14" t="s">
        <v>954</v>
      </c>
      <c r="E181" s="14" t="s">
        <v>141</v>
      </c>
      <c r="F181" s="14">
        <v>29.0</v>
      </c>
      <c r="G181" s="14">
        <v>19.0</v>
      </c>
      <c r="H181" s="14">
        <v>301.0</v>
      </c>
      <c r="I181" s="14">
        <v>15.8</v>
      </c>
      <c r="J181" s="14">
        <v>2.0</v>
      </c>
      <c r="K181" s="20">
        <v>6.742143221512789</v>
      </c>
      <c r="L181" s="20">
        <v>50.172060948152065</v>
      </c>
      <c r="M181" s="15"/>
      <c r="N181" s="20">
        <v>6.742143221512789</v>
      </c>
      <c r="O181" s="14">
        <v>3.43</v>
      </c>
      <c r="R181" s="20">
        <f t="array" ref="R181">XLOOKUP(E181, 'Conference Match'!$A$2:$A$40,'Conference Match'!$C$2:$C$40)</f>
        <v>0.9</v>
      </c>
      <c r="S181" s="20">
        <f t="shared" si="1"/>
        <v>1.89958578</v>
      </c>
      <c r="T181" s="20">
        <f t="shared" si="2"/>
        <v>17.58199536</v>
      </c>
      <c r="U181" s="20">
        <f t="shared" si="3"/>
        <v>-32.59006559</v>
      </c>
      <c r="W181" s="20">
        <f>IFERROR(__xludf.DUMMYFUNCTION("iferror(PERCENTRANK.INC(FILTER($S$2:$S$426, $P$2:$P$426&lt;3.75), $S181), 1)"),0.458)</f>
        <v>0.458</v>
      </c>
      <c r="X181" s="20">
        <f>IFERROR(__xludf.DUMMYFUNCTION("iferror(PERCENTRANK.INC(FILTER($S$2:$S$426, $P$2:$P$426&lt;4.5), $S181), 1)"),0.317)</f>
        <v>0.317</v>
      </c>
      <c r="Y181" s="20">
        <f>IFERROR(__xludf.DUMMYFUNCTION("iferror(PERCENTRANK.INC(FILTER($S$2:$S$426, $P$2:$P$426&gt;=4.1), $S181), 0.01)"),0.01)</f>
        <v>0.01</v>
      </c>
    </row>
    <row r="182" ht="14.25" customHeight="1">
      <c r="A182" s="14" t="s">
        <v>1134</v>
      </c>
      <c r="B182" s="14" t="s">
        <v>303</v>
      </c>
      <c r="C182" s="14">
        <v>4.0</v>
      </c>
      <c r="D182" s="14" t="s">
        <v>954</v>
      </c>
      <c r="E182" s="14" t="s">
        <v>125</v>
      </c>
      <c r="F182" s="14">
        <v>51.0</v>
      </c>
      <c r="G182" s="14">
        <v>42.0</v>
      </c>
      <c r="H182" s="14">
        <v>495.0</v>
      </c>
      <c r="I182" s="14">
        <v>11.8</v>
      </c>
      <c r="J182" s="14">
        <v>2.0</v>
      </c>
      <c r="K182" s="20">
        <v>5.909405889738794</v>
      </c>
      <c r="L182" s="20">
        <v>47.160614010467334</v>
      </c>
      <c r="M182" s="15"/>
      <c r="N182" s="20">
        <v>5.909405889738794</v>
      </c>
      <c r="O182" s="14">
        <v>3.86</v>
      </c>
      <c r="P182" s="16">
        <v>4.63</v>
      </c>
      <c r="Q182" s="16">
        <v>2.5</v>
      </c>
      <c r="R182" s="20">
        <f t="array" ref="R182">XLOOKUP(E182, 'Conference Match'!$A$2:$A$40,'Conference Match'!$C$2:$C$40)</f>
        <v>0.95</v>
      </c>
      <c r="S182" s="20">
        <f t="shared" si="1"/>
        <v>4.459787119</v>
      </c>
      <c r="T182" s="20">
        <f t="shared" si="2"/>
        <v>66.9721099</v>
      </c>
      <c r="U182" s="20">
        <f t="shared" si="3"/>
        <v>19.81149589</v>
      </c>
      <c r="W182" s="20">
        <f>IFERROR(__xludf.DUMMYFUNCTION("iferror(PERCENTRANK.INC(FILTER($S$2:$S$426, $P$2:$P$426&lt;3.75), $S182), 1)"),0.976)</f>
        <v>0.976</v>
      </c>
      <c r="X182" s="20">
        <f>IFERROR(__xludf.DUMMYFUNCTION("iferror(PERCENTRANK.INC(FILTER($S$2:$S$426, $P$2:$P$426&lt;4.5), $S182), 1)"),0.906)</f>
        <v>0.906</v>
      </c>
      <c r="Y182" s="20">
        <f>IFERROR(__xludf.DUMMYFUNCTION("iferror(PERCENTRANK.INC(FILTER($S$2:$S$426, $P$2:$P$426&gt;=4.1), $S182), 0.01)"),0.433)</f>
        <v>0.433</v>
      </c>
    </row>
    <row r="183" ht="14.25" customHeight="1">
      <c r="A183" s="14" t="s">
        <v>1135</v>
      </c>
      <c r="B183" s="14" t="s">
        <v>241</v>
      </c>
      <c r="C183" s="14" t="s">
        <v>954</v>
      </c>
      <c r="D183" s="14" t="s">
        <v>954</v>
      </c>
      <c r="E183" s="14" t="s">
        <v>138</v>
      </c>
      <c r="F183" s="14">
        <v>25.0</v>
      </c>
      <c r="G183" s="14">
        <v>17.0</v>
      </c>
      <c r="H183" s="14">
        <v>331.0</v>
      </c>
      <c r="I183" s="14">
        <v>19.5</v>
      </c>
      <c r="J183" s="14">
        <v>2.0</v>
      </c>
      <c r="K183" s="20">
        <v>7.909333788307519</v>
      </c>
      <c r="L183" s="20">
        <v>60.78823794081365</v>
      </c>
      <c r="M183" s="15"/>
      <c r="N183" s="20">
        <v>7.909333788307519</v>
      </c>
      <c r="O183" s="14">
        <v>2.32</v>
      </c>
      <c r="P183" s="16">
        <v>3.75</v>
      </c>
      <c r="Q183" s="16">
        <v>-6.5</v>
      </c>
      <c r="R183" s="20">
        <f t="array" ref="R183">XLOOKUP(E183, 'Conference Match'!$A$2:$A$40,'Conference Match'!$C$2:$C$40)</f>
        <v>0.9</v>
      </c>
      <c r="S183" s="20">
        <f t="shared" si="1"/>
        <v>3.112680082</v>
      </c>
      <c r="T183" s="20">
        <f t="shared" si="2"/>
        <v>40.98439954</v>
      </c>
      <c r="U183" s="20">
        <f t="shared" si="3"/>
        <v>-19.8038384</v>
      </c>
      <c r="W183" s="20">
        <f>IFERROR(__xludf.DUMMYFUNCTION("iferror(PERCENTRANK.INC(FILTER($S$2:$S$426, $P$2:$P$426&lt;3.75), $S183), 1)"),0.686)</f>
        <v>0.686</v>
      </c>
      <c r="X183" s="20">
        <f>IFERROR(__xludf.DUMMYFUNCTION("iferror(PERCENTRANK.INC(FILTER($S$2:$S$426, $P$2:$P$426&lt;4.5), $S183), 1)"),0.493)</f>
        <v>0.493</v>
      </c>
      <c r="Y183" s="20">
        <f>IFERROR(__xludf.DUMMYFUNCTION("iferror(PERCENTRANK.INC(FILTER($S$2:$S$426, $P$2:$P$426&gt;=4.1), $S183), 0.01)"),0.013)</f>
        <v>0.013</v>
      </c>
    </row>
    <row r="184" ht="14.25" customHeight="1">
      <c r="A184" s="14" t="s">
        <v>1136</v>
      </c>
      <c r="B184" s="14" t="s">
        <v>257</v>
      </c>
      <c r="C184" s="14" t="s">
        <v>954</v>
      </c>
      <c r="D184" s="14" t="s">
        <v>954</v>
      </c>
      <c r="E184" s="14" t="s">
        <v>138</v>
      </c>
      <c r="F184" s="14">
        <v>46.0</v>
      </c>
      <c r="G184" s="14">
        <v>35.0</v>
      </c>
      <c r="H184" s="14">
        <v>508.0</v>
      </c>
      <c r="I184" s="14">
        <v>14.5</v>
      </c>
      <c r="J184" s="14">
        <v>4.0</v>
      </c>
      <c r="K184" s="20">
        <v>7.067116877989825</v>
      </c>
      <c r="L184" s="20">
        <v>53.12785750208305</v>
      </c>
      <c r="M184" s="15"/>
      <c r="N184" s="20">
        <v>7.067116877989825</v>
      </c>
      <c r="O184" s="14">
        <v>3.06</v>
      </c>
      <c r="R184" s="20">
        <f t="array" ref="R184">XLOOKUP(E184, 'Conference Match'!$A$2:$A$40,'Conference Match'!$C$2:$C$40)</f>
        <v>0.9</v>
      </c>
      <c r="S184" s="20">
        <f t="shared" si="1"/>
        <v>1.884081038</v>
      </c>
      <c r="T184" s="20">
        <f t="shared" si="2"/>
        <v>17.28288569</v>
      </c>
      <c r="U184" s="20">
        <f t="shared" si="3"/>
        <v>-35.84497181</v>
      </c>
      <c r="W184" s="20">
        <f>IFERROR(__xludf.DUMMYFUNCTION("iferror(PERCENTRANK.INC(FILTER($S$2:$S$426, $P$2:$P$426&lt;3.75), $S184), 1)"),0.451)</f>
        <v>0.451</v>
      </c>
      <c r="X184" s="20">
        <f>IFERROR(__xludf.DUMMYFUNCTION("iferror(PERCENTRANK.INC(FILTER($S$2:$S$426, $P$2:$P$426&lt;4.5), $S184), 1)"),0.312)</f>
        <v>0.312</v>
      </c>
      <c r="Y184" s="20">
        <f>IFERROR(__xludf.DUMMYFUNCTION("iferror(PERCENTRANK.INC(FILTER($S$2:$S$426, $P$2:$P$426&gt;=4.1), $S184), 0.01)"),0.01)</f>
        <v>0.01</v>
      </c>
    </row>
    <row r="185" ht="14.25" customHeight="1">
      <c r="A185" s="14" t="s">
        <v>1137</v>
      </c>
      <c r="B185" s="14" t="s">
        <v>345</v>
      </c>
      <c r="C185" s="14">
        <v>13.0</v>
      </c>
      <c r="D185" s="14" t="s">
        <v>954</v>
      </c>
      <c r="E185" s="14" t="s">
        <v>120</v>
      </c>
      <c r="F185" s="14">
        <v>30.0</v>
      </c>
      <c r="G185" s="14">
        <v>24.0</v>
      </c>
      <c r="H185" s="14">
        <v>308.0</v>
      </c>
      <c r="I185" s="14">
        <v>12.8</v>
      </c>
      <c r="J185" s="14">
        <v>2.0</v>
      </c>
      <c r="K185" s="20">
        <v>6.028562188236469</v>
      </c>
      <c r="L185" s="20">
        <v>48.58474420718918</v>
      </c>
      <c r="M185" s="15"/>
      <c r="N185" s="20">
        <v>6.028562188236469</v>
      </c>
      <c r="O185" s="14">
        <v>3.63</v>
      </c>
      <c r="R185" s="20">
        <f t="array" ref="R185">XLOOKUP(E185, 'Conference Match'!$A$2:$A$40,'Conference Match'!$C$2:$C$40)</f>
        <v>0.95</v>
      </c>
      <c r="S185" s="20">
        <f t="shared" si="1"/>
        <v>1.871426816</v>
      </c>
      <c r="T185" s="20">
        <f t="shared" si="2"/>
        <v>17.03876681</v>
      </c>
      <c r="U185" s="20">
        <f t="shared" si="3"/>
        <v>-31.5459774</v>
      </c>
      <c r="W185" s="20">
        <f>IFERROR(__xludf.DUMMYFUNCTION("iferror(PERCENTRANK.INC(FILTER($S$2:$S$426, $P$2:$P$426&lt;3.75), $S185), 1)"),0.444)</f>
        <v>0.444</v>
      </c>
      <c r="X185" s="20">
        <f>IFERROR(__xludf.DUMMYFUNCTION("iferror(PERCENTRANK.INC(FILTER($S$2:$S$426, $P$2:$P$426&lt;4.5), $S185), 1)"),0.308)</f>
        <v>0.308</v>
      </c>
      <c r="Y185" s="20">
        <f>IFERROR(__xludf.DUMMYFUNCTION("iferror(PERCENTRANK.INC(FILTER($S$2:$S$426, $P$2:$P$426&gt;=4.1), $S185), 0.01)"),0.01)</f>
        <v>0.01</v>
      </c>
    </row>
    <row r="186" ht="14.25" customHeight="1">
      <c r="A186" s="14" t="s">
        <v>1138</v>
      </c>
      <c r="B186" s="14" t="s">
        <v>289</v>
      </c>
      <c r="C186" s="14" t="s">
        <v>954</v>
      </c>
      <c r="D186" s="14" t="s">
        <v>954</v>
      </c>
      <c r="E186" s="14" t="s">
        <v>141</v>
      </c>
      <c r="F186" s="14">
        <v>63.0</v>
      </c>
      <c r="G186" s="14">
        <v>42.0</v>
      </c>
      <c r="H186" s="14">
        <v>583.0</v>
      </c>
      <c r="I186" s="14">
        <v>13.9</v>
      </c>
      <c r="J186" s="14">
        <v>3.0</v>
      </c>
      <c r="K186" s="20">
        <v>6.622672571239377</v>
      </c>
      <c r="L186" s="20">
        <v>49.08541614068596</v>
      </c>
      <c r="M186" s="15"/>
      <c r="N186" s="20">
        <v>6.622672571239377</v>
      </c>
      <c r="O186" s="14">
        <v>3.37</v>
      </c>
      <c r="R186" s="20">
        <f t="array" ref="R186">XLOOKUP(E186, 'Conference Match'!$A$2:$A$40,'Conference Match'!$C$2:$C$40)</f>
        <v>0.9</v>
      </c>
      <c r="S186" s="20">
        <f t="shared" si="1"/>
        <v>1.866081063</v>
      </c>
      <c r="T186" s="20">
        <f t="shared" si="2"/>
        <v>16.93563923</v>
      </c>
      <c r="U186" s="20">
        <f t="shared" si="3"/>
        <v>-32.14977691</v>
      </c>
      <c r="W186" s="20">
        <f>IFERROR(__xludf.DUMMYFUNCTION("iferror(PERCENTRANK.INC(FILTER($S$2:$S$426, $P$2:$P$426&lt;3.75), $S186), 1)"),0.438)</f>
        <v>0.438</v>
      </c>
      <c r="X186" s="20">
        <f>IFERROR(__xludf.DUMMYFUNCTION("iferror(PERCENTRANK.INC(FILTER($S$2:$S$426, $P$2:$P$426&lt;4.5), $S186), 1)"),0.303)</f>
        <v>0.303</v>
      </c>
      <c r="Y186" s="20">
        <f>IFERROR(__xludf.DUMMYFUNCTION("iferror(PERCENTRANK.INC(FILTER($S$2:$S$426, $P$2:$P$426&gt;=4.1), $S186), 0.01)"),0.01)</f>
        <v>0.01</v>
      </c>
    </row>
    <row r="187" ht="14.25" customHeight="1">
      <c r="A187" s="14" t="s">
        <v>1139</v>
      </c>
      <c r="B187" s="14" t="s">
        <v>477</v>
      </c>
      <c r="C187" s="14" t="s">
        <v>954</v>
      </c>
      <c r="D187" s="14" t="s">
        <v>954</v>
      </c>
      <c r="E187" s="14" t="s">
        <v>141</v>
      </c>
      <c r="F187" s="14">
        <v>23.0</v>
      </c>
      <c r="G187" s="14">
        <v>16.0</v>
      </c>
      <c r="H187" s="14">
        <v>261.0</v>
      </c>
      <c r="I187" s="14">
        <v>16.3</v>
      </c>
      <c r="J187" s="14">
        <v>2.0</v>
      </c>
      <c r="K187" s="20">
        <v>6.896014492795695</v>
      </c>
      <c r="L187" s="20">
        <v>51.571596462314986</v>
      </c>
      <c r="M187" s="15"/>
      <c r="N187" s="20">
        <v>6.896014492795695</v>
      </c>
      <c r="O187" s="14">
        <v>3.02</v>
      </c>
      <c r="R187" s="20">
        <f t="array" ref="R187">XLOOKUP(E187, 'Conference Match'!$A$2:$A$40,'Conference Match'!$C$2:$C$40)</f>
        <v>0.9</v>
      </c>
      <c r="S187" s="20">
        <f t="shared" si="1"/>
        <v>1.845282609</v>
      </c>
      <c r="T187" s="20">
        <f t="shared" si="2"/>
        <v>16.53440594</v>
      </c>
      <c r="U187" s="20">
        <f t="shared" si="3"/>
        <v>-35.03719053</v>
      </c>
      <c r="W187" s="20">
        <f>IFERROR(__xludf.DUMMYFUNCTION("iferror(PERCENTRANK.INC(FILTER($S$2:$S$426, $P$2:$P$426&lt;3.75), $S187), 1)"),0.431)</f>
        <v>0.431</v>
      </c>
      <c r="X187" s="20">
        <f>IFERROR(__xludf.DUMMYFUNCTION("iferror(PERCENTRANK.INC(FILTER($S$2:$S$426, $P$2:$P$426&lt;4.5), $S187), 1)"),0.299)</f>
        <v>0.299</v>
      </c>
      <c r="Y187" s="20">
        <f>IFERROR(__xludf.DUMMYFUNCTION("iferror(PERCENTRANK.INC(FILTER($S$2:$S$426, $P$2:$P$426&gt;=4.1), $S187), 0.01)"),0.01)</f>
        <v>0.01</v>
      </c>
    </row>
    <row r="188" ht="14.25" customHeight="1">
      <c r="A188" s="14" t="s">
        <v>1140</v>
      </c>
      <c r="B188" s="14" t="s">
        <v>110</v>
      </c>
      <c r="C188" s="14" t="s">
        <v>954</v>
      </c>
      <c r="D188" s="14" t="s">
        <v>954</v>
      </c>
      <c r="E188" s="14" t="s">
        <v>111</v>
      </c>
      <c r="F188" s="14">
        <v>33.0</v>
      </c>
      <c r="G188" s="14">
        <v>26.0</v>
      </c>
      <c r="H188" s="14">
        <v>330.0</v>
      </c>
      <c r="I188" s="14">
        <v>12.7</v>
      </c>
      <c r="J188" s="14">
        <v>1.0</v>
      </c>
      <c r="K188" s="20">
        <v>5.806195880585354</v>
      </c>
      <c r="L188" s="20">
        <v>41.659155763883135</v>
      </c>
      <c r="M188" s="15"/>
      <c r="N188" s="20">
        <v>5.806195880585354</v>
      </c>
      <c r="O188" s="14">
        <v>3.97</v>
      </c>
      <c r="R188" s="20">
        <f t="array" ref="R188">XLOOKUP(E188, 'Conference Match'!$A$2:$A$40,'Conference Match'!$C$2:$C$40)</f>
        <v>0.9</v>
      </c>
      <c r="S188" s="20">
        <f t="shared" si="1"/>
        <v>1.839115259</v>
      </c>
      <c r="T188" s="20">
        <f t="shared" si="2"/>
        <v>16.41542852</v>
      </c>
      <c r="U188" s="20">
        <f t="shared" si="3"/>
        <v>-25.24372724</v>
      </c>
      <c r="W188" s="20">
        <f>IFERROR(__xludf.DUMMYFUNCTION("iferror(PERCENTRANK.INC(FILTER($S$2:$S$426, $P$2:$P$426&lt;3.75), $S188), 1)"),0.425)</f>
        <v>0.425</v>
      </c>
      <c r="X188" s="20">
        <f>IFERROR(__xludf.DUMMYFUNCTION("iferror(PERCENTRANK.INC(FILTER($S$2:$S$426, $P$2:$P$426&lt;4.5), $S188), 1)"),0.294)</f>
        <v>0.294</v>
      </c>
      <c r="Y188" s="20">
        <f>IFERROR(__xludf.DUMMYFUNCTION("iferror(PERCENTRANK.INC(FILTER($S$2:$S$426, $P$2:$P$426&gt;=4.1), $S188), 0.01)"),0.01)</f>
        <v>0.01</v>
      </c>
    </row>
    <row r="189" ht="14.25" customHeight="1">
      <c r="A189" s="14" t="s">
        <v>1141</v>
      </c>
      <c r="B189" s="14" t="s">
        <v>173</v>
      </c>
      <c r="C189" s="14" t="s">
        <v>954</v>
      </c>
      <c r="D189" s="14" t="s">
        <v>954</v>
      </c>
      <c r="E189" s="14" t="s">
        <v>135</v>
      </c>
      <c r="F189" s="14">
        <v>75.0</v>
      </c>
      <c r="G189" s="14">
        <v>48.0</v>
      </c>
      <c r="H189" s="14">
        <v>642.0</v>
      </c>
      <c r="I189" s="14">
        <v>13.4</v>
      </c>
      <c r="J189" s="14">
        <v>6.0</v>
      </c>
      <c r="K189" s="20">
        <v>7.081756669100216</v>
      </c>
      <c r="L189" s="20">
        <v>53.26101366182678</v>
      </c>
      <c r="M189" s="15"/>
      <c r="N189" s="20">
        <v>7.081756669100216</v>
      </c>
      <c r="O189" s="14">
        <v>2.81</v>
      </c>
      <c r="P189" s="16">
        <v>4.76</v>
      </c>
      <c r="Q189" s="16">
        <v>5.5</v>
      </c>
      <c r="R189" s="20">
        <f t="array" ref="R189">XLOOKUP(E189, 'Conference Match'!$A$2:$A$40,'Conference Match'!$C$2:$C$40)</f>
        <v>0.9</v>
      </c>
      <c r="S189" s="20">
        <f t="shared" si="1"/>
        <v>4.7667162</v>
      </c>
      <c r="T189" s="20">
        <f t="shared" si="2"/>
        <v>72.89323113</v>
      </c>
      <c r="U189" s="20">
        <f t="shared" si="3"/>
        <v>19.63221746</v>
      </c>
      <c r="W189" s="20">
        <f>IFERROR(__xludf.DUMMYFUNCTION("iferror(PERCENTRANK.INC(FILTER($S$2:$S$426, $P$2:$P$426&lt;3.75), $S189), 1)"),0.987)</f>
        <v>0.987</v>
      </c>
      <c r="X189" s="20">
        <f>IFERROR(__xludf.DUMMYFUNCTION("iferror(PERCENTRANK.INC(FILTER($S$2:$S$426, $P$2:$P$426&lt;4.5), $S189), 1)"),0.955)</f>
        <v>0.955</v>
      </c>
      <c r="Y189" s="20">
        <f>IFERROR(__xludf.DUMMYFUNCTION("iferror(PERCENTRANK.INC(FILTER($S$2:$S$426, $P$2:$P$426&gt;=4.1), $S189), 0.01)"),0.672)</f>
        <v>0.672</v>
      </c>
    </row>
    <row r="190" ht="14.25" customHeight="1">
      <c r="A190" s="14" t="s">
        <v>1142</v>
      </c>
      <c r="B190" s="14" t="s">
        <v>651</v>
      </c>
      <c r="C190" s="14">
        <v>6.0</v>
      </c>
      <c r="D190" s="14" t="s">
        <v>954</v>
      </c>
      <c r="E190" s="14" t="s">
        <v>149</v>
      </c>
      <c r="F190" s="14">
        <v>51.0</v>
      </c>
      <c r="G190" s="14">
        <v>38.0</v>
      </c>
      <c r="H190" s="14">
        <v>439.0</v>
      </c>
      <c r="I190" s="14">
        <v>11.6</v>
      </c>
      <c r="J190" s="14">
        <v>3.0</v>
      </c>
      <c r="K190" s="20">
        <v>5.929994125032911</v>
      </c>
      <c r="L190" s="20">
        <v>47.40668012656223</v>
      </c>
      <c r="M190" s="15"/>
      <c r="N190" s="20">
        <v>5.929994125032911</v>
      </c>
      <c r="O190" s="14">
        <v>3.48</v>
      </c>
      <c r="R190" s="20">
        <f t="array" ref="R190">XLOOKUP(E190, 'Conference Match'!$A$2:$A$40,'Conference Match'!$C$2:$C$40)</f>
        <v>0.95</v>
      </c>
      <c r="S190" s="20">
        <f t="shared" si="1"/>
        <v>1.822698884</v>
      </c>
      <c r="T190" s="20">
        <f t="shared" si="2"/>
        <v>16.09873209</v>
      </c>
      <c r="U190" s="20">
        <f t="shared" si="3"/>
        <v>-31.30794804</v>
      </c>
      <c r="W190" s="20">
        <f>IFERROR(__xludf.DUMMYFUNCTION("iferror(PERCENTRANK.INC(FILTER($S$2:$S$426, $P$2:$P$426&lt;3.75), $S190), 1)"),0.412)</f>
        <v>0.412</v>
      </c>
      <c r="X190" s="20">
        <f>IFERROR(__xludf.DUMMYFUNCTION("iferror(PERCENTRANK.INC(FILTER($S$2:$S$426, $P$2:$P$426&lt;4.5), $S190), 1)"),0.285)</f>
        <v>0.285</v>
      </c>
      <c r="Y190" s="20">
        <f>IFERROR(__xludf.DUMMYFUNCTION("iferror(PERCENTRANK.INC(FILTER($S$2:$S$426, $P$2:$P$426&gt;=4.1), $S190), 0.01)"),0.01)</f>
        <v>0.01</v>
      </c>
    </row>
    <row r="191" ht="14.25" customHeight="1">
      <c r="A191" s="14" t="s">
        <v>1143</v>
      </c>
      <c r="B191" s="14" t="s">
        <v>295</v>
      </c>
      <c r="C191" s="14" t="s">
        <v>954</v>
      </c>
      <c r="D191" s="14" t="s">
        <v>954</v>
      </c>
      <c r="E191" s="14" t="s">
        <v>135</v>
      </c>
      <c r="F191" s="14">
        <v>35.0</v>
      </c>
      <c r="G191" s="14">
        <v>23.0</v>
      </c>
      <c r="H191" s="14">
        <v>380.0</v>
      </c>
      <c r="I191" s="14">
        <v>16.5</v>
      </c>
      <c r="J191" s="14">
        <v>2.0</v>
      </c>
      <c r="K191" s="20">
        <v>7.029231628459639</v>
      </c>
      <c r="L191" s="20">
        <v>52.783272371029355</v>
      </c>
      <c r="M191" s="15"/>
      <c r="N191" s="20">
        <v>7.029231628459639</v>
      </c>
      <c r="O191" s="14">
        <v>2.68</v>
      </c>
      <c r="R191" s="20">
        <f t="array" ref="R191">XLOOKUP(E191, 'Conference Match'!$A$2:$A$40,'Conference Match'!$C$2:$C$40)</f>
        <v>0.9</v>
      </c>
      <c r="S191" s="20">
        <f t="shared" si="1"/>
        <v>1.801261693</v>
      </c>
      <c r="T191" s="20">
        <f t="shared" si="2"/>
        <v>15.68517661</v>
      </c>
      <c r="U191" s="20">
        <f t="shared" si="3"/>
        <v>-37.09809576</v>
      </c>
      <c r="W191" s="20">
        <f>IFERROR(__xludf.DUMMYFUNCTION("iferror(PERCENTRANK.INC(FILTER($S$2:$S$426, $P$2:$P$426&lt;3.75), $S191), 1)"),0.405)</f>
        <v>0.405</v>
      </c>
      <c r="X191" s="20">
        <f>IFERROR(__xludf.DUMMYFUNCTION("iferror(PERCENTRANK.INC(FILTER($S$2:$S$426, $P$2:$P$426&lt;4.5), $S191), 1)"),0.281)</f>
        <v>0.281</v>
      </c>
      <c r="Y191" s="20">
        <f>IFERROR(__xludf.DUMMYFUNCTION("iferror(PERCENTRANK.INC(FILTER($S$2:$S$426, $P$2:$P$426&gt;=4.1), $S191), 0.01)"),0.01)</f>
        <v>0.01</v>
      </c>
    </row>
    <row r="192" ht="14.25" customHeight="1">
      <c r="A192" s="14" t="s">
        <v>1144</v>
      </c>
      <c r="B192" s="14" t="s">
        <v>495</v>
      </c>
      <c r="C192" s="14" t="s">
        <v>954</v>
      </c>
      <c r="D192" s="14" t="s">
        <v>954</v>
      </c>
      <c r="E192" s="14" t="s">
        <v>157</v>
      </c>
      <c r="F192" s="14">
        <v>49.0</v>
      </c>
      <c r="G192" s="14">
        <v>27.0</v>
      </c>
      <c r="H192" s="14">
        <v>390.0</v>
      </c>
      <c r="I192" s="14">
        <v>14.4</v>
      </c>
      <c r="J192" s="14">
        <v>2.0</v>
      </c>
      <c r="K192" s="20">
        <v>6.302881521287607</v>
      </c>
      <c r="L192" s="20">
        <v>46.17675796305853</v>
      </c>
      <c r="M192" s="15"/>
      <c r="N192" s="20">
        <v>6.302881521287607</v>
      </c>
      <c r="O192" s="14">
        <v>3.3</v>
      </c>
      <c r="R192" s="20">
        <f t="array" ref="R192">XLOOKUP(E192, 'Conference Match'!$A$2:$A$40,'Conference Match'!$C$2:$C$40)</f>
        <v>0.9</v>
      </c>
      <c r="S192" s="20">
        <f t="shared" si="1"/>
        <v>1.794518674</v>
      </c>
      <c r="T192" s="20">
        <f t="shared" si="2"/>
        <v>15.55509368</v>
      </c>
      <c r="U192" s="20">
        <f t="shared" si="3"/>
        <v>-30.62166429</v>
      </c>
      <c r="W192" s="20">
        <f>IFERROR(__xludf.DUMMYFUNCTION("iferror(PERCENTRANK.INC(FILTER($S$2:$S$426, $P$2:$P$426&lt;3.75), $S192), 1)"),0.399)</f>
        <v>0.399</v>
      </c>
      <c r="X192" s="20">
        <f>IFERROR(__xludf.DUMMYFUNCTION("iferror(PERCENTRANK.INC(FILTER($S$2:$S$426, $P$2:$P$426&lt;4.5), $S192), 1)"),0.276)</f>
        <v>0.276</v>
      </c>
      <c r="Y192" s="20">
        <f>IFERROR(__xludf.DUMMYFUNCTION("iferror(PERCENTRANK.INC(FILTER($S$2:$S$426, $P$2:$P$426&gt;=4.1), $S192), 0.01)"),0.01)</f>
        <v>0.01</v>
      </c>
    </row>
    <row r="193" ht="14.25" customHeight="1">
      <c r="A193" s="14" t="s">
        <v>1145</v>
      </c>
      <c r="B193" s="14" t="s">
        <v>309</v>
      </c>
      <c r="C193" s="14" t="s">
        <v>954</v>
      </c>
      <c r="D193" s="14" t="s">
        <v>954</v>
      </c>
      <c r="E193" s="14" t="s">
        <v>176</v>
      </c>
      <c r="F193" s="14">
        <v>31.0</v>
      </c>
      <c r="G193" s="14">
        <v>19.0</v>
      </c>
      <c r="H193" s="14">
        <v>317.0</v>
      </c>
      <c r="I193" s="14">
        <v>16.7</v>
      </c>
      <c r="J193" s="14">
        <v>3.0</v>
      </c>
      <c r="K193" s="20">
        <v>7.163814017592808</v>
      </c>
      <c r="L193" s="20">
        <v>54.00736593704961</v>
      </c>
      <c r="M193" s="15"/>
      <c r="N193" s="20">
        <v>7.163814017592808</v>
      </c>
      <c r="O193" s="14">
        <v>2.46</v>
      </c>
      <c r="R193" s="20">
        <f t="array" ref="R193">XLOOKUP(E193, 'Conference Match'!$A$2:$A$40,'Conference Match'!$C$2:$C$40)</f>
        <v>0.9</v>
      </c>
      <c r="S193" s="20">
        <f t="shared" si="1"/>
        <v>1.781486523</v>
      </c>
      <c r="T193" s="20">
        <f t="shared" si="2"/>
        <v>15.30368399</v>
      </c>
      <c r="U193" s="20">
        <f t="shared" si="3"/>
        <v>-38.70368195</v>
      </c>
      <c r="W193" s="20">
        <f>IFERROR(__xludf.DUMMYFUNCTION("iferror(PERCENTRANK.INC(FILTER($S$2:$S$426, $P$2:$P$426&lt;3.75), $S193), 1)"),0.392)</f>
        <v>0.392</v>
      </c>
      <c r="X193" s="20">
        <f>IFERROR(__xludf.DUMMYFUNCTION("iferror(PERCENTRANK.INC(FILTER($S$2:$S$426, $P$2:$P$426&lt;4.5), $S193), 1)"),0.271)</f>
        <v>0.271</v>
      </c>
      <c r="Y193" s="20">
        <f>IFERROR(__xludf.DUMMYFUNCTION("iferror(PERCENTRANK.INC(FILTER($S$2:$S$426, $P$2:$P$426&gt;=4.1), $S193), 0.01)"),0.01)</f>
        <v>0.01</v>
      </c>
    </row>
    <row r="194" ht="14.25" customHeight="1">
      <c r="A194" s="14" t="s">
        <v>1146</v>
      </c>
      <c r="B194" s="14" t="s">
        <v>590</v>
      </c>
      <c r="C194" s="14" t="s">
        <v>954</v>
      </c>
      <c r="D194" s="14" t="s">
        <v>954</v>
      </c>
      <c r="E194" s="14" t="s">
        <v>111</v>
      </c>
      <c r="F194" s="14">
        <v>26.0</v>
      </c>
      <c r="G194" s="14">
        <v>15.0</v>
      </c>
      <c r="H194" s="14">
        <v>221.0</v>
      </c>
      <c r="I194" s="14">
        <v>14.7</v>
      </c>
      <c r="J194" s="14">
        <v>3.0</v>
      </c>
      <c r="K194" s="20">
        <v>6.4227736723322835</v>
      </c>
      <c r="L194" s="20">
        <v>47.26723652905353</v>
      </c>
      <c r="M194" s="15"/>
      <c r="N194" s="20">
        <v>6.4227736723322835</v>
      </c>
      <c r="O194" s="14">
        <v>3.09</v>
      </c>
      <c r="R194" s="20">
        <f t="array" ref="R194">XLOOKUP(E194, 'Conference Match'!$A$2:$A$40,'Conference Match'!$C$2:$C$40)</f>
        <v>0.9</v>
      </c>
      <c r="S194" s="20">
        <f t="shared" si="1"/>
        <v>1.774099261</v>
      </c>
      <c r="T194" s="20">
        <f t="shared" si="2"/>
        <v>15.16117265</v>
      </c>
      <c r="U194" s="20">
        <f t="shared" si="3"/>
        <v>-32.10606388</v>
      </c>
      <c r="W194" s="20">
        <f>IFERROR(__xludf.DUMMYFUNCTION("iferror(PERCENTRANK.INC(FILTER($S$2:$S$426, $P$2:$P$426&lt;3.75), $S194), 1)"),0.386)</f>
        <v>0.386</v>
      </c>
      <c r="X194" s="20">
        <f>IFERROR(__xludf.DUMMYFUNCTION("iferror(PERCENTRANK.INC(FILTER($S$2:$S$426, $P$2:$P$426&lt;4.5), $S194), 1)"),0.267)</f>
        <v>0.267</v>
      </c>
      <c r="Y194" s="20">
        <f>IFERROR(__xludf.DUMMYFUNCTION("iferror(PERCENTRANK.INC(FILTER($S$2:$S$426, $P$2:$P$426&gt;=4.1), $S194), 0.01)"),0.01)</f>
        <v>0.01</v>
      </c>
    </row>
    <row r="195" ht="14.25" customHeight="1">
      <c r="A195" s="14" t="s">
        <v>1147</v>
      </c>
      <c r="B195" s="14" t="s">
        <v>495</v>
      </c>
      <c r="C195" s="14" t="s">
        <v>954</v>
      </c>
      <c r="D195" s="14" t="s">
        <v>954</v>
      </c>
      <c r="E195" s="14" t="s">
        <v>157</v>
      </c>
      <c r="F195" s="14">
        <v>34.0</v>
      </c>
      <c r="G195" s="14">
        <v>19.0</v>
      </c>
      <c r="H195" s="14">
        <v>251.0</v>
      </c>
      <c r="I195" s="14">
        <v>13.2</v>
      </c>
      <c r="J195" s="14">
        <v>3.0</v>
      </c>
      <c r="K195" s="20">
        <v>6.022312997991882</v>
      </c>
      <c r="L195" s="20">
        <v>43.62484811507486</v>
      </c>
      <c r="M195" s="15"/>
      <c r="N195" s="20">
        <v>6.022312997991882</v>
      </c>
      <c r="O195" s="14">
        <v>3.38</v>
      </c>
      <c r="R195" s="20">
        <f t="array" ref="R195">XLOOKUP(E195, 'Conference Match'!$A$2:$A$40,'Conference Match'!$C$2:$C$40)</f>
        <v>0.9</v>
      </c>
      <c r="S195" s="20">
        <f t="shared" si="1"/>
        <v>1.76001634</v>
      </c>
      <c r="T195" s="20">
        <f t="shared" si="2"/>
        <v>14.88949202</v>
      </c>
      <c r="U195" s="20">
        <f t="shared" si="3"/>
        <v>-28.73535609</v>
      </c>
      <c r="W195" s="20">
        <f>IFERROR(__xludf.DUMMYFUNCTION("iferror(PERCENTRANK.INC(FILTER($S$2:$S$426, $P$2:$P$426&lt;3.75), $S195), 1)"),0.379)</f>
        <v>0.379</v>
      </c>
      <c r="X195" s="20">
        <f>IFERROR(__xludf.DUMMYFUNCTION("iferror(PERCENTRANK.INC(FILTER($S$2:$S$426, $P$2:$P$426&lt;4.5), $S195), 1)"),0.262)</f>
        <v>0.262</v>
      </c>
      <c r="Y195" s="20">
        <f>IFERROR(__xludf.DUMMYFUNCTION("iferror(PERCENTRANK.INC(FILTER($S$2:$S$426, $P$2:$P$426&gt;=4.1), $S195), 0.01)"),0.01)</f>
        <v>0.01</v>
      </c>
    </row>
    <row r="196" ht="14.25" customHeight="1">
      <c r="A196" s="17" t="s">
        <v>1148</v>
      </c>
      <c r="B196" s="17" t="s">
        <v>396</v>
      </c>
      <c r="D196" s="17" t="s">
        <v>954</v>
      </c>
      <c r="E196" s="17" t="s">
        <v>157</v>
      </c>
      <c r="F196" s="18">
        <v>30.0</v>
      </c>
      <c r="G196" s="18">
        <v>22.0</v>
      </c>
      <c r="H196" s="18">
        <v>276.0</v>
      </c>
      <c r="I196" s="18">
        <v>12.6</v>
      </c>
      <c r="J196" s="18">
        <v>0.0</v>
      </c>
      <c r="K196" s="18">
        <v>5.46</v>
      </c>
      <c r="L196" s="22">
        <v>38.47</v>
      </c>
      <c r="M196" s="15"/>
      <c r="N196" s="36">
        <v>5.46</v>
      </c>
      <c r="O196" s="16">
        <v>1.97</v>
      </c>
      <c r="P196" s="16">
        <v>3.84</v>
      </c>
      <c r="Q196" s="16">
        <v>-2.0</v>
      </c>
      <c r="R196" s="20">
        <f t="array" ref="R196">XLOOKUP(E196, 'Conference Match'!$A$2:$A$40,'Conference Match'!$C$2:$C$40)</f>
        <v>0.9</v>
      </c>
      <c r="S196" s="20">
        <f t="shared" si="1"/>
        <v>3.0968</v>
      </c>
      <c r="T196" s="20">
        <f t="shared" si="2"/>
        <v>40.678049</v>
      </c>
      <c r="U196" s="20">
        <f t="shared" si="3"/>
        <v>2.208049001</v>
      </c>
      <c r="W196" s="20">
        <f>IFERROR(__xludf.DUMMYFUNCTION("iferror(PERCENTRANK.INC(FILTER($S$2:$S$426, $P$2:$P$426&lt;3.75), $S196), 1)"),0.683)</f>
        <v>0.683</v>
      </c>
      <c r="X196" s="20">
        <f>IFERROR(__xludf.DUMMYFUNCTION("iferror(PERCENTRANK.INC(FILTER($S$2:$S$426, $P$2:$P$426&lt;4.5), $S196), 1)"),0.489)</f>
        <v>0.489</v>
      </c>
      <c r="Y196" s="20">
        <f>IFERROR(__xludf.DUMMYFUNCTION("iferror(PERCENTRANK.INC(FILTER($S$2:$S$426, $P$2:$P$426&gt;=4.1), $S196), 0.01)"),0.011)</f>
        <v>0.011</v>
      </c>
    </row>
    <row r="197" ht="14.25" customHeight="1">
      <c r="A197" s="14" t="s">
        <v>1149</v>
      </c>
      <c r="B197" s="14" t="s">
        <v>396</v>
      </c>
      <c r="C197" s="14" t="s">
        <v>954</v>
      </c>
      <c r="D197" s="14" t="s">
        <v>954</v>
      </c>
      <c r="E197" s="14" t="s">
        <v>157</v>
      </c>
      <c r="F197" s="14">
        <v>31.0</v>
      </c>
      <c r="G197" s="14">
        <v>26.0</v>
      </c>
      <c r="H197" s="14">
        <v>279.0</v>
      </c>
      <c r="I197" s="14">
        <v>10.7</v>
      </c>
      <c r="J197" s="14">
        <v>4.0</v>
      </c>
      <c r="K197" s="20">
        <v>5.797684985334743</v>
      </c>
      <c r="L197" s="20">
        <v>41.581744951187304</v>
      </c>
      <c r="M197" s="15"/>
      <c r="N197" s="20">
        <v>5.797684985334743</v>
      </c>
      <c r="O197" s="14">
        <v>3.56</v>
      </c>
      <c r="R197" s="20">
        <f t="array" ref="R197">XLOOKUP(E197, 'Conference Match'!$A$2:$A$40,'Conference Match'!$C$2:$C$40)</f>
        <v>0.9</v>
      </c>
      <c r="S197" s="20">
        <f t="shared" si="1"/>
        <v>1.755583297</v>
      </c>
      <c r="T197" s="20">
        <f t="shared" si="2"/>
        <v>14.80397201</v>
      </c>
      <c r="U197" s="20">
        <f t="shared" si="3"/>
        <v>-26.77777294</v>
      </c>
      <c r="W197" s="20">
        <f>IFERROR(__xludf.DUMMYFUNCTION("iferror(PERCENTRANK.INC(FILTER($S$2:$S$426, $P$2:$P$426&lt;3.75), $S197), 1)"),0.373)</f>
        <v>0.373</v>
      </c>
      <c r="X197" s="20">
        <f>IFERROR(__xludf.DUMMYFUNCTION("iferror(PERCENTRANK.INC(FILTER($S$2:$S$426, $P$2:$P$426&lt;4.5), $S197), 1)"),0.258)</f>
        <v>0.258</v>
      </c>
      <c r="Y197" s="20">
        <f>IFERROR(__xludf.DUMMYFUNCTION("iferror(PERCENTRANK.INC(FILTER($S$2:$S$426, $P$2:$P$426&gt;=4.1), $S197), 0.01)"),0.01)</f>
        <v>0.01</v>
      </c>
    </row>
    <row r="198" ht="14.25" customHeight="1">
      <c r="A198" s="14" t="s">
        <v>1150</v>
      </c>
      <c r="B198" s="14" t="s">
        <v>479</v>
      </c>
      <c r="C198" s="14" t="s">
        <v>954</v>
      </c>
      <c r="D198" s="14" t="s">
        <v>954</v>
      </c>
      <c r="E198" s="14" t="s">
        <v>176</v>
      </c>
      <c r="F198" s="14">
        <v>35.0</v>
      </c>
      <c r="G198" s="14">
        <v>13.0</v>
      </c>
      <c r="H198" s="14">
        <v>226.0</v>
      </c>
      <c r="I198" s="14">
        <v>17.4</v>
      </c>
      <c r="J198" s="14">
        <v>2.0</v>
      </c>
      <c r="K198" s="20">
        <v>6.742803057031067</v>
      </c>
      <c r="L198" s="20">
        <v>50.17806247939071</v>
      </c>
      <c r="M198" s="15"/>
      <c r="N198" s="20">
        <v>6.742803057031067</v>
      </c>
      <c r="O198" s="14">
        <v>2.69</v>
      </c>
      <c r="R198" s="20">
        <f t="array" ref="R198">XLOOKUP(E198, 'Conference Match'!$A$2:$A$40,'Conference Match'!$C$2:$C$40)</f>
        <v>0.9</v>
      </c>
      <c r="S198" s="20">
        <f t="shared" si="1"/>
        <v>1.75170455</v>
      </c>
      <c r="T198" s="20">
        <f t="shared" si="2"/>
        <v>14.72914517</v>
      </c>
      <c r="U198" s="20">
        <f t="shared" si="3"/>
        <v>-35.44891731</v>
      </c>
      <c r="W198" s="20">
        <f>IFERROR(__xludf.DUMMYFUNCTION("iferror(PERCENTRANK.INC(FILTER($S$2:$S$426, $P$2:$P$426&lt;3.75), $S198), 1)"),0.366)</f>
        <v>0.366</v>
      </c>
      <c r="X198" s="20">
        <f>IFERROR(__xludf.DUMMYFUNCTION("iferror(PERCENTRANK.INC(FILTER($S$2:$S$426, $P$2:$P$426&lt;4.5), $S198), 1)"),0.253)</f>
        <v>0.253</v>
      </c>
      <c r="Y198" s="20">
        <f>IFERROR(__xludf.DUMMYFUNCTION("iferror(PERCENTRANK.INC(FILTER($S$2:$S$426, $P$2:$P$426&gt;=4.1), $S198), 0.01)"),0.01)</f>
        <v>0.01</v>
      </c>
    </row>
    <row r="199" ht="14.25" customHeight="1">
      <c r="A199" s="14" t="s">
        <v>1151</v>
      </c>
      <c r="B199" s="14" t="s">
        <v>140</v>
      </c>
      <c r="C199" s="14" t="s">
        <v>954</v>
      </c>
      <c r="D199" s="14" t="s">
        <v>954</v>
      </c>
      <c r="E199" s="14" t="s">
        <v>141</v>
      </c>
      <c r="F199" s="14">
        <v>39.0</v>
      </c>
      <c r="G199" s="14">
        <v>26.0</v>
      </c>
      <c r="H199" s="14">
        <v>412.0</v>
      </c>
      <c r="I199" s="14">
        <v>15.8</v>
      </c>
      <c r="J199" s="14">
        <v>3.0</v>
      </c>
      <c r="K199" s="20">
        <v>7.0641847320168</v>
      </c>
      <c r="L199" s="20">
        <v>53.10118818046281</v>
      </c>
      <c r="M199" s="15"/>
      <c r="N199" s="20">
        <v>7.0641847320168</v>
      </c>
      <c r="O199" s="14">
        <v>2.39</v>
      </c>
      <c r="R199" s="20">
        <f t="array" ref="R199">XLOOKUP(E199, 'Conference Match'!$A$2:$A$40,'Conference Match'!$C$2:$C$40)</f>
        <v>0.9</v>
      </c>
      <c r="S199" s="20">
        <f t="shared" si="1"/>
        <v>1.749553252</v>
      </c>
      <c r="T199" s="20">
        <f t="shared" si="2"/>
        <v>14.6876434</v>
      </c>
      <c r="U199" s="20">
        <f t="shared" si="3"/>
        <v>-38.41354478</v>
      </c>
      <c r="W199" s="20">
        <f>IFERROR(__xludf.DUMMYFUNCTION("iferror(PERCENTRANK.INC(FILTER($S$2:$S$426, $P$2:$P$426&lt;3.75), $S199), 1)"),0.359)</f>
        <v>0.359</v>
      </c>
      <c r="X199" s="20">
        <f>IFERROR(__xludf.DUMMYFUNCTION("iferror(PERCENTRANK.INC(FILTER($S$2:$S$426, $P$2:$P$426&lt;4.5), $S199), 1)"),0.249)</f>
        <v>0.249</v>
      </c>
      <c r="Y199" s="20">
        <f>IFERROR(__xludf.DUMMYFUNCTION("iferror(PERCENTRANK.INC(FILTER($S$2:$S$426, $P$2:$P$426&gt;=4.1), $S199), 0.01)"),0.01)</f>
        <v>0.01</v>
      </c>
    </row>
    <row r="200" ht="14.25" customHeight="1">
      <c r="A200" s="14" t="s">
        <v>1152</v>
      </c>
      <c r="B200" s="14" t="s">
        <v>539</v>
      </c>
      <c r="C200" s="14" t="s">
        <v>954</v>
      </c>
      <c r="D200" s="14" t="s">
        <v>954</v>
      </c>
      <c r="E200" s="14" t="s">
        <v>176</v>
      </c>
      <c r="F200" s="14">
        <v>40.0</v>
      </c>
      <c r="G200" s="14">
        <v>29.0</v>
      </c>
      <c r="H200" s="14">
        <v>356.0</v>
      </c>
      <c r="I200" s="14">
        <v>12.3</v>
      </c>
      <c r="J200" s="14">
        <v>2.0</v>
      </c>
      <c r="K200" s="20">
        <v>5.846000223346508</v>
      </c>
      <c r="L200" s="20">
        <v>42.021195999514426</v>
      </c>
      <c r="M200" s="15"/>
      <c r="N200" s="20">
        <v>5.846000223346508</v>
      </c>
      <c r="O200" s="14">
        <v>3.45</v>
      </c>
      <c r="R200" s="20">
        <f t="array" ref="R200">XLOOKUP(E200, 'Conference Match'!$A$2:$A$40,'Conference Match'!$C$2:$C$40)</f>
        <v>0.9</v>
      </c>
      <c r="S200" s="20">
        <f t="shared" si="1"/>
        <v>1.74228004</v>
      </c>
      <c r="T200" s="20">
        <f t="shared" si="2"/>
        <v>14.54733227</v>
      </c>
      <c r="U200" s="20">
        <f t="shared" si="3"/>
        <v>-27.47386373</v>
      </c>
      <c r="W200" s="20">
        <f>IFERROR(__xludf.DUMMYFUNCTION("iferror(PERCENTRANK.INC(FILTER($S$2:$S$426, $P$2:$P$426&lt;3.75), $S200), 1)"),0.353)</f>
        <v>0.353</v>
      </c>
      <c r="X200" s="20">
        <f>IFERROR(__xludf.DUMMYFUNCTION("iferror(PERCENTRANK.INC(FILTER($S$2:$S$426, $P$2:$P$426&lt;4.5), $S200), 1)"),0.244)</f>
        <v>0.244</v>
      </c>
      <c r="Y200" s="20">
        <f>IFERROR(__xludf.DUMMYFUNCTION("iferror(PERCENTRANK.INC(FILTER($S$2:$S$426, $P$2:$P$426&gt;=4.1), $S200), 0.01)"),0.01)</f>
        <v>0.01</v>
      </c>
    </row>
    <row r="201" ht="14.25" customHeight="1">
      <c r="A201" s="14" t="s">
        <v>1153</v>
      </c>
      <c r="B201" s="14" t="s">
        <v>309</v>
      </c>
      <c r="C201" s="14" t="s">
        <v>954</v>
      </c>
      <c r="D201" s="14" t="s">
        <v>954</v>
      </c>
      <c r="E201" s="14" t="s">
        <v>176</v>
      </c>
      <c r="F201" s="14">
        <v>22.0</v>
      </c>
      <c r="G201" s="14">
        <v>13.0</v>
      </c>
      <c r="H201" s="14">
        <v>236.0</v>
      </c>
      <c r="I201" s="14">
        <v>18.1</v>
      </c>
      <c r="J201" s="14">
        <v>2.0</v>
      </c>
      <c r="K201" s="20">
        <v>7.242877521029749</v>
      </c>
      <c r="L201" s="20">
        <v>54.72648770690032</v>
      </c>
      <c r="M201" s="15"/>
      <c r="N201" s="20">
        <v>7.242877521029749</v>
      </c>
      <c r="O201" s="14">
        <v>2.15</v>
      </c>
      <c r="R201" s="20">
        <f t="array" ref="R201">XLOOKUP(E201, 'Conference Match'!$A$2:$A$40,'Conference Match'!$C$2:$C$40)</f>
        <v>0.9</v>
      </c>
      <c r="S201" s="20">
        <f t="shared" si="1"/>
        <v>1.733717954</v>
      </c>
      <c r="T201" s="20">
        <f t="shared" si="2"/>
        <v>14.38215681</v>
      </c>
      <c r="U201" s="20">
        <f t="shared" si="3"/>
        <v>-40.34433089</v>
      </c>
      <c r="W201" s="20">
        <f>IFERROR(__xludf.DUMMYFUNCTION("iferror(PERCENTRANK.INC(FILTER($S$2:$S$426, $P$2:$P$426&lt;3.75), $S201), 1)"),0.346)</f>
        <v>0.346</v>
      </c>
      <c r="X201" s="20">
        <f>IFERROR(__xludf.DUMMYFUNCTION("iferror(PERCENTRANK.INC(FILTER($S$2:$S$426, $P$2:$P$426&lt;4.5), $S201), 1)"),0.24)</f>
        <v>0.24</v>
      </c>
      <c r="Y201" s="20">
        <f>IFERROR(__xludf.DUMMYFUNCTION("iferror(PERCENTRANK.INC(FILTER($S$2:$S$426, $P$2:$P$426&gt;=4.1), $S201), 0.01)"),0.01)</f>
        <v>0.01</v>
      </c>
    </row>
    <row r="202" ht="14.25" customHeight="1">
      <c r="A202" s="14" t="s">
        <v>1154</v>
      </c>
      <c r="B202" s="14" t="s">
        <v>132</v>
      </c>
      <c r="C202" s="14" t="s">
        <v>954</v>
      </c>
      <c r="D202" s="14" t="s">
        <v>954</v>
      </c>
      <c r="E202" s="14" t="s">
        <v>111</v>
      </c>
      <c r="F202" s="14">
        <v>38.0</v>
      </c>
      <c r="G202" s="14">
        <v>18.0</v>
      </c>
      <c r="H202" s="14">
        <v>218.0</v>
      </c>
      <c r="I202" s="14">
        <v>12.1</v>
      </c>
      <c r="J202" s="14">
        <v>4.0</v>
      </c>
      <c r="K202" s="20">
        <v>5.79935183930327</v>
      </c>
      <c r="L202" s="20">
        <v>41.596905814592326</v>
      </c>
      <c r="M202" s="15"/>
      <c r="N202" s="20">
        <v>5.79935183930327</v>
      </c>
      <c r="O202" s="14">
        <v>3.3</v>
      </c>
      <c r="R202" s="20">
        <f t="array" ref="R202">XLOOKUP(E202, 'Conference Match'!$A$2:$A$40,'Conference Match'!$C$2:$C$40)</f>
        <v>0.9</v>
      </c>
      <c r="S202" s="20">
        <f t="shared" si="1"/>
        <v>1.703883331</v>
      </c>
      <c r="T202" s="20">
        <f t="shared" si="2"/>
        <v>13.8066023</v>
      </c>
      <c r="U202" s="20">
        <f t="shared" si="3"/>
        <v>-27.79030351</v>
      </c>
      <c r="W202" s="20">
        <f>IFERROR(__xludf.DUMMYFUNCTION("iferror(PERCENTRANK.INC(FILTER($S$2:$S$426, $P$2:$P$426&lt;3.75), $S202), 1)"),0.34)</f>
        <v>0.34</v>
      </c>
      <c r="X202" s="20">
        <f>IFERROR(__xludf.DUMMYFUNCTION("iferror(PERCENTRANK.INC(FILTER($S$2:$S$426, $P$2:$P$426&lt;4.5), $S202), 1)"),0.235)</f>
        <v>0.235</v>
      </c>
      <c r="Y202" s="20">
        <f>IFERROR(__xludf.DUMMYFUNCTION("iferror(PERCENTRANK.INC(FILTER($S$2:$S$426, $P$2:$P$426&gt;=4.1), $S202), 0.01)"),0.01)</f>
        <v>0.01</v>
      </c>
    </row>
    <row r="203" ht="14.25" customHeight="1">
      <c r="A203" s="14" t="s">
        <v>1155</v>
      </c>
      <c r="B203" s="14" t="s">
        <v>166</v>
      </c>
      <c r="C203" s="14" t="s">
        <v>954</v>
      </c>
      <c r="D203" s="14" t="s">
        <v>954</v>
      </c>
      <c r="E203" s="14" t="s">
        <v>157</v>
      </c>
      <c r="F203" s="14">
        <v>35.0</v>
      </c>
      <c r="G203" s="14">
        <v>27.0</v>
      </c>
      <c r="H203" s="14">
        <v>370.0</v>
      </c>
      <c r="I203" s="14">
        <v>13.7</v>
      </c>
      <c r="J203" s="14">
        <v>1.0</v>
      </c>
      <c r="K203" s="20">
        <v>6.129231628459638</v>
      </c>
      <c r="L203" s="20">
        <v>44.597326078099975</v>
      </c>
      <c r="M203" s="15"/>
      <c r="N203" s="20">
        <v>6.129231628459638</v>
      </c>
      <c r="O203" s="14">
        <v>2.94</v>
      </c>
      <c r="P203" s="16">
        <v>4.09</v>
      </c>
      <c r="Q203" s="16">
        <v>3.5</v>
      </c>
      <c r="R203" s="20">
        <f t="array" ref="R203">XLOOKUP(E203, 'Conference Match'!$A$2:$A$40,'Conference Match'!$C$2:$C$40)</f>
        <v>0.9</v>
      </c>
      <c r="S203" s="20">
        <f t="shared" si="1"/>
        <v>4.086261693</v>
      </c>
      <c r="T203" s="20">
        <f t="shared" si="2"/>
        <v>59.76624555</v>
      </c>
      <c r="U203" s="20">
        <f t="shared" si="3"/>
        <v>15.16891947</v>
      </c>
      <c r="W203" s="20">
        <f>IFERROR(__xludf.DUMMYFUNCTION("iferror(PERCENTRANK.INC(FILTER($S$2:$S$426, $P$2:$P$426&lt;3.75), $S203), 1)"),0.959)</f>
        <v>0.959</v>
      </c>
      <c r="X203" s="20">
        <f>IFERROR(__xludf.DUMMYFUNCTION("iferror(PERCENTRANK.INC(FILTER($S$2:$S$426, $P$2:$P$426&lt;4.5), $S203), 1)"),0.851)</f>
        <v>0.851</v>
      </c>
      <c r="Y203" s="20">
        <f>IFERROR(__xludf.DUMMYFUNCTION("iferror(PERCENTRANK.INC(FILTER($S$2:$S$426, $P$2:$P$426&gt;=4.1), $S203), 0.01)"),0.262)</f>
        <v>0.262</v>
      </c>
    </row>
    <row r="204" ht="14.25" customHeight="1">
      <c r="A204" s="14" t="s">
        <v>1156</v>
      </c>
      <c r="B204" s="14" t="s">
        <v>445</v>
      </c>
      <c r="C204" s="14" t="s">
        <v>954</v>
      </c>
      <c r="D204" s="14" t="s">
        <v>954</v>
      </c>
      <c r="E204" s="14" t="s">
        <v>141</v>
      </c>
      <c r="F204" s="14">
        <v>24.0</v>
      </c>
      <c r="G204" s="14">
        <v>13.0</v>
      </c>
      <c r="H204" s="14">
        <v>216.0</v>
      </c>
      <c r="I204" s="14">
        <v>16.6</v>
      </c>
      <c r="J204" s="14">
        <v>1.0</v>
      </c>
      <c r="K204" s="20">
        <v>6.512023205370538</v>
      </c>
      <c r="L204" s="20">
        <v>48.07900528918705</v>
      </c>
      <c r="M204" s="15"/>
      <c r="N204" s="20">
        <v>6.512023205370538</v>
      </c>
      <c r="O204" s="14">
        <v>2.59</v>
      </c>
      <c r="R204" s="20">
        <f t="array" ref="R204">XLOOKUP(E204, 'Conference Match'!$A$2:$A$40,'Conference Match'!$C$2:$C$40)</f>
        <v>0.9</v>
      </c>
      <c r="S204" s="20">
        <f t="shared" si="1"/>
        <v>1.690164177</v>
      </c>
      <c r="T204" s="20">
        <f t="shared" si="2"/>
        <v>13.54193929</v>
      </c>
      <c r="U204" s="20">
        <f t="shared" si="3"/>
        <v>-34.537066</v>
      </c>
      <c r="W204" s="20">
        <f>IFERROR(__xludf.DUMMYFUNCTION("iferror(PERCENTRANK.INC(FILTER($S$2:$S$426, $P$2:$P$426&lt;3.75), $S204), 1)"),0.333)</f>
        <v>0.333</v>
      </c>
      <c r="X204" s="20">
        <f>IFERROR(__xludf.DUMMYFUNCTION("iferror(PERCENTRANK.INC(FILTER($S$2:$S$426, $P$2:$P$426&lt;4.5), $S204), 1)"),0.231)</f>
        <v>0.231</v>
      </c>
      <c r="Y204" s="20">
        <f>IFERROR(__xludf.DUMMYFUNCTION("iferror(PERCENTRANK.INC(FILTER($S$2:$S$426, $P$2:$P$426&gt;=4.1), $S204), 0.01)"),0.01)</f>
        <v>0.01</v>
      </c>
    </row>
    <row r="205" ht="14.25" customHeight="1">
      <c r="A205" s="14" t="s">
        <v>1157</v>
      </c>
      <c r="B205" s="14" t="s">
        <v>281</v>
      </c>
      <c r="C205" s="14" t="s">
        <v>954</v>
      </c>
      <c r="D205" s="14" t="s">
        <v>954</v>
      </c>
      <c r="E205" s="14" t="s">
        <v>111</v>
      </c>
      <c r="F205" s="14">
        <v>44.0</v>
      </c>
      <c r="G205" s="14">
        <v>30.0</v>
      </c>
      <c r="H205" s="14">
        <v>368.0</v>
      </c>
      <c r="I205" s="14">
        <v>12.3</v>
      </c>
      <c r="J205" s="14">
        <v>3.0</v>
      </c>
      <c r="K205" s="20">
        <v>6.014150053237794</v>
      </c>
      <c r="L205" s="20">
        <v>43.55060208468695</v>
      </c>
      <c r="M205" s="15"/>
      <c r="N205" s="20">
        <v>6.014150053237794</v>
      </c>
      <c r="O205" s="14">
        <v>3.03</v>
      </c>
      <c r="R205" s="20">
        <f t="array" ref="R205">XLOOKUP(E205, 'Conference Match'!$A$2:$A$40,'Conference Match'!$C$2:$C$40)</f>
        <v>0.9</v>
      </c>
      <c r="S205" s="20">
        <f t="shared" si="1"/>
        <v>1.68854701</v>
      </c>
      <c r="T205" s="20">
        <f t="shared" si="2"/>
        <v>13.51074171</v>
      </c>
      <c r="U205" s="20">
        <f t="shared" si="3"/>
        <v>-30.03986037</v>
      </c>
      <c r="W205" s="20">
        <f>IFERROR(__xludf.DUMMYFUNCTION("iferror(PERCENTRANK.INC(FILTER($S$2:$S$426, $P$2:$P$426&lt;3.75), $S205), 1)"),0.327)</f>
        <v>0.327</v>
      </c>
      <c r="X205" s="20">
        <f>IFERROR(__xludf.DUMMYFUNCTION("iferror(PERCENTRANK.INC(FILTER($S$2:$S$426, $P$2:$P$426&lt;4.5), $S205), 1)"),0.226)</f>
        <v>0.226</v>
      </c>
      <c r="Y205" s="20">
        <f>IFERROR(__xludf.DUMMYFUNCTION("iferror(PERCENTRANK.INC(FILTER($S$2:$S$426, $P$2:$P$426&gt;=4.1), $S205), 0.01)"),0.01)</f>
        <v>0.01</v>
      </c>
    </row>
    <row r="206" ht="14.25" customHeight="1">
      <c r="A206" s="14" t="s">
        <v>1158</v>
      </c>
      <c r="B206" s="14" t="s">
        <v>166</v>
      </c>
      <c r="C206" s="14" t="s">
        <v>954</v>
      </c>
      <c r="D206" s="14" t="s">
        <v>954</v>
      </c>
      <c r="E206" s="14" t="s">
        <v>157</v>
      </c>
      <c r="F206" s="14">
        <v>49.0</v>
      </c>
      <c r="G206" s="14">
        <v>30.0</v>
      </c>
      <c r="H206" s="14">
        <v>357.0</v>
      </c>
      <c r="I206" s="14">
        <v>11.9</v>
      </c>
      <c r="J206" s="14">
        <v>4.0</v>
      </c>
      <c r="K206" s="20">
        <v>6.025840704961076</v>
      </c>
      <c r="L206" s="20">
        <v>43.656934359282644</v>
      </c>
      <c r="M206" s="15"/>
      <c r="N206" s="20">
        <v>6.025840704961076</v>
      </c>
      <c r="O206" s="14">
        <v>2.98</v>
      </c>
      <c r="R206" s="20">
        <f t="array" ref="R206">XLOOKUP(E206, 'Conference Match'!$A$2:$A$40,'Conference Match'!$C$2:$C$40)</f>
        <v>0.9</v>
      </c>
      <c r="S206" s="20">
        <f t="shared" si="1"/>
        <v>1.680651327</v>
      </c>
      <c r="T206" s="20">
        <f t="shared" si="2"/>
        <v>13.35842218</v>
      </c>
      <c r="U206" s="20">
        <f t="shared" si="3"/>
        <v>-30.29851218</v>
      </c>
      <c r="W206" s="20">
        <f>IFERROR(__xludf.DUMMYFUNCTION("iferror(PERCENTRANK.INC(FILTER($S$2:$S$426, $P$2:$P$426&lt;3.75), $S206), 1)"),0.32)</f>
        <v>0.32</v>
      </c>
      <c r="X206" s="20">
        <f>IFERROR(__xludf.DUMMYFUNCTION("iferror(PERCENTRANK.INC(FILTER($S$2:$S$426, $P$2:$P$426&lt;4.5), $S206), 1)"),0.222)</f>
        <v>0.222</v>
      </c>
      <c r="Y206" s="20">
        <f>IFERROR(__xludf.DUMMYFUNCTION("iferror(PERCENTRANK.INC(FILTER($S$2:$S$426, $P$2:$P$426&gt;=4.1), $S206), 0.01)"),0.01)</f>
        <v>0.01</v>
      </c>
    </row>
    <row r="207" ht="14.25" customHeight="1">
      <c r="A207" s="14" t="s">
        <v>1159</v>
      </c>
      <c r="B207" s="14" t="s">
        <v>384</v>
      </c>
      <c r="C207" s="14" t="s">
        <v>954</v>
      </c>
      <c r="D207" s="14" t="s">
        <v>954</v>
      </c>
      <c r="E207" s="14" t="s">
        <v>111</v>
      </c>
      <c r="F207" s="14">
        <v>47.0</v>
      </c>
      <c r="G207" s="14">
        <v>22.0</v>
      </c>
      <c r="H207" s="14">
        <v>312.0</v>
      </c>
      <c r="I207" s="14">
        <v>14.2</v>
      </c>
      <c r="J207" s="14">
        <v>2.0</v>
      </c>
      <c r="K207" s="20">
        <v>6.08577141764755</v>
      </c>
      <c r="L207" s="20">
        <v>44.20203390966983</v>
      </c>
      <c r="M207" s="15"/>
      <c r="N207" s="20">
        <v>6.08577141764755</v>
      </c>
      <c r="O207" s="14">
        <v>2.9</v>
      </c>
      <c r="R207" s="20">
        <f t="array" ref="R207">XLOOKUP(E207, 'Conference Match'!$A$2:$A$40,'Conference Match'!$C$2:$C$40)</f>
        <v>0.9</v>
      </c>
      <c r="S207" s="20">
        <f t="shared" si="1"/>
        <v>1.675438855</v>
      </c>
      <c r="T207" s="20">
        <f t="shared" si="2"/>
        <v>13.2578658</v>
      </c>
      <c r="U207" s="20">
        <f t="shared" si="3"/>
        <v>-30.94416811</v>
      </c>
      <c r="W207" s="20">
        <f>IFERROR(__xludf.DUMMYFUNCTION("iferror(PERCENTRANK.INC(FILTER($S$2:$S$426, $P$2:$P$426&lt;3.75), $S207), 1)"),0.314)</f>
        <v>0.314</v>
      </c>
      <c r="X207" s="20">
        <f>IFERROR(__xludf.DUMMYFUNCTION("iferror(PERCENTRANK.INC(FILTER($S$2:$S$426, $P$2:$P$426&lt;4.5), $S207), 1)"),0.217)</f>
        <v>0.217</v>
      </c>
      <c r="Y207" s="20">
        <f>IFERROR(__xludf.DUMMYFUNCTION("iferror(PERCENTRANK.INC(FILTER($S$2:$S$426, $P$2:$P$426&gt;=4.1), $S207), 0.01)"),0.01)</f>
        <v>0.01</v>
      </c>
    </row>
    <row r="208" ht="14.25" customHeight="1">
      <c r="A208" s="14" t="s">
        <v>1160</v>
      </c>
      <c r="B208" s="14" t="s">
        <v>377</v>
      </c>
      <c r="C208" s="14" t="s">
        <v>954</v>
      </c>
      <c r="D208" s="14" t="s">
        <v>954</v>
      </c>
      <c r="E208" s="14" t="s">
        <v>141</v>
      </c>
      <c r="F208" s="14">
        <v>33.0</v>
      </c>
      <c r="G208" s="14">
        <v>22.0</v>
      </c>
      <c r="H208" s="14">
        <v>335.0</v>
      </c>
      <c r="I208" s="14">
        <v>15.2</v>
      </c>
      <c r="J208" s="14">
        <v>4.0</v>
      </c>
      <c r="K208" s="20">
        <v>7.016044365433839</v>
      </c>
      <c r="L208" s="20">
        <v>52.66332767449609</v>
      </c>
      <c r="M208" s="15"/>
      <c r="N208" s="20">
        <v>7.016044365433839</v>
      </c>
      <c r="O208" s="14">
        <v>2.04</v>
      </c>
      <c r="R208" s="20">
        <f t="array" ref="R208">XLOOKUP(E208, 'Conference Match'!$A$2:$A$40,'Conference Match'!$C$2:$C$40)</f>
        <v>0.9</v>
      </c>
      <c r="S208" s="20">
        <f t="shared" si="1"/>
        <v>1.670887986</v>
      </c>
      <c r="T208" s="20">
        <f t="shared" si="2"/>
        <v>13.17007272</v>
      </c>
      <c r="U208" s="20">
        <f t="shared" si="3"/>
        <v>-39.49325495</v>
      </c>
      <c r="W208" s="20">
        <f>IFERROR(__xludf.DUMMYFUNCTION("iferror(PERCENTRANK.INC(FILTER($S$2:$S$426, $P$2:$P$426&lt;3.75), $S208), 1)"),0.307)</f>
        <v>0.307</v>
      </c>
      <c r="X208" s="20">
        <f>IFERROR(__xludf.DUMMYFUNCTION("iferror(PERCENTRANK.INC(FILTER($S$2:$S$426, $P$2:$P$426&lt;4.5), $S208), 1)"),0.213)</f>
        <v>0.213</v>
      </c>
      <c r="Y208" s="20">
        <f>IFERROR(__xludf.DUMMYFUNCTION("iferror(PERCENTRANK.INC(FILTER($S$2:$S$426, $P$2:$P$426&gt;=4.1), $S208), 0.01)"),0.01)</f>
        <v>0.01</v>
      </c>
    </row>
    <row r="209" ht="14.25" customHeight="1">
      <c r="A209" s="14" t="s">
        <v>1161</v>
      </c>
      <c r="B209" s="14" t="s">
        <v>533</v>
      </c>
      <c r="C209" s="14" t="s">
        <v>954</v>
      </c>
      <c r="D209" s="14" t="s">
        <v>954</v>
      </c>
      <c r="E209" s="14" t="s">
        <v>135</v>
      </c>
      <c r="F209" s="14">
        <v>19.0</v>
      </c>
      <c r="G209" s="14">
        <v>9.0</v>
      </c>
      <c r="H209" s="14">
        <v>154.0</v>
      </c>
      <c r="I209" s="14">
        <v>17.1</v>
      </c>
      <c r="J209" s="14">
        <v>0.0</v>
      </c>
      <c r="K209" s="20">
        <v>6.25245366416495</v>
      </c>
      <c r="L209" s="20">
        <v>45.7180915963101</v>
      </c>
      <c r="M209" s="15"/>
      <c r="N209" s="20">
        <v>6.25245366416495</v>
      </c>
      <c r="O209" s="14">
        <v>2.68</v>
      </c>
      <c r="R209" s="20">
        <f t="array" ref="R209">XLOOKUP(E209, 'Conference Match'!$A$2:$A$40,'Conference Match'!$C$2:$C$40)</f>
        <v>0.9</v>
      </c>
      <c r="S209" s="20">
        <f t="shared" si="1"/>
        <v>1.66144166</v>
      </c>
      <c r="T209" s="20">
        <f t="shared" si="2"/>
        <v>12.98783895</v>
      </c>
      <c r="U209" s="20">
        <f t="shared" si="3"/>
        <v>-32.73025264</v>
      </c>
      <c r="W209" s="20">
        <f>IFERROR(__xludf.DUMMYFUNCTION("iferror(PERCENTRANK.INC(FILTER($S$2:$S$426, $P$2:$P$426&lt;3.75), $S209), 1)"),0.301)</f>
        <v>0.301</v>
      </c>
      <c r="X209" s="20">
        <f>IFERROR(__xludf.DUMMYFUNCTION("iferror(PERCENTRANK.INC(FILTER($S$2:$S$426, $P$2:$P$426&lt;4.5), $S209), 1)"),0.208)</f>
        <v>0.208</v>
      </c>
      <c r="Y209" s="20">
        <f>IFERROR(__xludf.DUMMYFUNCTION("iferror(PERCENTRANK.INC(FILTER($S$2:$S$426, $P$2:$P$426&gt;=4.1), $S209), 0.01)"),0.01)</f>
        <v>0.01</v>
      </c>
    </row>
    <row r="210" ht="14.25" customHeight="1">
      <c r="A210" s="14" t="s">
        <v>1162</v>
      </c>
      <c r="B210" s="14" t="s">
        <v>200</v>
      </c>
      <c r="C210" s="14" t="s">
        <v>954</v>
      </c>
      <c r="D210" s="14" t="s">
        <v>954</v>
      </c>
      <c r="E210" s="14" t="s">
        <v>105</v>
      </c>
      <c r="F210" s="14">
        <v>40.0</v>
      </c>
      <c r="G210" s="14">
        <v>29.0</v>
      </c>
      <c r="H210" s="14">
        <v>348.0</v>
      </c>
      <c r="I210" s="14">
        <v>12.0</v>
      </c>
      <c r="J210" s="14">
        <v>3.0</v>
      </c>
      <c r="K210" s="20">
        <v>5.951000223346508</v>
      </c>
      <c r="L210" s="20">
        <v>42.97622306702285</v>
      </c>
      <c r="M210" s="15"/>
      <c r="N210" s="20">
        <v>5.951000223346508</v>
      </c>
      <c r="O210" s="14">
        <v>2.92</v>
      </c>
      <c r="R210" s="20">
        <f t="array" ref="R210">XLOOKUP(E210, 'Conference Match'!$A$2:$A$40,'Conference Match'!$C$2:$C$40)</f>
        <v>0.9</v>
      </c>
      <c r="S210" s="20">
        <f t="shared" si="1"/>
        <v>1.65518004</v>
      </c>
      <c r="T210" s="20">
        <f t="shared" si="2"/>
        <v>12.86704295</v>
      </c>
      <c r="U210" s="20">
        <f t="shared" si="3"/>
        <v>-30.10918012</v>
      </c>
      <c r="W210" s="20">
        <f>IFERROR(__xludf.DUMMYFUNCTION("iferror(PERCENTRANK.INC(FILTER($S$2:$S$426, $P$2:$P$426&lt;3.75), $S210), 1)"),0.294)</f>
        <v>0.294</v>
      </c>
      <c r="X210" s="20">
        <f>IFERROR(__xludf.DUMMYFUNCTION("iferror(PERCENTRANK.INC(FILTER($S$2:$S$426, $P$2:$P$426&lt;4.5), $S210), 1)"),0.204)</f>
        <v>0.204</v>
      </c>
      <c r="Y210" s="20">
        <f>IFERROR(__xludf.DUMMYFUNCTION("iferror(PERCENTRANK.INC(FILTER($S$2:$S$426, $P$2:$P$426&gt;=4.1), $S210), 0.01)"),0.01)</f>
        <v>0.01</v>
      </c>
    </row>
    <row r="211" ht="14.25" customHeight="1">
      <c r="A211" s="14" t="s">
        <v>1163</v>
      </c>
      <c r="B211" s="14" t="s">
        <v>333</v>
      </c>
      <c r="C211" s="14">
        <v>2.0</v>
      </c>
      <c r="D211" s="14" t="s">
        <v>954</v>
      </c>
      <c r="E211" s="14" t="s">
        <v>149</v>
      </c>
      <c r="F211" s="14">
        <v>38.0</v>
      </c>
      <c r="G211" s="14">
        <v>19.0</v>
      </c>
      <c r="H211" s="14">
        <v>263.0</v>
      </c>
      <c r="I211" s="14">
        <v>13.8</v>
      </c>
      <c r="J211" s="14">
        <v>1.0</v>
      </c>
      <c r="K211" s="20">
        <v>5.749351839303272</v>
      </c>
      <c r="L211" s="20">
        <v>45.24768276632236</v>
      </c>
      <c r="M211" s="15"/>
      <c r="N211" s="20">
        <v>5.749351839303272</v>
      </c>
      <c r="O211" s="14">
        <v>2.81</v>
      </c>
      <c r="R211" s="20">
        <f t="array" ref="R211">XLOOKUP(E211, 'Conference Match'!$A$2:$A$40,'Conference Match'!$C$2:$C$40)</f>
        <v>0.95</v>
      </c>
      <c r="S211" s="20">
        <f t="shared" si="1"/>
        <v>1.654376849</v>
      </c>
      <c r="T211" s="20">
        <f t="shared" si="2"/>
        <v>12.8515482</v>
      </c>
      <c r="U211" s="20">
        <f t="shared" si="3"/>
        <v>-32.39613457</v>
      </c>
      <c r="W211" s="20">
        <f>IFERROR(__xludf.DUMMYFUNCTION("iferror(PERCENTRANK.INC(FILTER($S$2:$S$426, $P$2:$P$426&lt;3.75), $S211), 1)"),0.288)</f>
        <v>0.288</v>
      </c>
      <c r="X211" s="20">
        <f>IFERROR(__xludf.DUMMYFUNCTION("iferror(PERCENTRANK.INC(FILTER($S$2:$S$426, $P$2:$P$426&lt;4.5), $S211), 1)"),0.199)</f>
        <v>0.199</v>
      </c>
      <c r="Y211" s="20">
        <f>IFERROR(__xludf.DUMMYFUNCTION("iferror(PERCENTRANK.INC(FILTER($S$2:$S$426, $P$2:$P$426&gt;=4.1), $S211), 0.01)"),0.01)</f>
        <v>0.01</v>
      </c>
    </row>
    <row r="212" ht="14.25" customHeight="1">
      <c r="A212" s="14" t="s">
        <v>1164</v>
      </c>
      <c r="B212" s="14" t="s">
        <v>507</v>
      </c>
      <c r="C212" s="14">
        <v>0.0</v>
      </c>
      <c r="D212" s="14" t="s">
        <v>954</v>
      </c>
      <c r="E212" s="14" t="s">
        <v>508</v>
      </c>
      <c r="F212" s="14">
        <v>40.0</v>
      </c>
      <c r="G212" s="14">
        <v>33.0</v>
      </c>
      <c r="H212" s="14">
        <v>360.0</v>
      </c>
      <c r="I212" s="14">
        <v>10.9</v>
      </c>
      <c r="J212" s="14">
        <v>2.0</v>
      </c>
      <c r="K212" s="20">
        <v>5.531000223346508</v>
      </c>
      <c r="L212" s="20">
        <v>42.63799168236253</v>
      </c>
      <c r="M212" s="15"/>
      <c r="N212" s="20">
        <v>5.531000223346508</v>
      </c>
      <c r="O212" s="14">
        <v>3.01</v>
      </c>
      <c r="R212" s="20">
        <f t="array" ref="R212">XLOOKUP(E212, 'Conference Match'!$A$2:$A$40,'Conference Match'!$C$2:$C$40)</f>
        <v>0.95</v>
      </c>
      <c r="S212" s="20">
        <f t="shared" si="1"/>
        <v>1.652890042</v>
      </c>
      <c r="T212" s="20">
        <f t="shared" si="2"/>
        <v>12.82286546</v>
      </c>
      <c r="U212" s="20">
        <f t="shared" si="3"/>
        <v>-29.81512622</v>
      </c>
      <c r="W212" s="20">
        <f>IFERROR(__xludf.DUMMYFUNCTION("iferror(PERCENTRANK.INC(FILTER($S$2:$S$426, $P$2:$P$426&lt;3.75), $S212), 1)"),0.281)</f>
        <v>0.281</v>
      </c>
      <c r="X212" s="20">
        <f>IFERROR(__xludf.DUMMYFUNCTION("iferror(PERCENTRANK.INC(FILTER($S$2:$S$426, $P$2:$P$426&lt;4.5), $S212), 1)"),0.195)</f>
        <v>0.195</v>
      </c>
      <c r="Y212" s="20">
        <f>IFERROR(__xludf.DUMMYFUNCTION("iferror(PERCENTRANK.INC(FILTER($S$2:$S$426, $P$2:$P$426&gt;=4.1), $S212), 0.01)"),0.01)</f>
        <v>0.01</v>
      </c>
    </row>
    <row r="213" ht="14.25" customHeight="1">
      <c r="A213" s="14" t="s">
        <v>1165</v>
      </c>
      <c r="B213" s="14" t="s">
        <v>1131</v>
      </c>
      <c r="C213" s="14" t="s">
        <v>954</v>
      </c>
      <c r="D213" s="14" t="s">
        <v>954</v>
      </c>
      <c r="E213" s="14" t="s">
        <v>209</v>
      </c>
      <c r="F213" s="14">
        <v>67.0</v>
      </c>
      <c r="G213" s="14">
        <v>39.0</v>
      </c>
      <c r="H213" s="14">
        <v>487.0</v>
      </c>
      <c r="I213" s="14">
        <v>12.5</v>
      </c>
      <c r="J213" s="14">
        <v>2.0</v>
      </c>
      <c r="K213" s="20">
        <v>5.874215756513131</v>
      </c>
      <c r="L213" s="20">
        <v>42.277830265212586</v>
      </c>
      <c r="M213" s="15"/>
      <c r="N213" s="20">
        <v>5.874215756513131</v>
      </c>
      <c r="O213" s="14">
        <v>2.96</v>
      </c>
      <c r="R213" s="20">
        <f t="array" ref="R213">XLOOKUP(E213, 'Conference Match'!$A$2:$A$40,'Conference Match'!$C$2:$C$40)</f>
        <v>0.9</v>
      </c>
      <c r="S213" s="20">
        <f t="shared" si="1"/>
        <v>1.649358836</v>
      </c>
      <c r="T213" s="20">
        <f t="shared" si="2"/>
        <v>12.75474321</v>
      </c>
      <c r="U213" s="20">
        <f t="shared" si="3"/>
        <v>-29.52308705</v>
      </c>
      <c r="W213" s="20">
        <f>IFERROR(__xludf.DUMMYFUNCTION("iferror(PERCENTRANK.INC(FILTER($S$2:$S$426, $P$2:$P$426&lt;3.75), $S213), 1)"),0.275)</f>
        <v>0.275</v>
      </c>
      <c r="X213" s="20">
        <f>IFERROR(__xludf.DUMMYFUNCTION("iferror(PERCENTRANK.INC(FILTER($S$2:$S$426, $P$2:$P$426&lt;4.5), $S213), 1)"),0.19)</f>
        <v>0.19</v>
      </c>
      <c r="Y213" s="20">
        <f>IFERROR(__xludf.DUMMYFUNCTION("iferror(PERCENTRANK.INC(FILTER($S$2:$S$426, $P$2:$P$426&gt;=4.1), $S213), 0.01)"),0.01)</f>
        <v>0.01</v>
      </c>
    </row>
    <row r="214" ht="14.25" customHeight="1">
      <c r="A214" s="14" t="s">
        <v>1166</v>
      </c>
      <c r="B214" s="14" t="s">
        <v>166</v>
      </c>
      <c r="C214" s="14" t="s">
        <v>954</v>
      </c>
      <c r="D214" s="14" t="s">
        <v>954</v>
      </c>
      <c r="E214" s="14" t="s">
        <v>157</v>
      </c>
      <c r="F214" s="14">
        <v>58.0</v>
      </c>
      <c r="G214" s="14">
        <v>44.0</v>
      </c>
      <c r="H214" s="14">
        <v>466.0</v>
      </c>
      <c r="I214" s="14">
        <v>10.6</v>
      </c>
      <c r="J214" s="14">
        <v>6.0</v>
      </c>
      <c r="K214" s="20">
        <v>6.270241553642864</v>
      </c>
      <c r="L214" s="20">
        <v>45.87988127178873</v>
      </c>
      <c r="M214" s="15"/>
      <c r="N214" s="20">
        <v>6.270241553642864</v>
      </c>
      <c r="O214" s="14">
        <v>2.46</v>
      </c>
      <c r="R214" s="20">
        <f t="array" ref="R214">XLOOKUP(E214, 'Conference Match'!$A$2:$A$40,'Conference Match'!$C$2:$C$40)</f>
        <v>0.9</v>
      </c>
      <c r="S214" s="20">
        <f t="shared" si="1"/>
        <v>1.62064348</v>
      </c>
      <c r="T214" s="20">
        <f t="shared" si="2"/>
        <v>12.20078102</v>
      </c>
      <c r="U214" s="20">
        <f t="shared" si="3"/>
        <v>-33.67910025</v>
      </c>
      <c r="W214" s="20">
        <f>IFERROR(__xludf.DUMMYFUNCTION("iferror(PERCENTRANK.INC(FILTER($S$2:$S$426, $P$2:$P$426&lt;3.75), $S214), 1)"),0.268)</f>
        <v>0.268</v>
      </c>
      <c r="X214" s="20">
        <f>IFERROR(__xludf.DUMMYFUNCTION("iferror(PERCENTRANK.INC(FILTER($S$2:$S$426, $P$2:$P$426&lt;4.5), $S214), 1)"),0.186)</f>
        <v>0.186</v>
      </c>
      <c r="Y214" s="20">
        <f>IFERROR(__xludf.DUMMYFUNCTION("iferror(PERCENTRANK.INC(FILTER($S$2:$S$426, $P$2:$P$426&gt;=4.1), $S214), 0.01)"),0.01)</f>
        <v>0.01</v>
      </c>
    </row>
    <row r="215" ht="14.25" customHeight="1">
      <c r="A215" s="14" t="s">
        <v>1167</v>
      </c>
      <c r="B215" s="14" t="s">
        <v>662</v>
      </c>
      <c r="C215" s="14" t="s">
        <v>954</v>
      </c>
      <c r="D215" s="14" t="s">
        <v>954</v>
      </c>
      <c r="E215" s="14" t="s">
        <v>135</v>
      </c>
      <c r="F215" s="14">
        <v>32.0</v>
      </c>
      <c r="G215" s="14">
        <v>19.0</v>
      </c>
      <c r="H215" s="14">
        <v>230.0</v>
      </c>
      <c r="I215" s="14">
        <v>12.1</v>
      </c>
      <c r="J215" s="14">
        <v>4.0</v>
      </c>
      <c r="K215" s="20">
        <v>5.915965146513268</v>
      </c>
      <c r="L215" s="20">
        <v>42.65756166999445</v>
      </c>
      <c r="M215" s="15"/>
      <c r="N215" s="20">
        <v>5.915965146513268</v>
      </c>
      <c r="O215" s="14">
        <v>2.76</v>
      </c>
      <c r="R215" s="20">
        <f t="array" ref="R215">XLOOKUP(E215, 'Conference Match'!$A$2:$A$40,'Conference Match'!$C$2:$C$40)</f>
        <v>0.9</v>
      </c>
      <c r="S215" s="20">
        <f t="shared" si="1"/>
        <v>1.616873726</v>
      </c>
      <c r="T215" s="20">
        <f t="shared" si="2"/>
        <v>12.12805684</v>
      </c>
      <c r="U215" s="20">
        <f t="shared" si="3"/>
        <v>-30.52950483</v>
      </c>
      <c r="W215" s="20">
        <f>IFERROR(__xludf.DUMMYFUNCTION("iferror(PERCENTRANK.INC(FILTER($S$2:$S$426, $P$2:$P$426&lt;3.75), $S215), 1)"),0.261)</f>
        <v>0.261</v>
      </c>
      <c r="X215" s="20">
        <f>IFERROR(__xludf.DUMMYFUNCTION("iferror(PERCENTRANK.INC(FILTER($S$2:$S$426, $P$2:$P$426&lt;4.5), $S215), 1)"),0.181)</f>
        <v>0.181</v>
      </c>
      <c r="Y215" s="20">
        <f>IFERROR(__xludf.DUMMYFUNCTION("iferror(PERCENTRANK.INC(FILTER($S$2:$S$426, $P$2:$P$426&gt;=4.1), $S215), 0.01)"),0.01)</f>
        <v>0.01</v>
      </c>
    </row>
    <row r="216" ht="14.25" customHeight="1">
      <c r="A216" s="14" t="s">
        <v>1168</v>
      </c>
      <c r="B216" s="14" t="s">
        <v>373</v>
      </c>
      <c r="C216" s="14" t="s">
        <v>954</v>
      </c>
      <c r="D216" s="14" t="s">
        <v>954</v>
      </c>
      <c r="E216" s="14" t="s">
        <v>176</v>
      </c>
      <c r="F216" s="14">
        <v>26.0</v>
      </c>
      <c r="G216" s="14">
        <v>16.0</v>
      </c>
      <c r="H216" s="14">
        <v>272.0</v>
      </c>
      <c r="I216" s="14">
        <v>17.0</v>
      </c>
      <c r="J216" s="14">
        <v>0.0</v>
      </c>
      <c r="K216" s="20">
        <v>6.6035429031015145</v>
      </c>
      <c r="L216" s="20">
        <v>48.9114223229325</v>
      </c>
      <c r="M216" s="15"/>
      <c r="N216" s="20">
        <v>6.6035429031015145</v>
      </c>
      <c r="O216" s="14">
        <v>2.09</v>
      </c>
      <c r="R216" s="20">
        <f t="array" ref="R216">XLOOKUP(E216, 'Conference Match'!$A$2:$A$40,'Conference Match'!$C$2:$C$40)</f>
        <v>0.9</v>
      </c>
      <c r="S216" s="20">
        <f t="shared" si="1"/>
        <v>1.606637723</v>
      </c>
      <c r="T216" s="20">
        <f t="shared" si="2"/>
        <v>11.93058901</v>
      </c>
      <c r="U216" s="20">
        <f t="shared" si="3"/>
        <v>-36.98083331</v>
      </c>
      <c r="W216" s="20">
        <f>IFERROR(__xludf.DUMMYFUNCTION("iferror(PERCENTRANK.INC(FILTER($S$2:$S$426, $P$2:$P$426&lt;3.75), $S216), 1)"),0.255)</f>
        <v>0.255</v>
      </c>
      <c r="X216" s="20">
        <f>IFERROR(__xludf.DUMMYFUNCTION("iferror(PERCENTRANK.INC(FILTER($S$2:$S$426, $P$2:$P$426&lt;4.5), $S216), 1)"),0.176)</f>
        <v>0.176</v>
      </c>
      <c r="Y216" s="20">
        <f>IFERROR(__xludf.DUMMYFUNCTION("iferror(PERCENTRANK.INC(FILTER($S$2:$S$426, $P$2:$P$426&gt;=4.1), $S216), 0.01)"),0.01)</f>
        <v>0.01</v>
      </c>
    </row>
    <row r="217" ht="14.25" customHeight="1">
      <c r="A217" s="14" t="s">
        <v>1169</v>
      </c>
      <c r="B217" s="14" t="s">
        <v>572</v>
      </c>
      <c r="C217" s="14">
        <v>0.0</v>
      </c>
      <c r="D217" s="14" t="s">
        <v>954</v>
      </c>
      <c r="E217" s="14" t="s">
        <v>120</v>
      </c>
      <c r="F217" s="14">
        <v>26.0</v>
      </c>
      <c r="G217" s="14">
        <v>15.0</v>
      </c>
      <c r="H217" s="14">
        <v>198.0</v>
      </c>
      <c r="I217" s="14">
        <v>13.2</v>
      </c>
      <c r="J217" s="14">
        <v>3.0</v>
      </c>
      <c r="K217" s="20">
        <v>5.959312133870746</v>
      </c>
      <c r="L217" s="20">
        <v>47.75708259978553</v>
      </c>
      <c r="M217" s="15"/>
      <c r="N217" s="20">
        <v>5.959312133870746</v>
      </c>
      <c r="O217" s="14">
        <v>2.22</v>
      </c>
      <c r="R217" s="20">
        <f t="array" ref="R217">XLOOKUP(E217, 'Conference Match'!$A$2:$A$40,'Conference Match'!$C$2:$C$40)</f>
        <v>0.95</v>
      </c>
      <c r="S217" s="20">
        <f t="shared" si="1"/>
        <v>1.576269305</v>
      </c>
      <c r="T217" s="20">
        <f t="shared" si="2"/>
        <v>11.3447368</v>
      </c>
      <c r="U217" s="20">
        <f t="shared" si="3"/>
        <v>-36.4123458</v>
      </c>
      <c r="W217" s="20">
        <f>IFERROR(__xludf.DUMMYFUNCTION("iferror(PERCENTRANK.INC(FILTER($S$2:$S$426, $P$2:$P$426&lt;3.75), $S217), 1)"),0.242)</f>
        <v>0.242</v>
      </c>
      <c r="X217" s="20">
        <f>IFERROR(__xludf.DUMMYFUNCTION("iferror(PERCENTRANK.INC(FILTER($S$2:$S$426, $P$2:$P$426&lt;4.5), $S217), 1)"),0.167)</f>
        <v>0.167</v>
      </c>
      <c r="Y217" s="20">
        <f>IFERROR(__xludf.DUMMYFUNCTION("iferror(PERCENTRANK.INC(FILTER($S$2:$S$426, $P$2:$P$426&gt;=4.1), $S217), 0.01)"),0.01)</f>
        <v>0.01</v>
      </c>
    </row>
    <row r="218" ht="14.25" customHeight="1">
      <c r="A218" s="14" t="s">
        <v>1170</v>
      </c>
      <c r="B218" s="14" t="s">
        <v>241</v>
      </c>
      <c r="C218" s="14" t="s">
        <v>954</v>
      </c>
      <c r="D218" s="14" t="s">
        <v>954</v>
      </c>
      <c r="E218" s="14" t="s">
        <v>138</v>
      </c>
      <c r="F218" s="14">
        <v>29.0</v>
      </c>
      <c r="G218" s="14">
        <v>18.0</v>
      </c>
      <c r="H218" s="14">
        <v>282.0</v>
      </c>
      <c r="I218" s="14">
        <v>15.7</v>
      </c>
      <c r="J218" s="14">
        <v>1.0</v>
      </c>
      <c r="K218" s="20">
        <v>6.443005290478306</v>
      </c>
      <c r="L218" s="20">
        <v>47.451253128567295</v>
      </c>
      <c r="M218" s="15"/>
      <c r="N218" s="20">
        <v>6.443005290478306</v>
      </c>
      <c r="O218" s="14">
        <v>2.06</v>
      </c>
      <c r="R218" s="20">
        <f t="array" ref="R218">XLOOKUP(E218, 'Conference Match'!$A$2:$A$40,'Conference Match'!$C$2:$C$40)</f>
        <v>0.9</v>
      </c>
      <c r="S218" s="20">
        <f t="shared" si="1"/>
        <v>1.571740952</v>
      </c>
      <c r="T218" s="20">
        <f t="shared" si="2"/>
        <v>11.2573781</v>
      </c>
      <c r="U218" s="20">
        <f t="shared" si="3"/>
        <v>-36.19387503</v>
      </c>
      <c r="W218" s="20">
        <f>IFERROR(__xludf.DUMMYFUNCTION("iferror(PERCENTRANK.INC(FILTER($S$2:$S$426, $P$2:$P$426&lt;3.75), $S218), 1)"),0.235)</f>
        <v>0.235</v>
      </c>
      <c r="X218" s="20">
        <f>IFERROR(__xludf.DUMMYFUNCTION("iferror(PERCENTRANK.INC(FILTER($S$2:$S$426, $P$2:$P$426&lt;4.5), $S218), 1)"),0.163)</f>
        <v>0.163</v>
      </c>
      <c r="Y218" s="20">
        <f>IFERROR(__xludf.DUMMYFUNCTION("iferror(PERCENTRANK.INC(FILTER($S$2:$S$426, $P$2:$P$426&gt;=4.1), $S218), 0.01)"),0.01)</f>
        <v>0.01</v>
      </c>
    </row>
    <row r="219" ht="14.25" customHeight="1">
      <c r="A219" s="14" t="s">
        <v>1171</v>
      </c>
      <c r="B219" s="14" t="s">
        <v>486</v>
      </c>
      <c r="C219" s="14" t="s">
        <v>954</v>
      </c>
      <c r="D219" s="14" t="s">
        <v>954</v>
      </c>
      <c r="E219" s="14" t="s">
        <v>135</v>
      </c>
      <c r="F219" s="14">
        <v>49.0</v>
      </c>
      <c r="G219" s="14">
        <v>32.0</v>
      </c>
      <c r="H219" s="14">
        <v>340.0</v>
      </c>
      <c r="I219" s="14">
        <v>10.6</v>
      </c>
      <c r="J219" s="14">
        <v>4.0</v>
      </c>
      <c r="K219" s="20">
        <v>5.676350909042708</v>
      </c>
      <c r="L219" s="20">
        <v>40.4781513600442</v>
      </c>
      <c r="M219" s="15"/>
      <c r="N219" s="20">
        <v>5.676350909042708</v>
      </c>
      <c r="O219" s="14">
        <v>2.68</v>
      </c>
      <c r="R219" s="20">
        <f t="array" ref="R219">XLOOKUP(E219, 'Conference Match'!$A$2:$A$40,'Conference Match'!$C$2:$C$40)</f>
        <v>0.9</v>
      </c>
      <c r="S219" s="20">
        <f t="shared" si="1"/>
        <v>1.557743164</v>
      </c>
      <c r="T219" s="20">
        <f t="shared" si="2"/>
        <v>10.98733981</v>
      </c>
      <c r="U219" s="20">
        <f t="shared" si="3"/>
        <v>-29.49081155</v>
      </c>
      <c r="W219" s="20">
        <f>IFERROR(__xludf.DUMMYFUNCTION("iferror(PERCENTRANK.INC(FILTER($S$2:$S$426, $P$2:$P$426&lt;3.75), $S219), 1)"),0.229)</f>
        <v>0.229</v>
      </c>
      <c r="X219" s="20">
        <f>IFERROR(__xludf.DUMMYFUNCTION("iferror(PERCENTRANK.INC(FILTER($S$2:$S$426, $P$2:$P$426&lt;4.5), $S219), 1)"),0.158)</f>
        <v>0.158</v>
      </c>
      <c r="Y219" s="20">
        <f>IFERROR(__xludf.DUMMYFUNCTION("iferror(PERCENTRANK.INC(FILTER($S$2:$S$426, $P$2:$P$426&gt;=4.1), $S219), 0.01)"),0.01)</f>
        <v>0.01</v>
      </c>
    </row>
    <row r="220" ht="14.25" customHeight="1">
      <c r="A220" s="14" t="s">
        <v>1172</v>
      </c>
      <c r="B220" s="14" t="s">
        <v>357</v>
      </c>
      <c r="C220" s="14" t="s">
        <v>954</v>
      </c>
      <c r="D220" s="14" t="s">
        <v>954</v>
      </c>
      <c r="E220" s="14" t="s">
        <v>157</v>
      </c>
      <c r="F220" s="14">
        <v>42.0</v>
      </c>
      <c r="G220" s="14">
        <v>20.0</v>
      </c>
      <c r="H220" s="14">
        <v>276.0</v>
      </c>
      <c r="I220" s="14">
        <v>13.8</v>
      </c>
      <c r="J220" s="14">
        <v>1.0</v>
      </c>
      <c r="K220" s="20">
        <v>5.742610516683223</v>
      </c>
      <c r="L220" s="20">
        <v>41.08081534841735</v>
      </c>
      <c r="M220" s="15"/>
      <c r="N220" s="20">
        <v>5.742610516683223</v>
      </c>
      <c r="O220" s="14">
        <v>2.41</v>
      </c>
      <c r="R220" s="20">
        <f t="array" ref="R220">XLOOKUP(E220, 'Conference Match'!$A$2:$A$40,'Conference Match'!$C$2:$C$40)</f>
        <v>0.9</v>
      </c>
      <c r="S220" s="20">
        <f t="shared" si="1"/>
        <v>1.515669893</v>
      </c>
      <c r="T220" s="20">
        <f t="shared" si="2"/>
        <v>10.17568346</v>
      </c>
      <c r="U220" s="20">
        <f t="shared" si="3"/>
        <v>-30.90513188</v>
      </c>
      <c r="W220" s="20">
        <f>IFERROR(__xludf.DUMMYFUNCTION("iferror(PERCENTRANK.INC(FILTER($S$2:$S$426, $P$2:$P$426&lt;3.75), $S220), 1)"),0.222)</f>
        <v>0.222</v>
      </c>
      <c r="X220" s="20">
        <f>IFERROR(__xludf.DUMMYFUNCTION("iferror(PERCENTRANK.INC(FILTER($S$2:$S$426, $P$2:$P$426&lt;4.5), $S220), 1)"),0.154)</f>
        <v>0.154</v>
      </c>
      <c r="Y220" s="20">
        <f>IFERROR(__xludf.DUMMYFUNCTION("iferror(PERCENTRANK.INC(FILTER($S$2:$S$426, $P$2:$P$426&gt;=4.1), $S220), 0.01)"),0.01)</f>
        <v>0.01</v>
      </c>
    </row>
    <row r="221" ht="14.25" customHeight="1">
      <c r="A221" s="14" t="s">
        <v>1173</v>
      </c>
      <c r="B221" s="14" t="s">
        <v>384</v>
      </c>
      <c r="C221" s="14" t="s">
        <v>954</v>
      </c>
      <c r="D221" s="14" t="s">
        <v>954</v>
      </c>
      <c r="E221" s="14" t="s">
        <v>111</v>
      </c>
      <c r="F221" s="14">
        <v>27.0</v>
      </c>
      <c r="G221" s="14">
        <v>20.0</v>
      </c>
      <c r="H221" s="14">
        <v>262.0</v>
      </c>
      <c r="I221" s="14">
        <v>13.1</v>
      </c>
      <c r="J221" s="14">
        <v>2.0</v>
      </c>
      <c r="K221" s="20">
        <v>5.996827134116877</v>
      </c>
      <c r="L221" s="20">
        <v>43.393041545175194</v>
      </c>
      <c r="M221" s="15"/>
      <c r="N221" s="20">
        <v>5.996827134116877</v>
      </c>
      <c r="O221" s="14">
        <v>2.13</v>
      </c>
      <c r="R221" s="20">
        <f t="array" ref="R221">XLOOKUP(E221, 'Conference Match'!$A$2:$A$40,'Conference Match'!$C$2:$C$40)</f>
        <v>0.9</v>
      </c>
      <c r="S221" s="20">
        <f t="shared" si="1"/>
        <v>1.505428884</v>
      </c>
      <c r="T221" s="20">
        <f t="shared" si="2"/>
        <v>9.978119081</v>
      </c>
      <c r="U221" s="20">
        <f t="shared" si="3"/>
        <v>-33.41492246</v>
      </c>
      <c r="W221" s="20">
        <f>IFERROR(__xludf.DUMMYFUNCTION("iferror(PERCENTRANK.INC(FILTER($S$2:$S$426, $P$2:$P$426&lt;3.75), $S221), 1)"),0.216)</f>
        <v>0.216</v>
      </c>
      <c r="X221" s="20">
        <f>IFERROR(__xludf.DUMMYFUNCTION("iferror(PERCENTRANK.INC(FILTER($S$2:$S$426, $P$2:$P$426&lt;4.5), $S221), 1)"),0.149)</f>
        <v>0.149</v>
      </c>
      <c r="Y221" s="20">
        <f>IFERROR(__xludf.DUMMYFUNCTION("iferror(PERCENTRANK.INC(FILTER($S$2:$S$426, $P$2:$P$426&gt;=4.1), $S221), 0.01)"),0.01)</f>
        <v>0.01</v>
      </c>
    </row>
    <row r="222" ht="14.25" customHeight="1">
      <c r="A222" s="14" t="s">
        <v>1174</v>
      </c>
      <c r="B222" s="14" t="s">
        <v>417</v>
      </c>
      <c r="C222" s="14" t="s">
        <v>954</v>
      </c>
      <c r="D222" s="14" t="s">
        <v>954</v>
      </c>
      <c r="E222" s="14" t="s">
        <v>141</v>
      </c>
      <c r="F222" s="14">
        <v>29.0</v>
      </c>
      <c r="G222" s="14">
        <v>19.0</v>
      </c>
      <c r="H222" s="14">
        <v>273.0</v>
      </c>
      <c r="I222" s="14">
        <v>14.4</v>
      </c>
      <c r="J222" s="14">
        <v>3.0</v>
      </c>
      <c r="K222" s="20">
        <v>6.495591497374859</v>
      </c>
      <c r="L222" s="20">
        <v>47.92955075679403</v>
      </c>
      <c r="M222" s="15"/>
      <c r="N222" s="20">
        <v>6.495591497374859</v>
      </c>
      <c r="O222" s="14">
        <v>1.66</v>
      </c>
      <c r="R222" s="20">
        <f t="array" ref="R222">XLOOKUP(E222, 'Conference Match'!$A$2:$A$40,'Conference Match'!$C$2:$C$40)</f>
        <v>0.9</v>
      </c>
      <c r="S222" s="20">
        <f t="shared" si="1"/>
        <v>1.50120647</v>
      </c>
      <c r="T222" s="20">
        <f t="shared" si="2"/>
        <v>9.896662385</v>
      </c>
      <c r="U222" s="20">
        <f t="shared" si="3"/>
        <v>-38.03288837</v>
      </c>
      <c r="W222" s="20">
        <f>IFERROR(__xludf.DUMMYFUNCTION("iferror(PERCENTRANK.INC(FILTER($S$2:$S$426, $P$2:$P$426&lt;3.75), $S222), 1)"),0.209)</f>
        <v>0.209</v>
      </c>
      <c r="X222" s="20">
        <f>IFERROR(__xludf.DUMMYFUNCTION("iferror(PERCENTRANK.INC(FILTER($S$2:$S$426, $P$2:$P$426&lt;4.5), $S222), 1)"),0.145)</f>
        <v>0.145</v>
      </c>
      <c r="Y222" s="20">
        <f>IFERROR(__xludf.DUMMYFUNCTION("iferror(PERCENTRANK.INC(FILTER($S$2:$S$426, $P$2:$P$426&gt;=4.1), $S222), 0.01)"),0.01)</f>
        <v>0.01</v>
      </c>
    </row>
    <row r="223" ht="14.25" customHeight="1">
      <c r="A223" s="14" t="s">
        <v>1175</v>
      </c>
      <c r="B223" s="14" t="s">
        <v>159</v>
      </c>
      <c r="C223" s="14">
        <v>22.0</v>
      </c>
      <c r="D223" s="14" t="s">
        <v>954</v>
      </c>
      <c r="E223" s="14" t="s">
        <v>152</v>
      </c>
      <c r="F223" s="14">
        <v>35.0</v>
      </c>
      <c r="G223" s="14">
        <v>21.0</v>
      </c>
      <c r="H223" s="14">
        <v>293.0</v>
      </c>
      <c r="I223" s="14">
        <v>13.9</v>
      </c>
      <c r="J223" s="14">
        <v>1.0</v>
      </c>
      <c r="K223" s="20">
        <v>5.916374485602496</v>
      </c>
      <c r="L223" s="20">
        <v>47.243901154524124</v>
      </c>
      <c r="M223" s="15"/>
      <c r="N223" s="20">
        <v>5.916374485602496</v>
      </c>
      <c r="O223" s="14">
        <v>1.88</v>
      </c>
      <c r="R223" s="20">
        <f t="array" ref="R223">XLOOKUP(E223, 'Conference Match'!$A$2:$A$40,'Conference Match'!$C$2:$C$40)</f>
        <v>0.95</v>
      </c>
      <c r="S223" s="20">
        <f t="shared" si="1"/>
        <v>1.500111152</v>
      </c>
      <c r="T223" s="20">
        <f t="shared" si="2"/>
        <v>9.875532076</v>
      </c>
      <c r="U223" s="20">
        <f t="shared" si="3"/>
        <v>-37.36836908</v>
      </c>
      <c r="W223" s="20">
        <f>IFERROR(__xludf.DUMMYFUNCTION("iferror(PERCENTRANK.INC(FILTER($S$2:$S$426, $P$2:$P$426&lt;3.75), $S223), 1)"),0.203)</f>
        <v>0.203</v>
      </c>
      <c r="X223" s="20">
        <f>IFERROR(__xludf.DUMMYFUNCTION("iferror(PERCENTRANK.INC(FILTER($S$2:$S$426, $P$2:$P$426&lt;4.5), $S223), 1)"),0.14)</f>
        <v>0.14</v>
      </c>
      <c r="Y223" s="20">
        <f>IFERROR(__xludf.DUMMYFUNCTION("iferror(PERCENTRANK.INC(FILTER($S$2:$S$426, $P$2:$P$426&gt;=4.1), $S223), 0.01)"),0.01)</f>
        <v>0.01</v>
      </c>
    </row>
    <row r="224" ht="14.25" customHeight="1">
      <c r="A224" s="14" t="s">
        <v>1176</v>
      </c>
      <c r="B224" s="14" t="s">
        <v>410</v>
      </c>
      <c r="C224" s="14">
        <v>82.0</v>
      </c>
      <c r="D224" s="14" t="s">
        <v>954</v>
      </c>
      <c r="E224" s="14" t="s">
        <v>149</v>
      </c>
      <c r="F224" s="14">
        <v>24.0</v>
      </c>
      <c r="G224" s="14">
        <v>18.0</v>
      </c>
      <c r="H224" s="14">
        <v>234.0</v>
      </c>
      <c r="I224" s="14">
        <v>13.0</v>
      </c>
      <c r="J224" s="14">
        <v>0.0</v>
      </c>
      <c r="K224" s="20">
        <v>5.539106538703869</v>
      </c>
      <c r="L224" s="20">
        <v>42.7348766026741</v>
      </c>
      <c r="M224" s="15"/>
      <c r="N224" s="20">
        <v>5.539106538703869</v>
      </c>
      <c r="O224" s="14">
        <v>2.17</v>
      </c>
      <c r="Q224" s="41"/>
      <c r="R224" s="20">
        <f t="array" ref="R224">XLOOKUP(E224, 'Conference Match'!$A$2:$A$40,'Conference Match'!$C$2:$C$40)</f>
        <v>0.95</v>
      </c>
      <c r="S224" s="20">
        <f t="shared" si="1"/>
        <v>1.486430242</v>
      </c>
      <c r="T224" s="20">
        <f t="shared" si="2"/>
        <v>9.611606854</v>
      </c>
      <c r="U224" s="20">
        <f t="shared" si="3"/>
        <v>-33.12326975</v>
      </c>
      <c r="W224" s="20">
        <f>IFERROR(__xludf.DUMMYFUNCTION("iferror(PERCENTRANK.INC(FILTER($S$2:$S$426, $P$2:$P$426&lt;3.75), $S224), 1)"),0.196)</f>
        <v>0.196</v>
      </c>
      <c r="X224" s="20">
        <f>IFERROR(__xludf.DUMMYFUNCTION("iferror(PERCENTRANK.INC(FILTER($S$2:$S$426, $P$2:$P$426&lt;4.5), $S224), 1)"),0.136)</f>
        <v>0.136</v>
      </c>
      <c r="Y224" s="20">
        <f>IFERROR(__xludf.DUMMYFUNCTION("iferror(PERCENTRANK.INC(FILTER($S$2:$S$426, $P$2:$P$426&gt;=4.1), $S224), 0.01)"),0.01)</f>
        <v>0.01</v>
      </c>
    </row>
    <row r="225" ht="14.25" customHeight="1">
      <c r="A225" s="14" t="s">
        <v>1177</v>
      </c>
      <c r="B225" s="14" t="s">
        <v>143</v>
      </c>
      <c r="C225" s="14" t="s">
        <v>954</v>
      </c>
      <c r="D225" s="14" t="s">
        <v>954</v>
      </c>
      <c r="E225" s="14" t="s">
        <v>135</v>
      </c>
      <c r="F225" s="14">
        <v>15.0</v>
      </c>
      <c r="G225" s="14">
        <v>9.0</v>
      </c>
      <c r="H225" s="14">
        <v>140.0</v>
      </c>
      <c r="I225" s="14">
        <v>15.6</v>
      </c>
      <c r="J225" s="14">
        <v>0.0</v>
      </c>
      <c r="K225" s="20">
        <v>5.953739386117257</v>
      </c>
      <c r="L225" s="20">
        <v>43.00113711072167</v>
      </c>
      <c r="M225" s="15"/>
      <c r="N225" s="20">
        <v>5.953739386117257</v>
      </c>
      <c r="O225" s="14">
        <v>2.03</v>
      </c>
      <c r="R225" s="20">
        <f t="array" ref="R225">XLOOKUP(E225, 'Conference Match'!$A$2:$A$40,'Conference Match'!$C$2:$C$40)</f>
        <v>0.9</v>
      </c>
      <c r="S225" s="20">
        <f t="shared" si="1"/>
        <v>1.47767309</v>
      </c>
      <c r="T225" s="20">
        <f t="shared" si="2"/>
        <v>9.442668273</v>
      </c>
      <c r="U225" s="20">
        <f t="shared" si="3"/>
        <v>-33.55846884</v>
      </c>
      <c r="W225" s="20">
        <f>IFERROR(__xludf.DUMMYFUNCTION("iferror(PERCENTRANK.INC(FILTER($S$2:$S$426, $P$2:$P$426&lt;3.75), $S225), 1)"),0.183)</f>
        <v>0.183</v>
      </c>
      <c r="X225" s="20">
        <f>IFERROR(__xludf.DUMMYFUNCTION("iferror(PERCENTRANK.INC(FILTER($S$2:$S$426, $P$2:$P$426&lt;4.5), $S225), 1)"),0.127)</f>
        <v>0.127</v>
      </c>
      <c r="Y225" s="20">
        <f>IFERROR(__xludf.DUMMYFUNCTION("iferror(PERCENTRANK.INC(FILTER($S$2:$S$426, $P$2:$P$426&gt;=4.1), $S225), 0.01)"),0.01)</f>
        <v>0.01</v>
      </c>
    </row>
    <row r="226" ht="14.25" customHeight="1">
      <c r="A226" s="14" t="s">
        <v>1178</v>
      </c>
      <c r="B226" s="14" t="s">
        <v>711</v>
      </c>
      <c r="C226" s="14">
        <v>9.0</v>
      </c>
      <c r="D226" s="14" t="s">
        <v>954</v>
      </c>
      <c r="E226" s="14" t="s">
        <v>152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9.26035421</v>
      </c>
      <c r="U226" s="20">
        <f t="shared" si="3"/>
        <v>-38.24217401</v>
      </c>
      <c r="W226" s="20">
        <f>IFERROR(__xludf.DUMMYFUNCTION("iferror(PERCENTRANK.INC(FILTER($S$2:$S$426, $P$2:$P$426&lt;3.75), $S226), 1)"),0.176)</f>
        <v>0.176</v>
      </c>
      <c r="X226" s="20">
        <f>IFERROR(__xludf.DUMMYFUNCTION("iferror(PERCENTRANK.INC(FILTER($S$2:$S$426, $P$2:$P$426&lt;4.5), $S226), 1)"),0.122)</f>
        <v>0.122</v>
      </c>
      <c r="Y226" s="20">
        <f>IFERROR(__xludf.DUMMYFUNCTION("iferror(PERCENTRANK.INC(FILTER($S$2:$S$426, $P$2:$P$426&gt;=4.1), $S226), 0.01)"),0.01)</f>
        <v>0.01</v>
      </c>
    </row>
    <row r="227" ht="14.25" customHeight="1">
      <c r="A227" s="14" t="s">
        <v>1179</v>
      </c>
      <c r="B227" s="14" t="s">
        <v>293</v>
      </c>
      <c r="C227" s="14">
        <v>5.0</v>
      </c>
      <c r="D227" s="14" t="s">
        <v>954</v>
      </c>
      <c r="E227" s="14" t="s">
        <v>152</v>
      </c>
      <c r="F227" s="14">
        <v>29.0</v>
      </c>
      <c r="G227" s="14">
        <v>17.0</v>
      </c>
      <c r="H227" s="14">
        <v>219.0</v>
      </c>
      <c r="I227" s="14">
        <v>12.9</v>
      </c>
      <c r="J227" s="14">
        <v>1.0</v>
      </c>
      <c r="K227" s="20">
        <v>5.517143221512789</v>
      </c>
      <c r="L227" s="20">
        <v>42.47237580643958</v>
      </c>
      <c r="M227" s="15"/>
      <c r="N227" s="20">
        <v>5.517143221512789</v>
      </c>
      <c r="O227" s="14">
        <v>2.09</v>
      </c>
      <c r="R227" s="20">
        <f t="array" ref="R227">XLOOKUP(E227, 'Conference Match'!$A$2:$A$40,'Conference Match'!$C$2:$C$40)</f>
        <v>0.95</v>
      </c>
      <c r="S227" s="20">
        <f t="shared" si="1"/>
        <v>1.466257212</v>
      </c>
      <c r="T227" s="20">
        <f t="shared" si="2"/>
        <v>9.222438916</v>
      </c>
      <c r="U227" s="20">
        <f t="shared" si="3"/>
        <v>-33.24993689</v>
      </c>
      <c r="W227" s="20">
        <f>IFERROR(__xludf.DUMMYFUNCTION("iferror(PERCENTRANK.INC(FILTER($S$2:$S$426, $P$2:$P$426&lt;3.75), $S227), 1)"),0.17)</f>
        <v>0.17</v>
      </c>
      <c r="X227" s="20">
        <f>IFERROR(__xludf.DUMMYFUNCTION("iferror(PERCENTRANK.INC(FILTER($S$2:$S$426, $P$2:$P$426&lt;4.5), $S227), 1)"),0.118)</f>
        <v>0.118</v>
      </c>
      <c r="Y227" s="20">
        <f>IFERROR(__xludf.DUMMYFUNCTION("iferror(PERCENTRANK.INC(FILTER($S$2:$S$426, $P$2:$P$426&gt;=4.1), $S227), 0.01)"),0.01)</f>
        <v>0.01</v>
      </c>
    </row>
    <row r="228" ht="14.25" customHeight="1">
      <c r="A228" s="14" t="s">
        <v>1180</v>
      </c>
      <c r="B228" s="14" t="s">
        <v>265</v>
      </c>
      <c r="C228" s="14">
        <v>2.0</v>
      </c>
      <c r="D228" s="14" t="s">
        <v>954</v>
      </c>
      <c r="E228" s="14" t="s">
        <v>108</v>
      </c>
      <c r="F228" s="14">
        <v>36.0</v>
      </c>
      <c r="G228" s="14">
        <v>15.0</v>
      </c>
      <c r="H228" s="14">
        <v>211.0</v>
      </c>
      <c r="I228" s="14">
        <v>14.1</v>
      </c>
      <c r="J228" s="14">
        <v>1.0</v>
      </c>
      <c r="K228" s="20">
        <v>5.679099047203256</v>
      </c>
      <c r="L228" s="20">
        <v>44.40803665533137</v>
      </c>
      <c r="M228" s="15"/>
      <c r="N228" s="20">
        <v>5.679099047203256</v>
      </c>
      <c r="O228" s="14">
        <v>1.9</v>
      </c>
      <c r="R228" s="20">
        <f t="array" ref="R228">XLOOKUP(E228, 'Conference Match'!$A$2:$A$40,'Conference Match'!$C$2:$C$40)</f>
        <v>0.95</v>
      </c>
      <c r="S228" s="20">
        <f t="shared" si="1"/>
        <v>1.459028819</v>
      </c>
      <c r="T228" s="20">
        <f t="shared" si="2"/>
        <v>9.082992397</v>
      </c>
      <c r="U228" s="20">
        <f t="shared" si="3"/>
        <v>-35.32504426</v>
      </c>
      <c r="W228" s="20">
        <f>IFERROR(__xludf.DUMMYFUNCTION("iferror(PERCENTRANK.INC(FILTER($S$2:$S$426, $P$2:$P$426&lt;3.75), $S228), 1)"),0.163)</f>
        <v>0.163</v>
      </c>
      <c r="X228" s="20">
        <f>IFERROR(__xludf.DUMMYFUNCTION("iferror(PERCENTRANK.INC(FILTER($S$2:$S$426, $P$2:$P$426&lt;4.5), $S228), 1)"),0.113)</f>
        <v>0.113</v>
      </c>
      <c r="Y228" s="20">
        <f>IFERROR(__xludf.DUMMYFUNCTION("iferror(PERCENTRANK.INC(FILTER($S$2:$S$426, $P$2:$P$426&gt;=4.1), $S228), 0.01)"),0.01)</f>
        <v>0.01</v>
      </c>
    </row>
    <row r="229" ht="14.25" customHeight="1">
      <c r="A229" s="14" t="s">
        <v>1181</v>
      </c>
      <c r="B229" s="14" t="s">
        <v>140</v>
      </c>
      <c r="C229" s="14" t="s">
        <v>954</v>
      </c>
      <c r="D229" s="14" t="s">
        <v>954</v>
      </c>
      <c r="E229" s="14" t="s">
        <v>141</v>
      </c>
      <c r="F229" s="14">
        <v>39.0</v>
      </c>
      <c r="G229" s="14">
        <v>27.0</v>
      </c>
      <c r="H229" s="14">
        <v>408.0</v>
      </c>
      <c r="I229" s="14">
        <v>15.1</v>
      </c>
      <c r="J229" s="14">
        <v>1.0</v>
      </c>
      <c r="K229" s="20">
        <v>6.485338578170647</v>
      </c>
      <c r="L229" s="20">
        <v>47.83629537240355</v>
      </c>
      <c r="M229" s="15"/>
      <c r="N229" s="20">
        <v>6.485338578170647</v>
      </c>
      <c r="O229" s="14">
        <v>1.35</v>
      </c>
      <c r="R229" s="20">
        <f t="array" ref="R229">XLOOKUP(E229, 'Conference Match'!$A$2:$A$40,'Conference Match'!$C$2:$C$40)</f>
        <v>0.9</v>
      </c>
      <c r="S229" s="20">
        <f t="shared" si="1"/>
        <v>1.437360944</v>
      </c>
      <c r="T229" s="20">
        <f t="shared" si="2"/>
        <v>8.66498667</v>
      </c>
      <c r="U229" s="20">
        <f t="shared" si="3"/>
        <v>-39.1713087</v>
      </c>
      <c r="W229" s="20">
        <f>IFERROR(__xludf.DUMMYFUNCTION("iferror(PERCENTRANK.INC(FILTER($S$2:$S$426, $P$2:$P$426&lt;3.75), $S229), 1)"),0.157)</f>
        <v>0.157</v>
      </c>
      <c r="X229" s="20">
        <f>IFERROR(__xludf.DUMMYFUNCTION("iferror(PERCENTRANK.INC(FILTER($S$2:$S$426, $P$2:$P$426&lt;4.5), $S229), 1)"),0.109)</f>
        <v>0.109</v>
      </c>
      <c r="Y229" s="20">
        <f>IFERROR(__xludf.DUMMYFUNCTION("iferror(PERCENTRANK.INC(FILTER($S$2:$S$426, $P$2:$P$426&gt;=4.1), $S229), 0.01)"),0.01)</f>
        <v>0.01</v>
      </c>
    </row>
    <row r="230" ht="14.25" customHeight="1">
      <c r="A230" s="14" t="s">
        <v>1182</v>
      </c>
      <c r="B230" s="14" t="s">
        <v>495</v>
      </c>
      <c r="C230" s="14" t="s">
        <v>954</v>
      </c>
      <c r="D230" s="14" t="s">
        <v>954</v>
      </c>
      <c r="E230" s="14" t="s">
        <v>157</v>
      </c>
      <c r="F230" s="14">
        <v>38.0</v>
      </c>
      <c r="G230" s="14">
        <v>17.0</v>
      </c>
      <c r="H230" s="14">
        <v>272.0</v>
      </c>
      <c r="I230" s="14">
        <v>16.0</v>
      </c>
      <c r="J230" s="14">
        <v>1.0</v>
      </c>
      <c r="K230" s="20">
        <v>6.309878155092744</v>
      </c>
      <c r="L230" s="20">
        <v>46.24039581701424</v>
      </c>
      <c r="M230" s="15"/>
      <c r="N230" s="20">
        <v>6.309878155092744</v>
      </c>
      <c r="O230" s="14">
        <v>1.46</v>
      </c>
      <c r="R230" s="20">
        <f t="array" ref="R230">XLOOKUP(E230, 'Conference Match'!$A$2:$A$40,'Conference Match'!$C$2:$C$40)</f>
        <v>0.9</v>
      </c>
      <c r="S230" s="20">
        <f t="shared" si="1"/>
        <v>1.427778068</v>
      </c>
      <c r="T230" s="20">
        <f t="shared" si="2"/>
        <v>8.480118651</v>
      </c>
      <c r="U230" s="20">
        <f t="shared" si="3"/>
        <v>-37.76027717</v>
      </c>
      <c r="W230" s="20">
        <f>IFERROR(__xludf.DUMMYFUNCTION("iferror(PERCENTRANK.INC(FILTER($S$2:$S$426, $P$2:$P$426&lt;3.75), $S230), 1)"),0.15)</f>
        <v>0.15</v>
      </c>
      <c r="X230" s="20">
        <f>IFERROR(__xludf.DUMMYFUNCTION("iferror(PERCENTRANK.INC(FILTER($S$2:$S$426, $P$2:$P$426&lt;4.5), $S230), 1)"),0.104)</f>
        <v>0.104</v>
      </c>
      <c r="Y230" s="20">
        <f>IFERROR(__xludf.DUMMYFUNCTION("iferror(PERCENTRANK.INC(FILTER($S$2:$S$426, $P$2:$P$426&gt;=4.1), $S230), 0.01)"),0.01)</f>
        <v>0.01</v>
      </c>
    </row>
    <row r="231" ht="14.25" customHeight="1">
      <c r="A231" s="14" t="s">
        <v>1183</v>
      </c>
      <c r="B231" s="14" t="s">
        <v>539</v>
      </c>
      <c r="C231" s="14" t="s">
        <v>954</v>
      </c>
      <c r="D231" s="14" t="s">
        <v>954</v>
      </c>
      <c r="E231" s="14" t="s">
        <v>176</v>
      </c>
      <c r="F231" s="14">
        <v>37.0</v>
      </c>
      <c r="G231" s="14">
        <v>21.0</v>
      </c>
      <c r="H231" s="14">
        <v>288.0</v>
      </c>
      <c r="I231" s="14">
        <v>13.7</v>
      </c>
      <c r="J231" s="14">
        <v>1.0</v>
      </c>
      <c r="K231" s="20">
        <v>5.818425426174505</v>
      </c>
      <c r="L231" s="20">
        <v>41.770389545416165</v>
      </c>
      <c r="M231" s="15"/>
      <c r="N231" s="20">
        <v>5.818425426174505</v>
      </c>
      <c r="O231" s="14">
        <v>1.81</v>
      </c>
      <c r="R231" s="20">
        <f t="array" ref="R231">XLOOKUP(E231, 'Conference Match'!$A$2:$A$40,'Conference Match'!$C$2:$C$40)</f>
        <v>0.9</v>
      </c>
      <c r="S231" s="20">
        <f t="shared" si="1"/>
        <v>1.409316577</v>
      </c>
      <c r="T231" s="20">
        <f t="shared" si="2"/>
        <v>8.123968862</v>
      </c>
      <c r="U231" s="20">
        <f t="shared" si="3"/>
        <v>-33.64642068</v>
      </c>
      <c r="W231" s="20">
        <f>IFERROR(__xludf.DUMMYFUNCTION("iferror(PERCENTRANK.INC(FILTER($S$2:$S$426, $P$2:$P$426&lt;3.75), $S231), 1)"),0.144)</f>
        <v>0.144</v>
      </c>
      <c r="X231" s="20">
        <f>IFERROR(__xludf.DUMMYFUNCTION("iferror(PERCENTRANK.INC(FILTER($S$2:$S$426, $P$2:$P$426&lt;4.5), $S231), 1)"),0.1)</f>
        <v>0.1</v>
      </c>
      <c r="Y231" s="20">
        <f>IFERROR(__xludf.DUMMYFUNCTION("iferror(PERCENTRANK.INC(FILTER($S$2:$S$426, $P$2:$P$426&gt;=4.1), $S231), 0.01)"),0.01)</f>
        <v>0.01</v>
      </c>
    </row>
    <row r="232" ht="14.25" customHeight="1">
      <c r="A232" s="14" t="s">
        <v>1184</v>
      </c>
      <c r="B232" s="14" t="s">
        <v>401</v>
      </c>
      <c r="C232" s="14" t="s">
        <v>954</v>
      </c>
      <c r="D232" s="14" t="s">
        <v>954</v>
      </c>
      <c r="E232" s="14" t="s">
        <v>209</v>
      </c>
      <c r="F232" s="14">
        <v>36.0</v>
      </c>
      <c r="G232" s="14">
        <v>19.0</v>
      </c>
      <c r="H232" s="14">
        <v>273.0</v>
      </c>
      <c r="I232" s="14">
        <v>14.4</v>
      </c>
      <c r="J232" s="14">
        <v>3.0</v>
      </c>
      <c r="K232" s="20">
        <v>6.354099047203256</v>
      </c>
      <c r="L232" s="20">
        <v>46.642606759060996</v>
      </c>
      <c r="M232" s="15"/>
      <c r="N232" s="20">
        <v>6.354099047203256</v>
      </c>
      <c r="O232" s="14">
        <v>1.24</v>
      </c>
      <c r="R232" s="20">
        <f t="array" ref="R232">XLOOKUP(E232, 'Conference Match'!$A$2:$A$40,'Conference Match'!$C$2:$C$40)</f>
        <v>0.9</v>
      </c>
      <c r="S232" s="20">
        <f t="shared" si="1"/>
        <v>1.391737828</v>
      </c>
      <c r="T232" s="20">
        <f t="shared" si="2"/>
        <v>7.784848507</v>
      </c>
      <c r="U232" s="20">
        <f t="shared" si="3"/>
        <v>-38.85775825</v>
      </c>
      <c r="W232" s="20">
        <f>IFERROR(__xludf.DUMMYFUNCTION("iferror(PERCENTRANK.INC(FILTER($S$2:$S$426, $P$2:$P$426&lt;3.75), $S232), 1)"),0.137)</f>
        <v>0.137</v>
      </c>
      <c r="X232" s="20">
        <f>IFERROR(__xludf.DUMMYFUNCTION("iferror(PERCENTRANK.INC(FILTER($S$2:$S$426, $P$2:$P$426&lt;4.5), $S232), 1)"),0.095)</f>
        <v>0.095</v>
      </c>
      <c r="Y232" s="20">
        <f>IFERROR(__xludf.DUMMYFUNCTION("iferror(PERCENTRANK.INC(FILTER($S$2:$S$426, $P$2:$P$426&gt;=4.1), $S232), 0.01)"),0.01)</f>
        <v>0.01</v>
      </c>
    </row>
    <row r="233" ht="14.25" customHeight="1">
      <c r="A233" s="14" t="s">
        <v>1185</v>
      </c>
      <c r="B233" s="14" t="s">
        <v>275</v>
      </c>
      <c r="C233" s="14">
        <v>1.0</v>
      </c>
      <c r="D233" s="14" t="s">
        <v>954</v>
      </c>
      <c r="E233" s="14" t="s">
        <v>125</v>
      </c>
      <c r="F233" s="14">
        <v>48.0</v>
      </c>
      <c r="G233" s="14">
        <v>25.0</v>
      </c>
      <c r="H233" s="14">
        <v>308.0</v>
      </c>
      <c r="I233" s="14">
        <v>12.3</v>
      </c>
      <c r="J233" s="14">
        <v>1.0</v>
      </c>
      <c r="K233" s="20">
        <v>5.40901210433872</v>
      </c>
      <c r="L233" s="20">
        <v>41.180016182026904</v>
      </c>
      <c r="M233" s="15"/>
      <c r="N233" s="20">
        <v>5.40901210433872</v>
      </c>
      <c r="O233" s="14">
        <v>1.66</v>
      </c>
      <c r="R233" s="20">
        <f t="array" ref="R233">XLOOKUP(E233, 'Conference Match'!$A$2:$A$40,'Conference Match'!$C$2:$C$40)</f>
        <v>0.95</v>
      </c>
      <c r="S233" s="20">
        <f t="shared" si="1"/>
        <v>1.3597123</v>
      </c>
      <c r="T233" s="20">
        <f t="shared" si="2"/>
        <v>7.16702814</v>
      </c>
      <c r="U233" s="20">
        <f t="shared" si="3"/>
        <v>-34.01298804</v>
      </c>
      <c r="W233" s="20">
        <f>IFERROR(__xludf.DUMMYFUNCTION("iferror(PERCENTRANK.INC(FILTER($S$2:$S$426, $P$2:$P$426&lt;3.75), $S233), 1)"),0.131)</f>
        <v>0.131</v>
      </c>
      <c r="X233" s="20">
        <f>IFERROR(__xludf.DUMMYFUNCTION("iferror(PERCENTRANK.INC(FILTER($S$2:$S$426, $P$2:$P$426&lt;4.5), $S233), 1)"),0.09)</f>
        <v>0.09</v>
      </c>
      <c r="Y233" s="20">
        <f>IFERROR(__xludf.DUMMYFUNCTION("iferror(PERCENTRANK.INC(FILTER($S$2:$S$426, $P$2:$P$426&gt;=4.1), $S233), 0.01)"),0.01)</f>
        <v>0.01</v>
      </c>
    </row>
    <row r="234" ht="14.25" customHeight="1">
      <c r="A234" s="14" t="s">
        <v>1186</v>
      </c>
      <c r="B234" s="14" t="s">
        <v>682</v>
      </c>
      <c r="C234" s="14" t="s">
        <v>954</v>
      </c>
      <c r="D234" s="14" t="s">
        <v>954</v>
      </c>
      <c r="E234" s="14" t="s">
        <v>111</v>
      </c>
      <c r="F234" s="14">
        <v>27.0</v>
      </c>
      <c r="G234" s="14">
        <v>18.0</v>
      </c>
      <c r="H234" s="14">
        <v>265.0</v>
      </c>
      <c r="I234" s="14">
        <v>14.7</v>
      </c>
      <c r="J234" s="14">
        <v>1.0</v>
      </c>
      <c r="K234" s="20">
        <v>6.18941972670947</v>
      </c>
      <c r="L234" s="20">
        <v>45.14476667781852</v>
      </c>
      <c r="M234" s="15"/>
      <c r="N234" s="20">
        <v>6.18941972670947</v>
      </c>
      <c r="O234" s="14">
        <v>1.18</v>
      </c>
      <c r="R234" s="20">
        <f t="array" ref="R234">XLOOKUP(E234, 'Conference Match'!$A$2:$A$40,'Conference Match'!$C$2:$C$40)</f>
        <v>0.9</v>
      </c>
      <c r="S234" s="20">
        <f t="shared" si="1"/>
        <v>1.350095551</v>
      </c>
      <c r="T234" s="20">
        <f t="shared" si="2"/>
        <v>6.981506663</v>
      </c>
      <c r="U234" s="20">
        <f t="shared" si="3"/>
        <v>-38.16326002</v>
      </c>
      <c r="W234" s="20">
        <f>IFERROR(__xludf.DUMMYFUNCTION("iferror(PERCENTRANK.INC(FILTER($S$2:$S$426, $P$2:$P$426&lt;3.75), $S234), 1)"),0.124)</f>
        <v>0.124</v>
      </c>
      <c r="X234" s="20">
        <f>IFERROR(__xludf.DUMMYFUNCTION("iferror(PERCENTRANK.INC(FILTER($S$2:$S$426, $P$2:$P$426&lt;4.5), $S234), 1)"),0.086)</f>
        <v>0.086</v>
      </c>
      <c r="Y234" s="20">
        <f>IFERROR(__xludf.DUMMYFUNCTION("iferror(PERCENTRANK.INC(FILTER($S$2:$S$426, $P$2:$P$426&gt;=4.1), $S234), 0.01)"),0.01)</f>
        <v>0.01</v>
      </c>
    </row>
    <row r="235" ht="14.25" customHeight="1">
      <c r="A235" s="14" t="s">
        <v>1187</v>
      </c>
      <c r="B235" s="14" t="s">
        <v>287</v>
      </c>
      <c r="C235" s="14" t="s">
        <v>954</v>
      </c>
      <c r="D235" s="14" t="s">
        <v>954</v>
      </c>
      <c r="E235" s="14" t="s">
        <v>169</v>
      </c>
      <c r="F235" s="14">
        <v>40.0</v>
      </c>
      <c r="G235" s="14">
        <v>28.0</v>
      </c>
      <c r="H235" s="14">
        <v>352.0</v>
      </c>
      <c r="I235" s="14">
        <v>12.6</v>
      </c>
      <c r="J235" s="14">
        <v>4.0</v>
      </c>
      <c r="K235" s="20">
        <v>6.304750223346508</v>
      </c>
      <c r="L235" s="20">
        <v>46.19375473493814</v>
      </c>
      <c r="M235" s="15"/>
      <c r="N235" s="20">
        <v>6.304750223346508</v>
      </c>
      <c r="O235" s="14">
        <v>1.04</v>
      </c>
      <c r="R235" s="20">
        <f t="array" ref="R235">XLOOKUP(E235, 'Conference Match'!$A$2:$A$40,'Conference Match'!$C$2:$C$40)</f>
        <v>0.9</v>
      </c>
      <c r="S235" s="20">
        <f t="shared" si="1"/>
        <v>1.34285504</v>
      </c>
      <c r="T235" s="20">
        <f t="shared" si="2"/>
        <v>6.84182638</v>
      </c>
      <c r="U235" s="20">
        <f t="shared" si="3"/>
        <v>-39.35192836</v>
      </c>
      <c r="W235" s="20">
        <f>IFERROR(__xludf.DUMMYFUNCTION("iferror(PERCENTRANK.INC(FILTER($S$2:$S$426, $P$2:$P$426&lt;3.75), $S235), 1)"),0.118)</f>
        <v>0.118</v>
      </c>
      <c r="X235" s="20">
        <f>IFERROR(__xludf.DUMMYFUNCTION("iferror(PERCENTRANK.INC(FILTER($S$2:$S$426, $P$2:$P$426&lt;4.5), $S235), 1)"),0.081)</f>
        <v>0.081</v>
      </c>
      <c r="Y235" s="20">
        <f>IFERROR(__xludf.DUMMYFUNCTION("iferror(PERCENTRANK.INC(FILTER($S$2:$S$426, $P$2:$P$426&gt;=4.1), $S235), 0.01)"),0.01)</f>
        <v>0.01</v>
      </c>
    </row>
    <row r="236" ht="14.25" customHeight="1">
      <c r="A236" s="14" t="s">
        <v>1188</v>
      </c>
      <c r="B236" s="14" t="s">
        <v>394</v>
      </c>
      <c r="C236" s="14" t="s">
        <v>954</v>
      </c>
      <c r="D236" s="14" t="s">
        <v>954</v>
      </c>
      <c r="E236" s="14" t="s">
        <v>209</v>
      </c>
      <c r="F236" s="14">
        <v>17.0</v>
      </c>
      <c r="G236" s="14">
        <v>10.0</v>
      </c>
      <c r="H236" s="14">
        <v>140.0</v>
      </c>
      <c r="I236" s="14">
        <v>14.0</v>
      </c>
      <c r="J236" s="14">
        <v>1.0</v>
      </c>
      <c r="K236" s="20">
        <v>5.6822183505577755</v>
      </c>
      <c r="L236" s="20">
        <v>40.53151865017671</v>
      </c>
      <c r="M236" s="15"/>
      <c r="N236" s="20">
        <v>5.6822183505577755</v>
      </c>
      <c r="O236" s="14">
        <v>1.44</v>
      </c>
      <c r="R236" s="20">
        <f t="array" ref="R236">XLOOKUP(E236, 'Conference Match'!$A$2:$A$40,'Conference Match'!$C$2:$C$40)</f>
        <v>0.9</v>
      </c>
      <c r="S236" s="20">
        <f t="shared" si="1"/>
        <v>1.310799303</v>
      </c>
      <c r="T236" s="20">
        <f t="shared" si="2"/>
        <v>6.223423247</v>
      </c>
      <c r="U236" s="20">
        <f t="shared" si="3"/>
        <v>-34.3080954</v>
      </c>
      <c r="W236" s="20">
        <f>IFERROR(__xludf.DUMMYFUNCTION("iferror(PERCENTRANK.INC(FILTER($S$2:$S$426, $P$2:$P$426&lt;3.75), $S236), 1)"),0.111)</f>
        <v>0.111</v>
      </c>
      <c r="X236" s="20">
        <f>IFERROR(__xludf.DUMMYFUNCTION("iferror(PERCENTRANK.INC(FILTER($S$2:$S$426, $P$2:$P$426&lt;4.5), $S236), 1)"),0.077)</f>
        <v>0.077</v>
      </c>
      <c r="Y236" s="20">
        <f>IFERROR(__xludf.DUMMYFUNCTION("iferror(PERCENTRANK.INC(FILTER($S$2:$S$426, $P$2:$P$426&gt;=4.1), $S236), 0.01)"),0.01)</f>
        <v>0.01</v>
      </c>
    </row>
    <row r="237" ht="14.25" customHeight="1">
      <c r="A237" s="14" t="s">
        <v>1189</v>
      </c>
      <c r="B237" s="14" t="s">
        <v>281</v>
      </c>
      <c r="C237" s="14" t="s">
        <v>954</v>
      </c>
      <c r="D237" s="14" t="s">
        <v>954</v>
      </c>
      <c r="E237" s="14" t="s">
        <v>111</v>
      </c>
      <c r="F237" s="14">
        <v>21.0</v>
      </c>
      <c r="G237" s="14">
        <v>13.0</v>
      </c>
      <c r="H237" s="14">
        <v>181.0</v>
      </c>
      <c r="I237" s="14">
        <v>13.9</v>
      </c>
      <c r="J237" s="14">
        <v>1.0</v>
      </c>
      <c r="K237" s="20">
        <v>5.7735315253420785</v>
      </c>
      <c r="L237" s="20">
        <v>41.362057255311335</v>
      </c>
      <c r="M237" s="15"/>
      <c r="N237" s="20">
        <v>5.7735315253420785</v>
      </c>
      <c r="O237" s="14">
        <v>1.2</v>
      </c>
      <c r="R237" s="20">
        <f t="array" ref="R237">XLOOKUP(E237, 'Conference Match'!$A$2:$A$40,'Conference Match'!$C$2:$C$40)</f>
        <v>0.9</v>
      </c>
      <c r="S237" s="20">
        <f t="shared" si="1"/>
        <v>1.279235675</v>
      </c>
      <c r="T237" s="20">
        <f t="shared" si="2"/>
        <v>5.614513626</v>
      </c>
      <c r="U237" s="20">
        <f t="shared" si="3"/>
        <v>-35.74754363</v>
      </c>
      <c r="W237" s="20">
        <f>IFERROR(__xludf.DUMMYFUNCTION("iferror(PERCENTRANK.INC(FILTER($S$2:$S$426, $P$2:$P$426&lt;3.75), $S237), 1)"),0.105)</f>
        <v>0.105</v>
      </c>
      <c r="X237" s="20">
        <f>IFERROR(__xludf.DUMMYFUNCTION("iferror(PERCENTRANK.INC(FILTER($S$2:$S$426, $P$2:$P$426&lt;4.5), $S237), 1)"),0.072)</f>
        <v>0.072</v>
      </c>
      <c r="Y237" s="20">
        <f>IFERROR(__xludf.DUMMYFUNCTION("iferror(PERCENTRANK.INC(FILTER($S$2:$S$426, $P$2:$P$426&gt;=4.1), $S237), 0.01)"),0.01)</f>
        <v>0.01</v>
      </c>
    </row>
    <row r="238" ht="14.25" customHeight="1">
      <c r="A238" s="14" t="s">
        <v>1190</v>
      </c>
      <c r="B238" s="14" t="s">
        <v>445</v>
      </c>
      <c r="C238" s="14" t="s">
        <v>954</v>
      </c>
      <c r="D238" s="14" t="s">
        <v>954</v>
      </c>
      <c r="E238" s="14" t="s">
        <v>141</v>
      </c>
      <c r="F238" s="14">
        <v>35.0</v>
      </c>
      <c r="G238" s="14">
        <v>25.0</v>
      </c>
      <c r="H238" s="14">
        <v>283.0</v>
      </c>
      <c r="I238" s="14">
        <v>11.3</v>
      </c>
      <c r="J238" s="14">
        <v>3.0</v>
      </c>
      <c r="K238" s="20">
        <v>5.666374485602496</v>
      </c>
      <c r="L238" s="20">
        <v>40.387410841736326</v>
      </c>
      <c r="M238" s="15"/>
      <c r="N238" s="20">
        <v>5.666374485602496</v>
      </c>
      <c r="O238" s="14">
        <v>1.29</v>
      </c>
      <c r="R238" s="20">
        <f t="array" ref="R238">XLOOKUP(E238, 'Conference Match'!$A$2:$A$40,'Conference Match'!$C$2:$C$40)</f>
        <v>0.9</v>
      </c>
      <c r="S238" s="20">
        <f t="shared" si="1"/>
        <v>1.277947407</v>
      </c>
      <c r="T238" s="20">
        <f t="shared" si="2"/>
        <v>5.589661025</v>
      </c>
      <c r="U238" s="20">
        <f t="shared" si="3"/>
        <v>-34.79774982</v>
      </c>
      <c r="W238" s="20">
        <f>IFERROR(__xludf.DUMMYFUNCTION("iferror(PERCENTRANK.INC(FILTER($S$2:$S$426, $P$2:$P$426&lt;3.75), $S238), 1)"),0.098)</f>
        <v>0.098</v>
      </c>
      <c r="X238" s="20">
        <f>IFERROR(__xludf.DUMMYFUNCTION("iferror(PERCENTRANK.INC(FILTER($S$2:$S$426, $P$2:$P$426&lt;4.5), $S238), 1)"),0.068)</f>
        <v>0.068</v>
      </c>
      <c r="Y238" s="20">
        <f>IFERROR(__xludf.DUMMYFUNCTION("iferror(PERCENTRANK.INC(FILTER($S$2:$S$426, $P$2:$P$426&gt;=4.1), $S238), 0.01)"),0.01)</f>
        <v>0.01</v>
      </c>
    </row>
    <row r="239" ht="14.25" customHeight="1">
      <c r="A239" s="14" t="s">
        <v>1191</v>
      </c>
      <c r="B239" s="14" t="s">
        <v>555</v>
      </c>
      <c r="C239" s="14" t="s">
        <v>954</v>
      </c>
      <c r="D239" s="14" t="s">
        <v>954</v>
      </c>
      <c r="E239" s="14" t="s">
        <v>138</v>
      </c>
      <c r="F239" s="14">
        <v>35.0</v>
      </c>
      <c r="G239" s="14">
        <v>20.0</v>
      </c>
      <c r="H239" s="14">
        <v>277.0</v>
      </c>
      <c r="I239" s="14">
        <v>13.8</v>
      </c>
      <c r="J239" s="14">
        <v>3.0</v>
      </c>
      <c r="K239" s="20">
        <v>6.238517342745354</v>
      </c>
      <c r="L239" s="20">
        <v>45.59133384224142</v>
      </c>
      <c r="M239" s="15"/>
      <c r="N239" s="20">
        <v>6.238517342745354</v>
      </c>
      <c r="O239" s="14">
        <v>0.76</v>
      </c>
      <c r="R239" s="20">
        <f t="array" ref="R239">XLOOKUP(E239, 'Conference Match'!$A$2:$A$40,'Conference Match'!$C$2:$C$40)</f>
        <v>0.9</v>
      </c>
      <c r="S239" s="20">
        <f t="shared" si="1"/>
        <v>1.274933122</v>
      </c>
      <c r="T239" s="20">
        <f t="shared" si="2"/>
        <v>5.531510943</v>
      </c>
      <c r="U239" s="20">
        <f t="shared" si="3"/>
        <v>-40.0598229</v>
      </c>
      <c r="W239" s="20">
        <f>IFERROR(__xludf.DUMMYFUNCTION("iferror(PERCENTRANK.INC(FILTER($S$2:$S$426, $P$2:$P$426&lt;3.75), $S239), 1)"),0.092)</f>
        <v>0.092</v>
      </c>
      <c r="X239" s="20">
        <f>IFERROR(__xludf.DUMMYFUNCTION("iferror(PERCENTRANK.INC(FILTER($S$2:$S$426, $P$2:$P$426&lt;4.5), $S239), 1)"),0.063)</f>
        <v>0.063</v>
      </c>
      <c r="Y239" s="20">
        <f>IFERROR(__xludf.DUMMYFUNCTION("iferror(PERCENTRANK.INC(FILTER($S$2:$S$426, $P$2:$P$426&gt;=4.1), $S239), 0.01)"),0.01)</f>
        <v>0.01</v>
      </c>
    </row>
    <row r="240" ht="14.25" customHeight="1">
      <c r="A240" s="14" t="s">
        <v>1192</v>
      </c>
      <c r="B240" s="14" t="s">
        <v>468</v>
      </c>
      <c r="C240" s="14" t="s">
        <v>954</v>
      </c>
      <c r="D240" s="14" t="s">
        <v>954</v>
      </c>
      <c r="E240" s="14" t="s">
        <v>111</v>
      </c>
      <c r="F240" s="14">
        <v>34.0</v>
      </c>
      <c r="G240" s="14">
        <v>21.0</v>
      </c>
      <c r="H240" s="14">
        <v>267.0</v>
      </c>
      <c r="I240" s="14">
        <v>12.7</v>
      </c>
      <c r="J240" s="14">
        <v>2.0</v>
      </c>
      <c r="K240" s="20">
        <v>5.759077703874236</v>
      </c>
      <c r="L240" s="20">
        <v>41.23059258168539</v>
      </c>
      <c r="M240" s="15"/>
      <c r="N240" s="20">
        <v>5.759077703874236</v>
      </c>
      <c r="O240" s="14">
        <v>1.17</v>
      </c>
      <c r="R240" s="20">
        <f t="array" ref="R240">XLOOKUP(E240, 'Conference Match'!$A$2:$A$40,'Conference Match'!$C$2:$C$40)</f>
        <v>0.9</v>
      </c>
      <c r="S240" s="20">
        <f t="shared" si="1"/>
        <v>1.270633987</v>
      </c>
      <c r="T240" s="20">
        <f t="shared" si="2"/>
        <v>5.448574196</v>
      </c>
      <c r="U240" s="20">
        <f t="shared" si="3"/>
        <v>-35.78201839</v>
      </c>
      <c r="W240" s="20">
        <f>IFERROR(__xludf.DUMMYFUNCTION("iferror(PERCENTRANK.INC(FILTER($S$2:$S$426, $P$2:$P$426&lt;3.75), $S240), 1)"),0.085)</f>
        <v>0.085</v>
      </c>
      <c r="X240" s="20">
        <f>IFERROR(__xludf.DUMMYFUNCTION("iferror(PERCENTRANK.INC(FILTER($S$2:$S$426, $P$2:$P$426&lt;4.5), $S240), 1)"),0.059)</f>
        <v>0.059</v>
      </c>
      <c r="Y240" s="20">
        <f>IFERROR(__xludf.DUMMYFUNCTION("iferror(PERCENTRANK.INC(FILTER($S$2:$S$426, $P$2:$P$426&gt;=4.1), $S240), 0.01)"),0.01)</f>
        <v>0.01</v>
      </c>
    </row>
    <row r="241" ht="14.25" customHeight="1">
      <c r="A241" s="14" t="s">
        <v>1193</v>
      </c>
      <c r="B241" s="14" t="s">
        <v>333</v>
      </c>
      <c r="C241" s="14">
        <v>7.0</v>
      </c>
      <c r="D241" s="14" t="s">
        <v>954</v>
      </c>
      <c r="E241" s="14" t="s">
        <v>149</v>
      </c>
      <c r="F241" s="14">
        <v>16.0</v>
      </c>
      <c r="G241" s="14">
        <v>10.0</v>
      </c>
      <c r="H241" s="14">
        <v>136.0</v>
      </c>
      <c r="I241" s="14">
        <v>13.6</v>
      </c>
      <c r="J241" s="14">
        <v>1.0</v>
      </c>
      <c r="K241" s="20">
        <v>5.597874670419675</v>
      </c>
      <c r="L241" s="20">
        <v>43.43726054743081</v>
      </c>
      <c r="M241" s="15"/>
      <c r="N241" s="20">
        <v>5.597874670419675</v>
      </c>
      <c r="O241" s="14">
        <v>1.01</v>
      </c>
      <c r="R241" s="20">
        <f t="array" ref="R241">XLOOKUP(E241, 'Conference Match'!$A$2:$A$40,'Conference Match'!$C$2:$C$40)</f>
        <v>0.95</v>
      </c>
      <c r="S241" s="20">
        <f t="shared" si="1"/>
        <v>1.265596187</v>
      </c>
      <c r="T241" s="20">
        <f t="shared" si="2"/>
        <v>5.35138751</v>
      </c>
      <c r="U241" s="20">
        <f t="shared" si="3"/>
        <v>-38.08587304</v>
      </c>
      <c r="W241" s="20">
        <f>IFERROR(__xludf.DUMMYFUNCTION("iferror(PERCENTRANK.INC(FILTER($S$2:$S$426, $P$2:$P$426&lt;3.75), $S241), 1)"),0.078)</f>
        <v>0.078</v>
      </c>
      <c r="X241" s="20">
        <f>IFERROR(__xludf.DUMMYFUNCTION("iferror(PERCENTRANK.INC(FILTER($S$2:$S$426, $P$2:$P$426&lt;4.5), $S241), 1)"),0.054)</f>
        <v>0.054</v>
      </c>
      <c r="Y241" s="20">
        <f>IFERROR(__xludf.DUMMYFUNCTION("iferror(PERCENTRANK.INC(FILTER($S$2:$S$426, $P$2:$P$426&gt;=4.1), $S241), 0.01)"),0.01)</f>
        <v>0.01</v>
      </c>
    </row>
    <row r="242" ht="14.25" customHeight="1">
      <c r="A242" s="14" t="s">
        <v>1194</v>
      </c>
      <c r="B242" s="14" t="s">
        <v>297</v>
      </c>
      <c r="C242" s="14">
        <v>81.0</v>
      </c>
      <c r="D242" s="14" t="s">
        <v>954</v>
      </c>
      <c r="E242" s="14" t="s">
        <v>149</v>
      </c>
      <c r="F242" s="14">
        <v>20.0</v>
      </c>
      <c r="G242" s="14">
        <v>13.0</v>
      </c>
      <c r="H242" s="14">
        <v>166.0</v>
      </c>
      <c r="I242" s="14">
        <v>12.8</v>
      </c>
      <c r="J242" s="14">
        <v>1.0</v>
      </c>
      <c r="K242" s="20">
        <v>5.458082853203199</v>
      </c>
      <c r="L242" s="20">
        <v>41.766499113393074</v>
      </c>
      <c r="M242" s="15"/>
      <c r="N242" s="20">
        <v>5.458082853203199</v>
      </c>
      <c r="O242" s="14">
        <v>1.09</v>
      </c>
      <c r="R242" s="20">
        <f t="array" ref="R242">XLOOKUP(E242, 'Conference Match'!$A$2:$A$40,'Conference Match'!$C$2:$C$40)</f>
        <v>0.95</v>
      </c>
      <c r="S242" s="20">
        <f t="shared" si="1"/>
        <v>1.255035742</v>
      </c>
      <c r="T242" s="20">
        <f t="shared" si="2"/>
        <v>5.147660719</v>
      </c>
      <c r="U242" s="20">
        <f t="shared" si="3"/>
        <v>-36.61883839</v>
      </c>
      <c r="W242" s="20">
        <f>IFERROR(__xludf.DUMMYFUNCTION("iferror(PERCENTRANK.INC(FILTER($S$2:$S$426, $P$2:$P$426&lt;3.75), $S242), 1)"),0.072)</f>
        <v>0.072</v>
      </c>
      <c r="X242" s="20">
        <f>IFERROR(__xludf.DUMMYFUNCTION("iferror(PERCENTRANK.INC(FILTER($S$2:$S$426, $P$2:$P$426&lt;4.5), $S242), 1)"),0.05)</f>
        <v>0.05</v>
      </c>
      <c r="Y242" s="20">
        <f>IFERROR(__xludf.DUMMYFUNCTION("iferror(PERCENTRANK.INC(FILTER($S$2:$S$426, $P$2:$P$426&gt;=4.1), $S242), 0.01)"),0.01)</f>
        <v>0.01</v>
      </c>
    </row>
    <row r="243" ht="14.25" customHeight="1">
      <c r="A243" s="14" t="s">
        <v>1195</v>
      </c>
      <c r="B243" s="14" t="s">
        <v>780</v>
      </c>
      <c r="C243" s="14" t="s">
        <v>954</v>
      </c>
      <c r="D243" s="14" t="s">
        <v>954</v>
      </c>
      <c r="E243" s="14" t="s">
        <v>141</v>
      </c>
      <c r="F243" s="14">
        <v>26.0</v>
      </c>
      <c r="G243" s="14">
        <v>18.0</v>
      </c>
      <c r="H243" s="14">
        <v>296.0</v>
      </c>
      <c r="I243" s="14">
        <v>16.4</v>
      </c>
      <c r="J243" s="14">
        <v>1.0</v>
      </c>
      <c r="K243" s="20">
        <v>6.765081364639977</v>
      </c>
      <c r="L243" s="20">
        <v>50.38069473448394</v>
      </c>
      <c r="M243" s="15"/>
      <c r="N243" s="20">
        <v>6.765081364639977</v>
      </c>
      <c r="O243" s="14">
        <v>0.01</v>
      </c>
      <c r="R243" s="20">
        <f t="array" ref="R243">XLOOKUP(E243, 'Conference Match'!$A$2:$A$40,'Conference Match'!$C$2:$C$40)</f>
        <v>0.9</v>
      </c>
      <c r="S243" s="20">
        <f t="shared" si="1"/>
        <v>1.219714646</v>
      </c>
      <c r="T243" s="20">
        <f t="shared" si="2"/>
        <v>4.466263919</v>
      </c>
      <c r="U243" s="20">
        <f t="shared" si="3"/>
        <v>-45.91443082</v>
      </c>
      <c r="W243" s="20">
        <f>IFERROR(__xludf.DUMMYFUNCTION("iferror(PERCENTRANK.INC(FILTER($S$2:$S$426, $P$2:$P$426&lt;3.75), $S243), 1)"),0.065)</f>
        <v>0.065</v>
      </c>
      <c r="X243" s="20">
        <f>IFERROR(__xludf.DUMMYFUNCTION("iferror(PERCENTRANK.INC(FILTER($S$2:$S$426, $P$2:$P$426&lt;4.5), $S243), 1)"),0.045)</f>
        <v>0.045</v>
      </c>
      <c r="Y243" s="20">
        <f>IFERROR(__xludf.DUMMYFUNCTION("iferror(PERCENTRANK.INC(FILTER($S$2:$S$426, $P$2:$P$426&gt;=4.1), $S243), 0.01)"),0.01)</f>
        <v>0.01</v>
      </c>
    </row>
    <row r="244" ht="14.25" customHeight="1">
      <c r="A244" s="14" t="s">
        <v>1196</v>
      </c>
      <c r="B244" s="14" t="s">
        <v>200</v>
      </c>
      <c r="C244" s="14" t="s">
        <v>954</v>
      </c>
      <c r="D244" s="14" t="s">
        <v>954</v>
      </c>
      <c r="E244" s="14" t="s">
        <v>105</v>
      </c>
      <c r="F244" s="14">
        <v>22.0</v>
      </c>
      <c r="G244" s="14">
        <v>16.0</v>
      </c>
      <c r="H244" s="14">
        <v>240.0</v>
      </c>
      <c r="I244" s="14">
        <v>15.0</v>
      </c>
      <c r="J244" s="14">
        <v>1.0</v>
      </c>
      <c r="K244" s="20">
        <v>6.320150248302475</v>
      </c>
      <c r="L244" s="20">
        <v>46.33382559849294</v>
      </c>
      <c r="M244" s="15"/>
      <c r="N244" s="20">
        <v>6.320150248302475</v>
      </c>
      <c r="O244" s="14">
        <v>0.33</v>
      </c>
      <c r="R244" s="20">
        <f t="array" ref="R244">XLOOKUP(E244, 'Conference Match'!$A$2:$A$40,'Conference Match'!$C$2:$C$40)</f>
        <v>0.9</v>
      </c>
      <c r="S244" s="20">
        <f t="shared" si="1"/>
        <v>1.203627045</v>
      </c>
      <c r="T244" s="20">
        <f t="shared" si="2"/>
        <v>4.155910026</v>
      </c>
      <c r="U244" s="20">
        <f t="shared" si="3"/>
        <v>-42.17791557</v>
      </c>
      <c r="W244" s="20">
        <f>IFERROR(__xludf.DUMMYFUNCTION("iferror(PERCENTRANK.INC(FILTER($S$2:$S$426, $P$2:$P$426&lt;3.75), $S244), 1)"),0.059)</f>
        <v>0.059</v>
      </c>
      <c r="X244" s="20">
        <f>IFERROR(__xludf.DUMMYFUNCTION("iferror(PERCENTRANK.INC(FILTER($S$2:$S$426, $P$2:$P$426&lt;4.5), $S244), 1)"),0.041)</f>
        <v>0.041</v>
      </c>
      <c r="Y244" s="20">
        <f>IFERROR(__xludf.DUMMYFUNCTION("iferror(PERCENTRANK.INC(FILTER($S$2:$S$426, $P$2:$P$426&gt;=4.1), $S244), 0.01)"),0.01)</f>
        <v>0.01</v>
      </c>
    </row>
    <row r="245" ht="14.25" customHeight="1">
      <c r="A245" s="14" t="s">
        <v>1197</v>
      </c>
      <c r="B245" s="14" t="s">
        <v>499</v>
      </c>
      <c r="C245" s="14" t="s">
        <v>954</v>
      </c>
      <c r="D245" s="14" t="s">
        <v>954</v>
      </c>
      <c r="E245" s="14" t="s">
        <v>105</v>
      </c>
      <c r="F245" s="14">
        <v>22.0</v>
      </c>
      <c r="G245" s="14">
        <v>10.0</v>
      </c>
      <c r="H245" s="14">
        <v>157.0</v>
      </c>
      <c r="I245" s="14">
        <v>15.7</v>
      </c>
      <c r="J245" s="14">
        <v>0.0</v>
      </c>
      <c r="K245" s="20">
        <v>5.84969570284793</v>
      </c>
      <c r="L245" s="20">
        <v>42.05480821809805</v>
      </c>
      <c r="M245" s="15"/>
      <c r="N245" s="20">
        <v>5.84969570284793</v>
      </c>
      <c r="O245" s="14">
        <v>0.75</v>
      </c>
      <c r="R245" s="20">
        <f t="array" ref="R245">XLOOKUP(E245, 'Conference Match'!$A$2:$A$40,'Conference Match'!$C$2:$C$40)</f>
        <v>0.9</v>
      </c>
      <c r="S245" s="20">
        <f t="shared" si="1"/>
        <v>1.202945227</v>
      </c>
      <c r="T245" s="20">
        <f t="shared" si="2"/>
        <v>4.142756733</v>
      </c>
      <c r="U245" s="20">
        <f t="shared" si="3"/>
        <v>-37.91205149</v>
      </c>
      <c r="W245" s="20">
        <f>IFERROR(__xludf.DUMMYFUNCTION("iferror(PERCENTRANK.INC(FILTER($S$2:$S$426, $P$2:$P$426&lt;3.75), $S245), 1)"),0.052)</f>
        <v>0.052</v>
      </c>
      <c r="X245" s="20">
        <f>IFERROR(__xludf.DUMMYFUNCTION("iferror(PERCENTRANK.INC(FILTER($S$2:$S$426, $P$2:$P$426&lt;4.5), $S245), 1)"),0.036)</f>
        <v>0.036</v>
      </c>
      <c r="Y245" s="20">
        <f>IFERROR(__xludf.DUMMYFUNCTION("iferror(PERCENTRANK.INC(FILTER($S$2:$S$426, $P$2:$P$426&gt;=4.1), $S245), 0.01)"),0.01)</f>
        <v>0.01</v>
      </c>
    </row>
    <row r="246" ht="14.25" customHeight="1">
      <c r="A246" s="14" t="s">
        <v>1198</v>
      </c>
      <c r="B246" s="14" t="s">
        <v>555</v>
      </c>
      <c r="C246" s="14" t="s">
        <v>954</v>
      </c>
      <c r="D246" s="14" t="s">
        <v>954</v>
      </c>
      <c r="E246" s="14" t="s">
        <v>138</v>
      </c>
      <c r="F246" s="14">
        <v>25.0</v>
      </c>
      <c r="G246" s="14">
        <v>12.0</v>
      </c>
      <c r="H246" s="14">
        <v>187.0</v>
      </c>
      <c r="I246" s="14">
        <v>15.6</v>
      </c>
      <c r="J246" s="14">
        <v>1.0</v>
      </c>
      <c r="K246" s="20">
        <v>6.108333788307519</v>
      </c>
      <c r="L246" s="20">
        <v>44.4072498590739</v>
      </c>
      <c r="M246" s="15"/>
      <c r="N246" s="20">
        <v>6.108333788307519</v>
      </c>
      <c r="O246" s="14">
        <v>0.46</v>
      </c>
      <c r="R246" s="20">
        <f t="array" ref="R246">XLOOKUP(E246, 'Conference Match'!$A$2:$A$40,'Conference Match'!$C$2:$C$40)</f>
        <v>0.9</v>
      </c>
      <c r="S246" s="20">
        <f t="shared" si="1"/>
        <v>1.191500082</v>
      </c>
      <c r="T246" s="20">
        <f t="shared" si="2"/>
        <v>3.921962768</v>
      </c>
      <c r="U246" s="20">
        <f t="shared" si="3"/>
        <v>-40.48528709</v>
      </c>
      <c r="W246" s="20">
        <f>IFERROR(__xludf.DUMMYFUNCTION("iferror(PERCENTRANK.INC(FILTER($S$2:$S$426, $P$2:$P$426&lt;3.75), $S246), 1)"),0.046)</f>
        <v>0.046</v>
      </c>
      <c r="X246" s="20">
        <f>IFERROR(__xludf.DUMMYFUNCTION("iferror(PERCENTRANK.INC(FILTER($S$2:$S$426, $P$2:$P$426&lt;4.5), $S246), 1)"),0.032)</f>
        <v>0.032</v>
      </c>
      <c r="Y246" s="20">
        <f>IFERROR(__xludf.DUMMYFUNCTION("iferror(PERCENTRANK.INC(FILTER($S$2:$S$426, $P$2:$P$426&gt;=4.1), $S246), 0.01)"),0.01)</f>
        <v>0.01</v>
      </c>
    </row>
    <row r="247" ht="14.25" customHeight="1">
      <c r="A247" s="14" t="s">
        <v>1199</v>
      </c>
      <c r="B247" s="14" t="s">
        <v>343</v>
      </c>
      <c r="C247" s="14" t="s">
        <v>954</v>
      </c>
      <c r="D247" s="14" t="s">
        <v>954</v>
      </c>
      <c r="E247" s="14" t="s">
        <v>105</v>
      </c>
      <c r="F247" s="14">
        <v>21.0</v>
      </c>
      <c r="G247" s="14">
        <v>12.0</v>
      </c>
      <c r="H247" s="14">
        <v>180.0</v>
      </c>
      <c r="I247" s="14">
        <v>15.0</v>
      </c>
      <c r="J247" s="14">
        <v>0.0</v>
      </c>
      <c r="K247" s="20">
        <v>5.831864858675411</v>
      </c>
      <c r="L247" s="20">
        <v>41.892627848371575</v>
      </c>
      <c r="M247" s="15"/>
      <c r="N247" s="20">
        <v>5.831864858675411</v>
      </c>
      <c r="O247" s="14">
        <v>0.63</v>
      </c>
      <c r="R247" s="20">
        <f t="array" ref="R247">XLOOKUP(E247, 'Conference Match'!$A$2:$A$40,'Conference Match'!$C$2:$C$40)</f>
        <v>0.9</v>
      </c>
      <c r="S247" s="20">
        <f t="shared" si="1"/>
        <v>1.175735675</v>
      </c>
      <c r="T247" s="20">
        <f t="shared" si="2"/>
        <v>3.617843763</v>
      </c>
      <c r="U247" s="20">
        <f t="shared" si="3"/>
        <v>-38.27478409</v>
      </c>
      <c r="W247" s="20">
        <f>IFERROR(__xludf.DUMMYFUNCTION("iferror(PERCENTRANK.INC(FILTER($S$2:$S$426, $P$2:$P$426&lt;3.75), $S247), 1)"),0.039)</f>
        <v>0.039</v>
      </c>
      <c r="X247" s="20">
        <f>IFERROR(__xludf.DUMMYFUNCTION("iferror(PERCENTRANK.INC(FILTER($S$2:$S$426, $P$2:$P$426&lt;4.5), $S247), 1)"),0.027)</f>
        <v>0.027</v>
      </c>
      <c r="Y247" s="20">
        <f>IFERROR(__xludf.DUMMYFUNCTION("iferror(PERCENTRANK.INC(FILTER($S$2:$S$426, $P$2:$P$426&gt;=4.1), $S247), 0.01)"),0.01)</f>
        <v>0.01</v>
      </c>
    </row>
    <row r="248" ht="14.25" customHeight="1">
      <c r="A248" s="14" t="s">
        <v>1200</v>
      </c>
      <c r="B248" s="14" t="s">
        <v>295</v>
      </c>
      <c r="C248" s="14" t="s">
        <v>954</v>
      </c>
      <c r="D248" s="14" t="s">
        <v>954</v>
      </c>
      <c r="E248" s="14" t="s">
        <v>135</v>
      </c>
      <c r="F248" s="14">
        <v>18.0</v>
      </c>
      <c r="G248" s="14">
        <v>12.0</v>
      </c>
      <c r="H248" s="14">
        <v>164.0</v>
      </c>
      <c r="I248" s="14">
        <v>13.7</v>
      </c>
      <c r="J248" s="14">
        <v>2.0</v>
      </c>
      <c r="K248" s="20">
        <v>5.933331420486033</v>
      </c>
      <c r="L248" s="20">
        <v>42.81551654338262</v>
      </c>
      <c r="M248" s="15"/>
      <c r="N248" s="20">
        <v>5.933331420486033</v>
      </c>
      <c r="O248" s="14">
        <v>0.46</v>
      </c>
      <c r="R248" s="20">
        <f t="array" ref="R248">XLOOKUP(E248, 'Conference Match'!$A$2:$A$40,'Conference Match'!$C$2:$C$40)</f>
        <v>0.9</v>
      </c>
      <c r="S248" s="20">
        <f t="shared" si="1"/>
        <v>1.159999656</v>
      </c>
      <c r="T248" s="20">
        <f t="shared" si="2"/>
        <v>3.314272414</v>
      </c>
      <c r="U248" s="20">
        <f t="shared" si="3"/>
        <v>-39.50124413</v>
      </c>
      <c r="W248" s="20">
        <f>IFERROR(__xludf.DUMMYFUNCTION("iferror(PERCENTRANK.INC(FILTER($S$2:$S$426, $P$2:$P$426&lt;3.75), $S248), 1)"),0.033)</f>
        <v>0.033</v>
      </c>
      <c r="X248" s="20">
        <f>IFERROR(__xludf.DUMMYFUNCTION("iferror(PERCENTRANK.INC(FILTER($S$2:$S$426, $P$2:$P$426&lt;4.5), $S248), 1)"),0.023)</f>
        <v>0.023</v>
      </c>
      <c r="Y248" s="20">
        <f>IFERROR(__xludf.DUMMYFUNCTION("iferror(PERCENTRANK.INC(FILTER($S$2:$S$426, $P$2:$P$426&gt;=4.1), $S248), 0.01)"),0.01)</f>
        <v>0.01</v>
      </c>
    </row>
    <row r="249" ht="14.25" customHeight="1">
      <c r="A249" s="14" t="s">
        <v>1201</v>
      </c>
      <c r="B249" s="14" t="s">
        <v>533</v>
      </c>
      <c r="C249" s="14" t="s">
        <v>954</v>
      </c>
      <c r="D249" s="14" t="s">
        <v>954</v>
      </c>
      <c r="E249" s="14" t="s">
        <v>135</v>
      </c>
      <c r="F249" s="14">
        <v>20.0</v>
      </c>
      <c r="G249" s="14">
        <v>8.0</v>
      </c>
      <c r="H249" s="14">
        <v>130.0</v>
      </c>
      <c r="I249" s="14">
        <v>16.3</v>
      </c>
      <c r="J249" s="14">
        <v>0.0</v>
      </c>
      <c r="K249" s="20">
        <v>5.890582853203199</v>
      </c>
      <c r="L249" s="20">
        <v>42.42669712574157</v>
      </c>
      <c r="M249" s="15"/>
      <c r="N249" s="20">
        <v>5.890582853203199</v>
      </c>
      <c r="O249" s="14">
        <v>0.48</v>
      </c>
      <c r="R249" s="20">
        <f t="array" ref="R249">XLOOKUP(E249, 'Conference Match'!$A$2:$A$40,'Conference Match'!$C$2:$C$40)</f>
        <v>0.9</v>
      </c>
      <c r="S249" s="20">
        <f t="shared" si="1"/>
        <v>1.156304914</v>
      </c>
      <c r="T249" s="20">
        <f t="shared" si="2"/>
        <v>3.242995311</v>
      </c>
      <c r="U249" s="20">
        <f t="shared" si="3"/>
        <v>-39.18370182</v>
      </c>
      <c r="W249" s="20">
        <f>IFERROR(__xludf.DUMMYFUNCTION("iferror(PERCENTRANK.INC(FILTER($S$2:$S$426, $P$2:$P$426&lt;3.75), $S249), 1)"),0.026)</f>
        <v>0.026</v>
      </c>
      <c r="X249" s="20">
        <f>IFERROR(__xludf.DUMMYFUNCTION("iferror(PERCENTRANK.INC(FILTER($S$2:$S$426, $P$2:$P$426&lt;4.5), $S249), 1)"),0.018)</f>
        <v>0.018</v>
      </c>
      <c r="Y249" s="20">
        <f>IFERROR(__xludf.DUMMYFUNCTION("iferror(PERCENTRANK.INC(FILTER($S$2:$S$426, $P$2:$P$426&gt;=4.1), $S249), 0.01)"),0.01)</f>
        <v>0.01</v>
      </c>
    </row>
    <row r="250" ht="14.25" customHeight="1">
      <c r="A250" s="14" t="s">
        <v>1202</v>
      </c>
      <c r="B250" s="14" t="s">
        <v>493</v>
      </c>
      <c r="C250" s="14" t="s">
        <v>954</v>
      </c>
      <c r="D250" s="14" t="s">
        <v>954</v>
      </c>
      <c r="E250" s="14" t="s">
        <v>105</v>
      </c>
      <c r="F250" s="14">
        <v>20.0</v>
      </c>
      <c r="G250" s="14">
        <v>12.0</v>
      </c>
      <c r="H250" s="14">
        <v>182.0</v>
      </c>
      <c r="I250" s="14">
        <v>15.2</v>
      </c>
      <c r="J250" s="14">
        <v>0.0</v>
      </c>
      <c r="K250" s="20">
        <v>5.925582853203197</v>
      </c>
      <c r="L250" s="20">
        <v>42.74503948157769</v>
      </c>
      <c r="M250" s="15"/>
      <c r="N250" s="20">
        <v>5.925582853203197</v>
      </c>
      <c r="O250" s="14">
        <v>0.43</v>
      </c>
      <c r="R250" s="20">
        <f t="array" ref="R250">XLOOKUP(E250, 'Conference Match'!$A$2:$A$40,'Conference Match'!$C$2:$C$40)</f>
        <v>0.9</v>
      </c>
      <c r="S250" s="20">
        <f t="shared" si="1"/>
        <v>1.152604914</v>
      </c>
      <c r="T250" s="20">
        <f t="shared" si="2"/>
        <v>3.171616774</v>
      </c>
      <c r="U250" s="20">
        <f t="shared" si="3"/>
        <v>-39.57342271</v>
      </c>
      <c r="W250" s="20">
        <f>IFERROR(__xludf.DUMMYFUNCTION("iferror(PERCENTRANK.INC(FILTER($S$2:$S$426, $P$2:$P$426&lt;3.75), $S250), 1)"),0.02)</f>
        <v>0.02</v>
      </c>
      <c r="X250" s="20">
        <f>IFERROR(__xludf.DUMMYFUNCTION("iferror(PERCENTRANK.INC(FILTER($S$2:$S$426, $P$2:$P$426&lt;4.5), $S250), 1)"),0.014)</f>
        <v>0.014</v>
      </c>
      <c r="Y250" s="20">
        <f>IFERROR(__xludf.DUMMYFUNCTION("iferror(PERCENTRANK.INC(FILTER($S$2:$S$426, $P$2:$P$426&gt;=4.1), $S250), 0.01)"),0.01)</f>
        <v>0.01</v>
      </c>
    </row>
    <row r="251" ht="14.25" customHeight="1">
      <c r="A251" s="14" t="s">
        <v>1203</v>
      </c>
      <c r="B251" s="14" t="s">
        <v>590</v>
      </c>
      <c r="C251" s="14" t="s">
        <v>954</v>
      </c>
      <c r="D251" s="14" t="s">
        <v>954</v>
      </c>
      <c r="E251" s="14" t="s">
        <v>111</v>
      </c>
      <c r="F251" s="14">
        <v>19.0</v>
      </c>
      <c r="G251" s="14">
        <v>14.0</v>
      </c>
      <c r="H251" s="14">
        <v>192.0</v>
      </c>
      <c r="I251" s="14">
        <v>13.7</v>
      </c>
      <c r="J251" s="14">
        <v>1.0</v>
      </c>
      <c r="K251" s="20">
        <v>5.86824313784916</v>
      </c>
      <c r="L251" s="20">
        <v>42.223506336755456</v>
      </c>
      <c r="M251" s="15"/>
      <c r="N251" s="20">
        <v>5.86824313784916</v>
      </c>
      <c r="O251" s="14">
        <v>0.46</v>
      </c>
      <c r="R251" s="20">
        <f t="array" ref="R251">XLOOKUP(E251, 'Conference Match'!$A$2:$A$40,'Conference Match'!$C$2:$C$40)</f>
        <v>0.9</v>
      </c>
      <c r="S251" s="20">
        <f t="shared" si="1"/>
        <v>1.148283765</v>
      </c>
      <c r="T251" s="20">
        <f t="shared" si="2"/>
        <v>3.088255349</v>
      </c>
      <c r="U251" s="20">
        <f t="shared" si="3"/>
        <v>-39.13525099</v>
      </c>
      <c r="W251" s="20">
        <f>IFERROR(__xludf.DUMMYFUNCTION("iferror(PERCENTRANK.INC(FILTER($S$2:$S$426, $P$2:$P$426&lt;3.75), $S251), 1)"),0.013)</f>
        <v>0.013</v>
      </c>
      <c r="X251" s="20">
        <f>IFERROR(__xludf.DUMMYFUNCTION("iferror(PERCENTRANK.INC(FILTER($S$2:$S$426, $P$2:$P$426&lt;4.5), $S251), 1)"),0.009)</f>
        <v>0.009</v>
      </c>
      <c r="Y251" s="20">
        <f>IFERROR(__xludf.DUMMYFUNCTION("iferror(PERCENTRANK.INC(FILTER($S$2:$S$426, $P$2:$P$426&gt;=4.1), $S251), 0.01)"),0.01)</f>
        <v>0.01</v>
      </c>
    </row>
    <row r="252" ht="14.25" customHeight="1">
      <c r="A252" s="14" t="s">
        <v>1204</v>
      </c>
      <c r="B252" s="14" t="s">
        <v>527</v>
      </c>
      <c r="C252" s="14">
        <v>14.0</v>
      </c>
      <c r="D252" s="14" t="s">
        <v>954</v>
      </c>
      <c r="E252" s="14" t="s">
        <v>125</v>
      </c>
      <c r="F252" s="14">
        <v>30.0</v>
      </c>
      <c r="G252" s="14">
        <v>17.0</v>
      </c>
      <c r="H252" s="14">
        <v>213.0</v>
      </c>
      <c r="I252" s="14">
        <v>12.5</v>
      </c>
      <c r="J252" s="14">
        <v>1.0</v>
      </c>
      <c r="K252" s="20">
        <v>5.378562188236468</v>
      </c>
      <c r="L252" s="20">
        <v>40.8160853990502</v>
      </c>
      <c r="M252" s="15"/>
      <c r="N252" s="20">
        <v>5.378562188236468</v>
      </c>
      <c r="O252" s="14">
        <v>0.38</v>
      </c>
      <c r="R252" s="20">
        <f t="array" ref="R252">XLOOKUP(E252, 'Conference Match'!$A$2:$A$40,'Conference Match'!$C$2:$C$40)</f>
        <v>0.95</v>
      </c>
      <c r="S252" s="20">
        <f t="shared" si="1"/>
        <v>1.097926816</v>
      </c>
      <c r="T252" s="20">
        <f t="shared" si="2"/>
        <v>2.116794455</v>
      </c>
      <c r="U252" s="20">
        <f t="shared" si="3"/>
        <v>-38.69929094</v>
      </c>
      <c r="W252" s="20">
        <f>IFERROR(__xludf.DUMMYFUNCTION("iferror(PERCENTRANK.INC(FILTER($S$2:$S$426, $P$2:$P$426&lt;3.75), $S252), 1)"),0.007)</f>
        <v>0.007</v>
      </c>
      <c r="X252" s="20">
        <f>IFERROR(__xludf.DUMMYFUNCTION("iferror(PERCENTRANK.INC(FILTER($S$2:$S$426, $P$2:$P$426&lt;4.5), $S252), 1)"),0.005)</f>
        <v>0.005</v>
      </c>
      <c r="Y252" s="20">
        <f>IFERROR(__xludf.DUMMYFUNCTION("iferror(PERCENTRANK.INC(FILTER($S$2:$S$426, $P$2:$P$426&gt;=4.1), $S252), 0.01)"),0.01)</f>
        <v>0.01</v>
      </c>
    </row>
    <row r="253" ht="14.25" customHeight="1">
      <c r="A253" s="17" t="s">
        <v>1205</v>
      </c>
      <c r="B253" s="17" t="s">
        <v>590</v>
      </c>
      <c r="D253" s="17" t="s">
        <v>954</v>
      </c>
      <c r="E253" s="17" t="s">
        <v>111</v>
      </c>
      <c r="F253" s="18">
        <v>21.0</v>
      </c>
      <c r="G253" s="18">
        <v>13.0</v>
      </c>
      <c r="H253" s="18">
        <v>131.0</v>
      </c>
      <c r="I253" s="18">
        <v>10.1</v>
      </c>
      <c r="J253" s="18">
        <v>0.0</v>
      </c>
      <c r="K253" s="18">
        <v>4.39</v>
      </c>
      <c r="L253" s="22">
        <v>28.74</v>
      </c>
      <c r="M253" s="15"/>
      <c r="N253" s="18">
        <v>4.39</v>
      </c>
      <c r="O253" s="16">
        <v>0.99</v>
      </c>
      <c r="R253" s="20">
        <f t="array" ref="R253">XLOOKUP(E253, 'Conference Match'!$A$2:$A$40,'Conference Match'!$C$2:$C$40)</f>
        <v>0.9</v>
      </c>
      <c r="S253" s="20">
        <f t="shared" si="1"/>
        <v>0.9882</v>
      </c>
      <c r="T253" s="20">
        <f t="shared" si="2"/>
        <v>0</v>
      </c>
      <c r="U253" s="20">
        <f t="shared" si="3"/>
        <v>-28.74</v>
      </c>
      <c r="W253" s="20">
        <f>IFERROR(__xludf.DUMMYFUNCTION("iferror(PERCENTRANK.INC(FILTER($S$2:$S$426, $P$2:$P$426&lt;3.75), $S253), 1)"),0.0)</f>
        <v>0</v>
      </c>
      <c r="X253" s="20">
        <f>IFERROR(__xludf.DUMMYFUNCTION("iferror(PERCENTRANK.INC(FILTER($S$2:$S$426, $P$2:$P$426&lt;4.5), $S253), 1)"),0.0)</f>
        <v>0</v>
      </c>
      <c r="Y253" s="20">
        <f>IFERROR(__xludf.DUMMYFUNCTION("iferror(PERCENTRANK.INC(FILTER($S$2:$S$426, $P$2:$P$426&gt;=4.1), $S253), 0.01)"),0.01)</f>
        <v>0.01</v>
      </c>
    </row>
    <row r="254" ht="14.25" customHeight="1">
      <c r="A254" s="14" t="s">
        <v>1206</v>
      </c>
      <c r="B254" s="14" t="s">
        <v>140</v>
      </c>
      <c r="C254" s="14" t="s">
        <v>954</v>
      </c>
      <c r="D254" s="14" t="s">
        <v>954</v>
      </c>
      <c r="E254" s="14" t="s">
        <v>141</v>
      </c>
      <c r="F254" s="14">
        <v>31.0</v>
      </c>
      <c r="G254" s="14">
        <v>23.0</v>
      </c>
      <c r="H254" s="14">
        <v>397.0</v>
      </c>
      <c r="I254" s="14">
        <v>17.3</v>
      </c>
      <c r="J254" s="14">
        <v>5.0</v>
      </c>
      <c r="K254" s="20">
        <v>8.004136598237968</v>
      </c>
      <c r="L254" s="20">
        <v>61.65051650804637</v>
      </c>
      <c r="M254" s="15"/>
      <c r="N254" s="20">
        <v>8.004136598237968</v>
      </c>
      <c r="O254" s="14">
        <v>4.5</v>
      </c>
      <c r="R254" s="20">
        <f t="array" ref="R254">XLOOKUP(E254, 'Conference Match'!$A$2:$A$40,'Conference Match'!$C$2:$C$40)</f>
        <v>0.9</v>
      </c>
      <c r="S254" s="20">
        <f t="shared" si="1"/>
        <v>2.340744588</v>
      </c>
      <c r="T254" s="20">
        <f t="shared" si="2"/>
        <v>26.09260885</v>
      </c>
      <c r="U254" s="20">
        <f t="shared" si="3"/>
        <v>-35.55790766</v>
      </c>
      <c r="W254" s="20">
        <f>IFERROR(__xludf.DUMMYFUNCTION("iferror(PERCENTRANK.INC(FILTER($S$2:$S$426, $P$2:$P$426&lt;3.75), $S254), 1)"),0.542)</f>
        <v>0.542</v>
      </c>
      <c r="X254" s="20">
        <f>IFERROR(__xludf.DUMMYFUNCTION("iferror(PERCENTRANK.INC(FILTER($S$2:$S$426, $P$2:$P$426&lt;4.5), $S254), 1)"),0.376)</f>
        <v>0.376</v>
      </c>
      <c r="Y254" s="20">
        <f>IFERROR(__xludf.DUMMYFUNCTION("iferror(PERCENTRANK.INC(FILTER($S$2:$S$426, $P$2:$P$426&gt;=4.1), $S254), 0.01)"),0.01)</f>
        <v>0.01</v>
      </c>
    </row>
    <row r="255" ht="14.25" customHeight="1">
      <c r="A255" s="14" t="s">
        <v>1207</v>
      </c>
      <c r="B255" s="14" t="s">
        <v>202</v>
      </c>
      <c r="C255" s="14" t="s">
        <v>954</v>
      </c>
      <c r="D255" s="14" t="s">
        <v>954</v>
      </c>
      <c r="E255" s="14" t="s">
        <v>141</v>
      </c>
      <c r="F255" s="14">
        <v>29.0</v>
      </c>
      <c r="G255" s="14">
        <v>15.0</v>
      </c>
      <c r="H255" s="14">
        <v>205.0</v>
      </c>
      <c r="I255" s="14">
        <v>13.7</v>
      </c>
      <c r="J255" s="14">
        <v>3.0</v>
      </c>
      <c r="K255" s="20">
        <v>6.051625980133478</v>
      </c>
      <c r="L255" s="20">
        <v>43.891464223404526</v>
      </c>
      <c r="M255" s="15"/>
      <c r="N255" s="20">
        <v>6.051625980133478</v>
      </c>
      <c r="O255" s="14">
        <v>3.74</v>
      </c>
      <c r="R255" s="20">
        <f t="array" ref="R255">XLOOKUP(E255, 'Conference Match'!$A$2:$A$40,'Conference Match'!$C$2:$C$40)</f>
        <v>0.9</v>
      </c>
      <c r="S255" s="20">
        <f t="shared" si="1"/>
        <v>1.837292676</v>
      </c>
      <c r="T255" s="20">
        <f t="shared" si="2"/>
        <v>16.38026819</v>
      </c>
      <c r="U255" s="20">
        <f t="shared" si="3"/>
        <v>-27.51119604</v>
      </c>
      <c r="W255" s="20">
        <f>IFERROR(__xludf.DUMMYFUNCTION("iferror(PERCENTRANK.INC(FILTER($S$2:$S$426, $P$2:$P$426&lt;3.75), $S255), 1)"),0.418)</f>
        <v>0.418</v>
      </c>
      <c r="X255" s="20">
        <f>IFERROR(__xludf.DUMMYFUNCTION("iferror(PERCENTRANK.INC(FILTER($S$2:$S$426, $P$2:$P$426&lt;4.5), $S255), 1)"),0.29)</f>
        <v>0.29</v>
      </c>
      <c r="Y255" s="20">
        <f>IFERROR(__xludf.DUMMYFUNCTION("iferror(PERCENTRANK.INC(FILTER($S$2:$S$426, $P$2:$P$426&gt;=4.1), $S255), 0.01)"),0.01)</f>
        <v>0.01</v>
      </c>
    </row>
    <row r="256" ht="14.25" customHeight="1">
      <c r="A256" s="14" t="s">
        <v>1208</v>
      </c>
      <c r="B256" s="14" t="s">
        <v>337</v>
      </c>
      <c r="C256" s="14" t="s">
        <v>954</v>
      </c>
      <c r="D256" s="14" t="s">
        <v>954</v>
      </c>
      <c r="E256" s="14" t="s">
        <v>141</v>
      </c>
      <c r="F256" s="14">
        <v>32.0</v>
      </c>
      <c r="G256" s="14">
        <v>22.0</v>
      </c>
      <c r="H256" s="14">
        <v>297.0</v>
      </c>
      <c r="I256" s="14">
        <v>13.5</v>
      </c>
      <c r="J256" s="14">
        <v>2.0</v>
      </c>
      <c r="K256" s="20">
        <v>6.098777646513268</v>
      </c>
      <c r="L256" s="20">
        <v>44.32033201074573</v>
      </c>
      <c r="M256" s="15"/>
      <c r="N256" s="20">
        <v>6.098777646513268</v>
      </c>
      <c r="O256" s="14">
        <v>1.94</v>
      </c>
      <c r="R256" s="20">
        <f t="array" ref="R256">XLOOKUP(E256, 'Conference Match'!$A$2:$A$40,'Conference Match'!$C$2:$C$40)</f>
        <v>0.9</v>
      </c>
      <c r="S256" s="20">
        <f t="shared" si="1"/>
        <v>1.485779976</v>
      </c>
      <c r="T256" s="20">
        <f t="shared" si="2"/>
        <v>9.59906225</v>
      </c>
      <c r="U256" s="20">
        <f t="shared" si="3"/>
        <v>-34.72126976</v>
      </c>
      <c r="W256" s="20">
        <f>IFERROR(__xludf.DUMMYFUNCTION("iferror(PERCENTRANK.INC(FILTER($S$2:$S$426, $P$2:$P$426&lt;3.75), $S256), 1)"),0.19)</f>
        <v>0.19</v>
      </c>
      <c r="X256" s="20">
        <f>IFERROR(__xludf.DUMMYFUNCTION("iferror(PERCENTRANK.INC(FILTER($S$2:$S$426, $P$2:$P$426&lt;4.5), $S256), 1)"),0.131)</f>
        <v>0.131</v>
      </c>
      <c r="Y256" s="20">
        <f>IFERROR(__xludf.DUMMYFUNCTION("iferror(PERCENTRANK.INC(FILTER($S$2:$S$426, $P$2:$P$426&gt;=4.1), $S256), 0.01)"),0.01)</f>
        <v>0.01</v>
      </c>
    </row>
    <row r="257" ht="14.25" customHeight="1">
      <c r="A257" s="14" t="s">
        <v>1209</v>
      </c>
      <c r="B257" s="14" t="s">
        <v>471</v>
      </c>
      <c r="C257" s="14" t="s">
        <v>954</v>
      </c>
      <c r="D257" s="14" t="s">
        <v>954</v>
      </c>
      <c r="E257" s="14" t="s">
        <v>209</v>
      </c>
      <c r="F257" s="14">
        <v>56.0</v>
      </c>
      <c r="G257" s="14">
        <v>39.0</v>
      </c>
      <c r="H257" s="14">
        <v>464.0</v>
      </c>
      <c r="I257" s="14">
        <v>11.9</v>
      </c>
      <c r="J257" s="14">
        <v>2.0</v>
      </c>
      <c r="K257" s="20">
        <v>5.7927465151706645</v>
      </c>
      <c r="L257" s="20">
        <v>41.536827116151336</v>
      </c>
      <c r="M257" s="15"/>
      <c r="N257" s="20">
        <v>5.7927465151706645</v>
      </c>
      <c r="O257" s="14">
        <v>2.75</v>
      </c>
      <c r="R257" s="20">
        <f t="array" ref="R257">XLOOKUP(E257, 'Conference Match'!$A$2:$A$40,'Conference Match'!$C$2:$C$40)</f>
        <v>0.9</v>
      </c>
      <c r="S257" s="20">
        <f t="shared" si="1"/>
        <v>1.592694373</v>
      </c>
      <c r="T257" s="20">
        <f t="shared" si="2"/>
        <v>11.66160093</v>
      </c>
      <c r="U257" s="20">
        <f t="shared" si="3"/>
        <v>-29.87522619</v>
      </c>
      <c r="W257" s="20">
        <f>IFERROR(__xludf.DUMMYFUNCTION("iferror(PERCENTRANK.INC(FILTER($S$2:$S$426, $P$2:$P$426&lt;3.75), $S257), 1)"),0.248)</f>
        <v>0.248</v>
      </c>
      <c r="X257" s="20">
        <f>IFERROR(__xludf.DUMMYFUNCTION("iferror(PERCENTRANK.INC(FILTER($S$2:$S$426, $P$2:$P$426&lt;4.5), $S257), 1)"),0.172)</f>
        <v>0.172</v>
      </c>
      <c r="Y257" s="20">
        <f>IFERROR(__xludf.DUMMYFUNCTION("iferror(PERCENTRANK.INC(FILTER($S$2:$S$426, $P$2:$P$426&gt;=4.1), $S257), 0.01)"),0.01)</f>
        <v>0.01</v>
      </c>
    </row>
    <row r="258" ht="14.25" customHeight="1">
      <c r="A258" s="17" t="s">
        <v>1210</v>
      </c>
      <c r="B258" s="17" t="s">
        <v>711</v>
      </c>
      <c r="C258" s="18">
        <v>3.0</v>
      </c>
      <c r="D258" s="17" t="s">
        <v>954</v>
      </c>
      <c r="E258" s="17" t="s">
        <v>152</v>
      </c>
      <c r="F258" s="18">
        <v>56.0</v>
      </c>
      <c r="G258" s="18">
        <v>32.0</v>
      </c>
      <c r="H258" s="18">
        <v>477.0</v>
      </c>
      <c r="I258" s="18">
        <v>14.9</v>
      </c>
      <c r="J258" s="18">
        <v>3.0</v>
      </c>
      <c r="K258" s="22">
        <v>6.73</v>
      </c>
      <c r="L258" s="22">
        <v>57.02</v>
      </c>
      <c r="M258" s="15"/>
      <c r="N258" s="36">
        <v>6.73</v>
      </c>
      <c r="O258" s="16">
        <v>3.06</v>
      </c>
      <c r="P258" s="16">
        <v>5.04</v>
      </c>
      <c r="Q258" s="16">
        <v>-2.5</v>
      </c>
      <c r="R258" s="20">
        <f t="array" ref="R258">XLOOKUP(E258, 'Conference Match'!$A$2:$A$40,'Conference Match'!$C$2:$C$40)</f>
        <v>0.95</v>
      </c>
      <c r="S258" s="20">
        <f t="shared" si="1"/>
        <v>4.1607</v>
      </c>
      <c r="T258" s="20">
        <f t="shared" si="2"/>
        <v>61.20227187</v>
      </c>
      <c r="U258" s="20">
        <f t="shared" si="3"/>
        <v>4.182271866</v>
      </c>
      <c r="W258" s="20">
        <f>IFERROR(__xludf.DUMMYFUNCTION("iferror(PERCENTRANK.INC(FILTER($S$2:$S$426, $P$2:$P$426&lt;3.75), $S258), 1)"),0.965)</f>
        <v>0.965</v>
      </c>
      <c r="X258" s="20">
        <f>IFERROR(__xludf.DUMMYFUNCTION("iferror(PERCENTRANK.INC(FILTER($S$2:$S$426, $P$2:$P$426&lt;4.5), $S258), 1)"),0.871)</f>
        <v>0.871</v>
      </c>
      <c r="Y258" s="20">
        <f>IFERROR(__xludf.DUMMYFUNCTION("iferror(PERCENTRANK.INC(FILTER($S$2:$S$426, $P$2:$P$426&gt;=4.1), $S258), 0.01)"),0.313)</f>
        <v>0.313</v>
      </c>
    </row>
    <row r="259" ht="14.25" customHeight="1">
      <c r="A259" s="14" t="s">
        <v>1211</v>
      </c>
      <c r="B259" s="14" t="s">
        <v>682</v>
      </c>
      <c r="C259" s="14" t="s">
        <v>954</v>
      </c>
      <c r="E259" s="14" t="s">
        <v>111</v>
      </c>
      <c r="F259" s="14">
        <v>35.0</v>
      </c>
      <c r="G259" s="14">
        <v>24.0</v>
      </c>
      <c r="H259" s="14">
        <v>230.0</v>
      </c>
      <c r="I259" s="14">
        <v>9.6</v>
      </c>
      <c r="J259" s="14">
        <v>1.0</v>
      </c>
      <c r="K259" s="20">
        <v>4.682803057031068</v>
      </c>
      <c r="L259" s="20">
        <v>31.441340964463524</v>
      </c>
      <c r="M259" s="15"/>
      <c r="N259" s="20">
        <v>4.68</v>
      </c>
      <c r="O259" s="20">
        <v>4.682803057031068</v>
      </c>
      <c r="P259" s="14">
        <v>0.61</v>
      </c>
      <c r="Q259" s="20">
        <v>4.04</v>
      </c>
      <c r="R259" s="20">
        <f t="array" ref="R259">XLOOKUP(E259, 'Conference Match'!$A$2:$A$40,'Conference Match'!$C$2:$C$40)</f>
        <v>0.9</v>
      </c>
      <c r="S259" s="20">
        <f t="shared" si="1"/>
        <v>2.487960611</v>
      </c>
      <c r="T259" s="20">
        <f t="shared" si="2"/>
        <v>28.93262622</v>
      </c>
      <c r="U259" s="20">
        <f t="shared" si="3"/>
        <v>-2.508714748</v>
      </c>
      <c r="W259" s="20">
        <f>IFERROR(__xludf.DUMMYFUNCTION("iferror(PERCENTRANK.INC(FILTER($S$2:$S$426, $P$2:$P$426&lt;3.75), $S259), 1)"),0.556)</f>
        <v>0.556</v>
      </c>
      <c r="X259" s="20">
        <f>IFERROR(__xludf.DUMMYFUNCTION("iferror(PERCENTRANK.INC(FILTER($S$2:$S$426, $P$2:$P$426&lt;4.5), $S259), 1)"),0.385)</f>
        <v>0.385</v>
      </c>
      <c r="Y259" s="20">
        <f>IFERROR(__xludf.DUMMYFUNCTION("iferror(PERCENTRANK.INC(FILTER($S$2:$S$426, $P$2:$P$426&gt;=4.1), $S259), 0.01)"),0.01)</f>
        <v>0.01</v>
      </c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Z$259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1212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1213</v>
      </c>
      <c r="B2" s="14" t="s">
        <v>386</v>
      </c>
      <c r="C2" s="14">
        <v>80.0</v>
      </c>
      <c r="D2" s="14" t="s">
        <v>1214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1213</v>
      </c>
      <c r="O2" s="14" t="s">
        <v>1215</v>
      </c>
      <c r="P2" s="14" t="s">
        <v>1216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$S$2:$S$425&lt;4.5), $V2), 1)"),1.0)</f>
        <v>1</v>
      </c>
      <c r="AB2" s="20">
        <f>IFERROR(__xludf.DUMMYFUNCTION("iferror(PERCENTRANK.INC(FILTER($V$2:$V$425, $S$2:$S$425&gt;=4.1), $V2), 0.01)"),1.0)</f>
        <v>1</v>
      </c>
    </row>
    <row r="3" ht="14.25" customHeight="1">
      <c r="A3" s="14" t="s">
        <v>1217</v>
      </c>
      <c r="B3" s="14" t="s">
        <v>579</v>
      </c>
      <c r="C3" s="14">
        <v>88.0</v>
      </c>
      <c r="D3" s="14" t="s">
        <v>1214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1217</v>
      </c>
      <c r="O3" s="14" t="s">
        <v>1218</v>
      </c>
      <c r="P3" s="14" t="s">
        <v>1216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4.282380409</v>
      </c>
      <c r="W3" s="20">
        <f t="shared" si="2"/>
        <v>82.55953754</v>
      </c>
      <c r="X3" s="20">
        <f t="shared" si="3"/>
        <v>15.28721246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$S$2:$S$425&lt;4.5), $V3), 1)"),0.97)</f>
        <v>0.97</v>
      </c>
      <c r="AB3" s="20">
        <f>IFERROR(__xludf.DUMMYFUNCTION("iferror(PERCENTRANK.INC(FILTER($V$2:$V$425, $S$2:$S$425&gt;=4.1), $V3), 0.01)"),0.757)</f>
        <v>0.757</v>
      </c>
    </row>
    <row r="4" ht="14.25" customHeight="1">
      <c r="A4" s="14" t="s">
        <v>1219</v>
      </c>
      <c r="B4" s="14" t="s">
        <v>655</v>
      </c>
      <c r="C4" s="16">
        <v>85.0</v>
      </c>
      <c r="D4" s="14" t="s">
        <v>1214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1219</v>
      </c>
      <c r="O4" s="14" t="s">
        <v>1220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$S$2:$S$425&lt;4.5), $V4), 1)"),1.0)</f>
        <v>1</v>
      </c>
      <c r="AB4" s="20">
        <f>IFERROR(__xludf.DUMMYFUNCTION("iferror(PERCENTRANK.INC(FILTER($V$2:$V$425, $S$2:$S$425&gt;=4.1), $V4), 0.01)"),0.833)</f>
        <v>0.833</v>
      </c>
    </row>
    <row r="5" ht="14.25" customHeight="1">
      <c r="A5" s="14" t="s">
        <v>1221</v>
      </c>
      <c r="B5" s="14" t="s">
        <v>285</v>
      </c>
      <c r="C5" s="16">
        <v>15.0</v>
      </c>
      <c r="D5" s="14" t="s">
        <v>1214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1221</v>
      </c>
      <c r="O5" s="14" t="s">
        <v>1222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4.079910968</v>
      </c>
      <c r="W5" s="20">
        <f t="shared" si="2"/>
        <v>77.80280887</v>
      </c>
      <c r="X5" s="20">
        <f t="shared" si="3"/>
        <v>35.9411852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$S$2:$S$425&lt;4.5), $V5), 1)"),0.909)</f>
        <v>0.909</v>
      </c>
      <c r="AB5" s="20">
        <f>IFERROR(__xludf.DUMMYFUNCTION("iferror(PERCENTRANK.INC(FILTER($V$2:$V$425, $S$2:$S$425&gt;=4.1), $V5), 0.01)"),0.5)</f>
        <v>0.5</v>
      </c>
    </row>
    <row r="6" ht="14.25" customHeight="1">
      <c r="A6" s="14" t="s">
        <v>1223</v>
      </c>
      <c r="B6" s="14" t="s">
        <v>505</v>
      </c>
      <c r="C6" s="16">
        <v>86.0</v>
      </c>
      <c r="D6" s="14" t="s">
        <v>1214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1223</v>
      </c>
      <c r="O6" s="14" t="s">
        <v>1224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3.972321663</v>
      </c>
      <c r="W6" s="20">
        <f t="shared" si="2"/>
        <v>75.27515271</v>
      </c>
      <c r="X6" s="20">
        <f t="shared" si="3"/>
        <v>30.04616847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$S$2:$S$425&lt;4.5), $V6), 1)"),0.879)</f>
        <v>0.879</v>
      </c>
      <c r="AB6" s="20">
        <f>IFERROR(__xludf.DUMMYFUNCTION("iferror(PERCENTRANK.INC(FILTER($V$2:$V$425, $S$2:$S$425&gt;=4.1), $V6), 0.01)"),0.178)</f>
        <v>0.178</v>
      </c>
    </row>
    <row r="7" ht="14.25" customHeight="1">
      <c r="A7" s="14" t="s">
        <v>1225</v>
      </c>
      <c r="B7" s="14" t="s">
        <v>375</v>
      </c>
      <c r="D7" s="14" t="s">
        <v>1214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1225</v>
      </c>
      <c r="O7" s="14" t="s">
        <v>1226</v>
      </c>
      <c r="P7" s="14" t="s">
        <v>1227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3.970374045</v>
      </c>
      <c r="W7" s="20">
        <f t="shared" si="2"/>
        <v>75.22939621</v>
      </c>
      <c r="X7" s="20">
        <f t="shared" si="3"/>
        <v>41.38309618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$S$2:$S$425&lt;4.5), $V7), 1)"),0.848)</f>
        <v>0.848</v>
      </c>
      <c r="AB7" s="20">
        <f>IFERROR(__xludf.DUMMYFUNCTION("iferror(PERCENTRANK.INC(FILTER($V$2:$V$425, $S$2:$S$425&gt;=4.1), $V7), 0.01)"),0.167)</f>
        <v>0.167</v>
      </c>
    </row>
    <row r="8" ht="14.25" customHeight="1">
      <c r="A8" s="14" t="s">
        <v>1228</v>
      </c>
      <c r="B8" s="14" t="s">
        <v>515</v>
      </c>
      <c r="C8" s="16">
        <v>81.0</v>
      </c>
      <c r="D8" s="14" t="s">
        <v>1214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1228</v>
      </c>
      <c r="O8" s="14" t="s">
        <v>1229</v>
      </c>
      <c r="P8" s="14" t="s">
        <v>1230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3.780009671</v>
      </c>
      <c r="W8" s="20">
        <f t="shared" si="2"/>
        <v>70.75705872</v>
      </c>
      <c r="X8" s="20">
        <f t="shared" si="3"/>
        <v>30.35491937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$S$2:$S$425&lt;4.5), $V8), 1)"),0.667)</f>
        <v>0.667</v>
      </c>
      <c r="AB8" s="20">
        <f>IFERROR(__xludf.DUMMYFUNCTION("iferror(PERCENTRANK.INC(FILTER($V$2:$V$425, $S$2:$S$425&gt;=4.1), $V8), 0.01)"),0.01)</f>
        <v>0.01</v>
      </c>
    </row>
    <row r="9" ht="14.25" customHeight="1">
      <c r="A9" s="14" t="s">
        <v>1231</v>
      </c>
      <c r="B9" s="14" t="s">
        <v>455</v>
      </c>
      <c r="D9" s="14" t="s">
        <v>1214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1231</v>
      </c>
      <c r="O9" s="14" t="s">
        <v>1232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3.920728685</v>
      </c>
      <c r="W9" s="20">
        <f t="shared" si="2"/>
        <v>74.0630498</v>
      </c>
      <c r="X9" s="20">
        <f t="shared" si="3"/>
        <v>33.45545185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$S$2:$S$425&lt;4.5), $V9), 1)"),0.818)</f>
        <v>0.818</v>
      </c>
      <c r="AB9" s="20">
        <f>IFERROR(__xludf.DUMMYFUNCTION("iferror(PERCENTRANK.INC(FILTER($V$2:$V$425, $S$2:$S$425&gt;=4.1), $V9), 0.01)"),0.013)</f>
        <v>0.013</v>
      </c>
    </row>
    <row r="10" ht="14.25" customHeight="1">
      <c r="A10" s="14" t="s">
        <v>1233</v>
      </c>
      <c r="B10" s="14" t="s">
        <v>134</v>
      </c>
      <c r="D10" s="14" t="s">
        <v>1214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1233</v>
      </c>
      <c r="O10" s="14" t="s">
        <v>1234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3.86283747</v>
      </c>
      <c r="W10" s="20">
        <f t="shared" si="2"/>
        <v>72.70297887</v>
      </c>
      <c r="X10" s="20">
        <f t="shared" si="3"/>
        <v>36.02943318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$S$2:$S$425&lt;4.5), $V10), 1)"),0.758)</f>
        <v>0.758</v>
      </c>
      <c r="AB10" s="20">
        <f>IFERROR(__xludf.DUMMYFUNCTION("iferror(PERCENTRANK.INC(FILTER($V$2:$V$425, $S$2:$S$425&gt;=4.1), $V10), 0.01)"),0.01)</f>
        <v>0.01</v>
      </c>
    </row>
    <row r="11" ht="14.25" customHeight="1">
      <c r="A11" s="14" t="s">
        <v>1235</v>
      </c>
      <c r="B11" s="14" t="s">
        <v>291</v>
      </c>
      <c r="C11" s="14">
        <v>81.0</v>
      </c>
      <c r="D11" s="14" t="s">
        <v>1214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1235</v>
      </c>
      <c r="O11" s="14" t="s">
        <v>1236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3.686019022</v>
      </c>
      <c r="W11" s="20">
        <f t="shared" si="2"/>
        <v>68.54888342</v>
      </c>
      <c r="X11" s="20">
        <f t="shared" si="3"/>
        <v>28.35564024</v>
      </c>
      <c r="Z11" s="20">
        <f>IFERROR(__xludf.DUMMYFUNCTION("iferror(PERCENTRANK.INC(FILTER($V$2:$V$425, $S$2:$S$425&lt;3.75), $V11), 1)"),0.999)</f>
        <v>0.999</v>
      </c>
      <c r="AA11" s="20">
        <f>IFERROR(__xludf.DUMMYFUNCTION("iferror(PERCENTRANK.INC(FILTER($V$2:$V$425, $S$2:$S$425&lt;4.5), $V11), 1)"),0.545)</f>
        <v>0.545</v>
      </c>
      <c r="AB11" s="20">
        <f>IFERROR(__xludf.DUMMYFUNCTION("iferror(PERCENTRANK.INC(FILTER($V$2:$V$425, $S$2:$S$425&gt;=4.1), $V11), 0.01)"),0.01)</f>
        <v>0.01</v>
      </c>
    </row>
    <row r="12" ht="14.25" customHeight="1">
      <c r="A12" s="14" t="s">
        <v>1237</v>
      </c>
      <c r="B12" s="14" t="s">
        <v>473</v>
      </c>
      <c r="C12" s="16">
        <v>7.0</v>
      </c>
      <c r="D12" s="14" t="s">
        <v>1214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1237</v>
      </c>
      <c r="O12" s="14" t="s">
        <v>1238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3.785872549</v>
      </c>
      <c r="W12" s="20">
        <f t="shared" si="2"/>
        <v>70.8947986</v>
      </c>
      <c r="X12" s="20">
        <f t="shared" si="3"/>
        <v>35.09475209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$S$2:$S$425&lt;4.5), $V12), 1)"),0.697)</f>
        <v>0.697</v>
      </c>
      <c r="AB12" s="20">
        <f>IFERROR(__xludf.DUMMYFUNCTION("iferror(PERCENTRANK.INC(FILTER($V$2:$V$425, $S$2:$S$425&gt;=4.1), $V12), 0.01)"),0.01)</f>
        <v>0.01</v>
      </c>
    </row>
    <row r="13" ht="14.25" customHeight="1">
      <c r="A13" s="14" t="s">
        <v>1239</v>
      </c>
      <c r="B13" s="14" t="s">
        <v>98</v>
      </c>
      <c r="C13" s="16">
        <v>5.0</v>
      </c>
      <c r="D13" s="14" t="s">
        <v>1214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1239</v>
      </c>
      <c r="O13" s="14" t="s">
        <v>1240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3.769655895</v>
      </c>
      <c r="W13" s="20">
        <f t="shared" si="2"/>
        <v>70.51381162</v>
      </c>
      <c r="X13" s="20">
        <f t="shared" si="3"/>
        <v>30.95541549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$S$2:$S$425&lt;4.5), $V13), 1)"),0.606)</f>
        <v>0.606</v>
      </c>
      <c r="AB13" s="20">
        <f>IFERROR(__xludf.DUMMYFUNCTION("iferror(PERCENTRANK.INC(FILTER($V$2:$V$425, $S$2:$S$425&gt;=4.1), $V13), 0.01)"),0.01)</f>
        <v>0.01</v>
      </c>
    </row>
    <row r="14" ht="14.25" customHeight="1">
      <c r="A14" s="14" t="s">
        <v>1241</v>
      </c>
      <c r="B14" s="14" t="s">
        <v>1131</v>
      </c>
      <c r="D14" s="14" t="s">
        <v>1214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1241</v>
      </c>
      <c r="O14" s="14" t="s">
        <v>1242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3.774006021</v>
      </c>
      <c r="W14" s="20">
        <f t="shared" si="2"/>
        <v>70.61601159</v>
      </c>
      <c r="X14" s="20">
        <f t="shared" si="3"/>
        <v>42.99291878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$S$2:$S$425&lt;4.5), $V14), 1)"),0.636)</f>
        <v>0.636</v>
      </c>
      <c r="AB14" s="20">
        <f>IFERROR(__xludf.DUMMYFUNCTION("iferror(PERCENTRANK.INC(FILTER($V$2:$V$425, $S$2:$S$425&gt;=4.1), $V14), 0.01)"),0.01)</f>
        <v>0.01</v>
      </c>
    </row>
    <row r="15" ht="14.25" customHeight="1">
      <c r="A15" s="14" t="s">
        <v>1243</v>
      </c>
      <c r="B15" s="14" t="s">
        <v>247</v>
      </c>
      <c r="D15" s="14" t="s">
        <v>1214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1243</v>
      </c>
      <c r="O15" s="14" t="s">
        <v>1244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3.687728685</v>
      </c>
      <c r="W15" s="20">
        <f t="shared" si="2"/>
        <v>68.58904951</v>
      </c>
      <c r="X15" s="20">
        <f t="shared" si="3"/>
        <v>21.61460444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$S$2:$S$425&lt;4.5), $V15), 1)"),0.576)</f>
        <v>0.576</v>
      </c>
      <c r="AB15" s="20">
        <f>IFERROR(__xludf.DUMMYFUNCTION("iferror(PERCENTRANK.INC(FILTER($V$2:$V$425, $S$2:$S$425&gt;=4.1), $V15), 0.01)"),0.01)</f>
        <v>0.01</v>
      </c>
    </row>
    <row r="16" ht="14.25" customHeight="1">
      <c r="A16" s="14" t="s">
        <v>1245</v>
      </c>
      <c r="B16" s="14" t="s">
        <v>479</v>
      </c>
      <c r="D16" s="14" t="s">
        <v>1214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1245</v>
      </c>
      <c r="O16" s="14" t="s">
        <v>1246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3.544307235</v>
      </c>
      <c r="W16" s="20">
        <f t="shared" si="2"/>
        <v>65.21956857</v>
      </c>
      <c r="X16" s="20">
        <f t="shared" si="3"/>
        <v>27.73957141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$S$2:$S$425&lt;4.5), $V16), 1)"),0.455)</f>
        <v>0.455</v>
      </c>
      <c r="AB16" s="20">
        <f>IFERROR(__xludf.DUMMYFUNCTION("iferror(PERCENTRANK.INC(FILTER($V$2:$V$425, $S$2:$S$425&gt;=4.1), $V16), 0.01)"),0.01)</f>
        <v>0.01</v>
      </c>
    </row>
    <row r="17" ht="14.25" customHeight="1">
      <c r="A17" s="14" t="s">
        <v>1247</v>
      </c>
      <c r="B17" s="14" t="s">
        <v>261</v>
      </c>
      <c r="D17" s="14" t="s">
        <v>1214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1247</v>
      </c>
      <c r="O17" s="14" t="s">
        <v>1248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3.460819613</v>
      </c>
      <c r="W17" s="20">
        <f t="shared" si="2"/>
        <v>63.25814681</v>
      </c>
      <c r="X17" s="20">
        <f t="shared" si="3"/>
        <v>16.54707174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$S$2:$S$425&lt;4.5), $V17), 1)"),0.424)</f>
        <v>0.424</v>
      </c>
      <c r="AB17" s="20">
        <f>IFERROR(__xludf.DUMMYFUNCTION("iferror(PERCENTRANK.INC(FILTER($V$2:$V$425, $S$2:$S$425&gt;=4.1), $V17), 0.01)"),0.01)</f>
        <v>0.01</v>
      </c>
    </row>
    <row r="18" ht="14.25" customHeight="1">
      <c r="A18" s="17" t="s">
        <v>1249</v>
      </c>
      <c r="B18" s="17" t="s">
        <v>173</v>
      </c>
      <c r="D18" s="17" t="s">
        <v>1214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2">
        <v>44.88</v>
      </c>
      <c r="M18" s="15"/>
      <c r="N18" s="16" t="s">
        <v>1249</v>
      </c>
      <c r="O18" s="16" t="s">
        <v>1250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4.1701</v>
      </c>
      <c r="W18" s="20">
        <f t="shared" si="2"/>
        <v>79.92167062</v>
      </c>
      <c r="X18" s="20">
        <f t="shared" si="3"/>
        <v>35.04167062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$S$2:$S$425&lt;4.5), $V18), 1)"),0.939)</f>
        <v>0.939</v>
      </c>
      <c r="AB18" s="20">
        <f>IFERROR(__xludf.DUMMYFUNCTION("iferror(PERCENTRANK.INC(FILTER($V$2:$V$425, $S$2:$S$425&gt;=4.1), $V18), 0.01)"),0.667)</f>
        <v>0.667</v>
      </c>
    </row>
    <row r="19" ht="14.25" customHeight="1">
      <c r="A19" s="14" t="s">
        <v>1251</v>
      </c>
      <c r="B19" s="14" t="s">
        <v>309</v>
      </c>
      <c r="D19" s="14" t="s">
        <v>1214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1251</v>
      </c>
      <c r="O19" s="14" t="s">
        <v>1252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3.430525581</v>
      </c>
      <c r="W19" s="20">
        <f t="shared" si="2"/>
        <v>62.54643204</v>
      </c>
      <c r="X19" s="20">
        <f t="shared" si="3"/>
        <v>16.52890756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$S$2:$S$425&lt;4.5), $V19), 1)"),0.394)</f>
        <v>0.394</v>
      </c>
      <c r="AB19" s="20">
        <f>IFERROR(__xludf.DUMMYFUNCTION("iferror(PERCENTRANK.INC(FILTER($V$2:$V$425, $S$2:$S$425&gt;=4.1), $V19), 0.01)"),0.01)</f>
        <v>0.01</v>
      </c>
    </row>
    <row r="20" ht="14.25" customHeight="1">
      <c r="A20" s="14" t="s">
        <v>1253</v>
      </c>
      <c r="B20" s="14" t="s">
        <v>489</v>
      </c>
      <c r="D20" s="14" t="s">
        <v>1214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1253</v>
      </c>
      <c r="O20" s="14" t="s">
        <v>1254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3.411550251</v>
      </c>
      <c r="W20" s="20">
        <f t="shared" si="2"/>
        <v>62.10063393</v>
      </c>
      <c r="X20" s="20">
        <f t="shared" si="3"/>
        <v>16.18250837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$S$2:$S$425&lt;4.5), $V20), 1)"),0.364)</f>
        <v>0.364</v>
      </c>
      <c r="AB20" s="20">
        <f>IFERROR(__xludf.DUMMYFUNCTION("iferror(PERCENTRANK.INC(FILTER($V$2:$V$425, $S$2:$S$425&gt;=4.1), $V20), 0.01)"),0.01)</f>
        <v>0.01</v>
      </c>
    </row>
    <row r="21" ht="14.25" customHeight="1">
      <c r="A21" s="14" t="s">
        <v>1255</v>
      </c>
      <c r="B21" s="14" t="s">
        <v>572</v>
      </c>
      <c r="C21" s="14">
        <v>2.0</v>
      </c>
      <c r="D21" s="14" t="s">
        <v>1214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1255</v>
      </c>
      <c r="O21" s="14" t="s">
        <v>1256</v>
      </c>
      <c r="P21" s="14" t="s">
        <v>1230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3.25880017</v>
      </c>
      <c r="W21" s="20">
        <f t="shared" si="2"/>
        <v>58.51199021</v>
      </c>
      <c r="X21" s="20">
        <f t="shared" si="3"/>
        <v>5.211109537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$S$2:$S$425&lt;4.5), $V21), 1)"),0.333)</f>
        <v>0.333</v>
      </c>
      <c r="AB21" s="20">
        <f>IFERROR(__xludf.DUMMYFUNCTION("iferror(PERCENTRANK.INC(FILTER($V$2:$V$425, $S$2:$S$425&gt;=4.1), $V21), 0.01)"),0.01)</f>
        <v>0.01</v>
      </c>
    </row>
    <row r="22" ht="14.25" customHeight="1">
      <c r="A22" s="14" t="s">
        <v>1257</v>
      </c>
      <c r="B22" s="14" t="s">
        <v>531</v>
      </c>
      <c r="C22" s="14">
        <v>84.0</v>
      </c>
      <c r="D22" s="14" t="s">
        <v>1214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1257</v>
      </c>
      <c r="O22" s="14" t="s">
        <v>1258</v>
      </c>
      <c r="P22" s="14" t="s">
        <v>1230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3.244710433</v>
      </c>
      <c r="W22" s="20">
        <f t="shared" si="2"/>
        <v>58.18097207</v>
      </c>
      <c r="X22" s="20">
        <f t="shared" si="3"/>
        <v>14.78453274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$S$2:$S$425&lt;4.5), $V22), 1)"),0.303)</f>
        <v>0.303</v>
      </c>
      <c r="AB22" s="20">
        <f>IFERROR(__xludf.DUMMYFUNCTION("iferror(PERCENTRANK.INC(FILTER($V$2:$V$425, $S$2:$S$425&gt;=4.1), $V22), 0.01)"),0.01)</f>
        <v>0.01</v>
      </c>
    </row>
    <row r="23" ht="14.25" customHeight="1">
      <c r="A23" s="14" t="s">
        <v>1259</v>
      </c>
      <c r="B23" s="14" t="s">
        <v>593</v>
      </c>
      <c r="D23" s="14" t="s">
        <v>1214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1259</v>
      </c>
      <c r="O23" s="14" t="s">
        <v>1260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3.188603261</v>
      </c>
      <c r="W23" s="20">
        <f t="shared" si="2"/>
        <v>56.86281466</v>
      </c>
      <c r="X23" s="20">
        <f t="shared" si="3"/>
        <v>34.21884966</v>
      </c>
      <c r="Z23" s="20">
        <f>IFERROR(__xludf.DUMMYFUNCTION("iferror(PERCENTRANK.INC(FILTER($V$2:$V$425, $S$2:$S$425&lt;3.75), $V23), 1)"),0.582)</f>
        <v>0.582</v>
      </c>
      <c r="AA23" s="20">
        <f>IFERROR(__xludf.DUMMYFUNCTION("iferror(PERCENTRANK.INC(FILTER($V$2:$V$425, $S$2:$S$425&lt;4.5), $V23), 1)"),0.273)</f>
        <v>0.273</v>
      </c>
      <c r="AB23" s="20">
        <f>IFERROR(__xludf.DUMMYFUNCTION("iferror(PERCENTRANK.INC(FILTER($V$2:$V$425, $S$2:$S$425&gt;=4.1), $V23), 0.01)"),0.01)</f>
        <v>0.01</v>
      </c>
    </row>
    <row r="24" ht="14.25" customHeight="1">
      <c r="A24" s="14" t="s">
        <v>1261</v>
      </c>
      <c r="B24" s="14" t="s">
        <v>339</v>
      </c>
      <c r="D24" s="14" t="s">
        <v>1214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1261</v>
      </c>
      <c r="O24" s="14" t="s">
        <v>1262</v>
      </c>
      <c r="P24" s="14" t="s">
        <v>1227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3.039956245</v>
      </c>
      <c r="W24" s="20">
        <f t="shared" si="2"/>
        <v>53.37056655</v>
      </c>
      <c r="X24" s="20">
        <f t="shared" si="3"/>
        <v>21.06833137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$S$2:$S$425&lt;4.5), $V24), 1)"),0.242)</f>
        <v>0.242</v>
      </c>
      <c r="AB24" s="20">
        <f>IFERROR(__xludf.DUMMYFUNCTION("iferror(PERCENTRANK.INC(FILTER($V$2:$V$425, $S$2:$S$425&gt;=4.1), $V24), 0.01)"),0.01)</f>
        <v>0.01</v>
      </c>
    </row>
    <row r="25" ht="14.25" customHeight="1">
      <c r="A25" s="14" t="s">
        <v>1263</v>
      </c>
      <c r="B25" s="14" t="s">
        <v>243</v>
      </c>
      <c r="C25" s="14">
        <v>8.0</v>
      </c>
      <c r="D25" s="14" t="s">
        <v>1214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1263</v>
      </c>
      <c r="O25" s="14" t="s">
        <v>1264</v>
      </c>
      <c r="P25" s="14" t="s">
        <v>1216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1.507853894</v>
      </c>
      <c r="W25" s="20">
        <f t="shared" si="2"/>
        <v>17.37602269</v>
      </c>
      <c r="X25" s="20">
        <f t="shared" si="3"/>
        <v>-46.37144781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$S$2:$S$425&lt;4.5), $V25), 1)"),0.212)</f>
        <v>0.212</v>
      </c>
      <c r="AB25" s="20">
        <f>IFERROR(__xludf.DUMMYFUNCTION("iferror(PERCENTRANK.INC(FILTER($V$2:$V$425, $S$2:$S$425&gt;=4.1), $V25), 0.01)"),0.01)</f>
        <v>0.01</v>
      </c>
    </row>
    <row r="26" ht="14.25" customHeight="1">
      <c r="A26" s="14" t="s">
        <v>1265</v>
      </c>
      <c r="B26" s="14" t="s">
        <v>333</v>
      </c>
      <c r="C26" s="14">
        <v>87.0</v>
      </c>
      <c r="D26" s="14" t="s">
        <v>1214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1265</v>
      </c>
      <c r="O26" s="14" t="s">
        <v>1266</v>
      </c>
      <c r="P26" s="14" t="s">
        <v>1267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1.259667303</v>
      </c>
      <c r="W26" s="20">
        <f t="shared" si="2"/>
        <v>11.54523526</v>
      </c>
      <c r="X26" s="20">
        <f t="shared" si="3"/>
        <v>-26.98300143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$S$2:$S$425&lt;4.5), $V26), 1)"),0.182)</f>
        <v>0.182</v>
      </c>
      <c r="AB26" s="20">
        <f>IFERROR(__xludf.DUMMYFUNCTION("iferror(PERCENTRANK.INC(FILTER($V$2:$V$425, $S$2:$S$425&gt;=4.1), $V26), 0.01)"),0.01)</f>
        <v>0.01</v>
      </c>
    </row>
    <row r="27" ht="14.25" customHeight="1">
      <c r="A27" s="14" t="s">
        <v>1268</v>
      </c>
      <c r="B27" s="14" t="s">
        <v>823</v>
      </c>
      <c r="C27" s="14">
        <v>88.0</v>
      </c>
      <c r="D27" s="14" t="s">
        <v>1214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1268</v>
      </c>
      <c r="O27" s="14" t="s">
        <v>1269</v>
      </c>
      <c r="P27" s="14" t="s">
        <v>1270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1.12882265</v>
      </c>
      <c r="W27" s="20">
        <f t="shared" si="2"/>
        <v>8.471228083</v>
      </c>
      <c r="X27" s="20">
        <f t="shared" si="3"/>
        <v>-29.39906058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$S$2:$S$425&lt;4.5), $V27), 1)"),0.152)</f>
        <v>0.152</v>
      </c>
      <c r="AB27" s="20">
        <f>IFERROR(__xludf.DUMMYFUNCTION("iferror(PERCENTRANK.INC(FILTER($V$2:$V$425, $S$2:$S$425&gt;=4.1), $V27), 0.01)"),0.01)</f>
        <v>0.01</v>
      </c>
    </row>
    <row r="28" ht="14.25" customHeight="1">
      <c r="A28" s="14" t="s">
        <v>1271</v>
      </c>
      <c r="B28" s="14" t="s">
        <v>441</v>
      </c>
      <c r="C28" s="14">
        <v>85.0</v>
      </c>
      <c r="D28" s="14" t="s">
        <v>1214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1271</v>
      </c>
      <c r="O28" s="14" t="s">
        <v>1272</v>
      </c>
      <c r="P28" s="14" t="s">
        <v>1267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3.916635182</v>
      </c>
      <c r="W28" s="20">
        <f t="shared" si="2"/>
        <v>73.96687882</v>
      </c>
      <c r="X28" s="20">
        <f t="shared" si="3"/>
        <v>34.51874248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$S$2:$S$425&lt;4.5), $V28), 1)"),0.788)</f>
        <v>0.788</v>
      </c>
      <c r="AB28" s="20">
        <f>IFERROR(__xludf.DUMMYFUNCTION("iferror(PERCENTRANK.INC(FILTER($V$2:$V$425, $S$2:$S$425&gt;=4.1), $V28), 0.01)"),0.0)</f>
        <v>0</v>
      </c>
    </row>
    <row r="29" ht="14.25" customHeight="1">
      <c r="A29" s="14" t="s">
        <v>1273</v>
      </c>
      <c r="B29" s="14" t="s">
        <v>717</v>
      </c>
      <c r="C29" s="14">
        <v>88.0</v>
      </c>
      <c r="D29" s="14" t="s">
        <v>1214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1273</v>
      </c>
      <c r="O29" s="14" t="s">
        <v>1274</v>
      </c>
      <c r="P29" s="14" t="s">
        <v>1267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1)"),0.964)</f>
        <v>0.964</v>
      </c>
      <c r="AA29" s="20">
        <f>IFERROR(__xludf.DUMMYFUNCTION("iferror(PERCENTRANK.INC(FILTER($V$2:$V$425, $S$2:$S$425&lt;4.5), $V29), 1)"),0.515)</f>
        <v>0.515</v>
      </c>
      <c r="AB29" s="20">
        <f>IFERROR(__xludf.DUMMYFUNCTION("iferror(PERCENTRANK.INC(FILTER($V$2:$V$425, $S$2:$S$425&gt;=4.1), $V29), 0.01)"),0.01)</f>
        <v>0.01</v>
      </c>
    </row>
    <row r="30" ht="14.25" customHeight="1">
      <c r="A30" s="14" t="s">
        <v>1275</v>
      </c>
      <c r="B30" s="14" t="s">
        <v>151</v>
      </c>
      <c r="C30" s="14">
        <v>0.0</v>
      </c>
      <c r="D30" s="14" t="s">
        <v>1214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1275</v>
      </c>
      <c r="O30" s="14" t="s">
        <v>151</v>
      </c>
      <c r="P30" s="14" t="s">
        <v>1216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$S$2:$S$425&lt;4.5), $V30), 1)"),0.121)</f>
        <v>0.121</v>
      </c>
      <c r="AB30" s="20">
        <f>IFERROR(__xludf.DUMMYFUNCTION("iferror(PERCENTRANK.INC(FILTER($V$2:$V$425, $S$2:$S$425&gt;=4.1), $V30), 0.01)"),0.01)</f>
        <v>0.01</v>
      </c>
    </row>
    <row r="31" ht="14.25" customHeight="1">
      <c r="A31" s="14" t="s">
        <v>1276</v>
      </c>
      <c r="B31" s="14" t="s">
        <v>243</v>
      </c>
      <c r="C31" s="14">
        <v>6.0</v>
      </c>
      <c r="D31" s="14" t="s">
        <v>1214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1276</v>
      </c>
      <c r="O31" s="14" t="s">
        <v>1264</v>
      </c>
      <c r="P31" s="14" t="s">
        <v>1216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$S$2:$S$425&lt;4.5), $V31), 1)"),0.091)</f>
        <v>0.091</v>
      </c>
      <c r="AB31" s="20">
        <f>IFERROR(__xludf.DUMMYFUNCTION("iferror(PERCENTRANK.INC(FILTER($V$2:$V$425, $S$2:$S$425&gt;=4.1), $V31), 0.01)"),0.01)</f>
        <v>0.01</v>
      </c>
    </row>
    <row r="32" ht="14.25" customHeight="1">
      <c r="A32" s="14" t="s">
        <v>1277</v>
      </c>
      <c r="B32" s="14" t="s">
        <v>303</v>
      </c>
      <c r="C32" s="14">
        <v>85.0</v>
      </c>
      <c r="D32" s="14" t="s">
        <v>1214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1277</v>
      </c>
      <c r="O32" s="14" t="s">
        <v>1278</v>
      </c>
      <c r="P32" s="14" t="s">
        <v>1270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$S$2:$S$425&lt;4.5), $V32), 1)"),0.061)</f>
        <v>0.061</v>
      </c>
      <c r="AB32" s="20">
        <f>IFERROR(__xludf.DUMMYFUNCTION("iferror(PERCENTRANK.INC(FILTER($V$2:$V$425, $S$2:$S$425&gt;=4.1), $V32), 0.01)"),0.01)</f>
        <v>0.01</v>
      </c>
    </row>
    <row r="33" ht="14.25" customHeight="1">
      <c r="A33" s="14" t="s">
        <v>1279</v>
      </c>
      <c r="B33" s="14" t="s">
        <v>388</v>
      </c>
      <c r="C33" s="14">
        <v>88.0</v>
      </c>
      <c r="D33" s="14" t="s">
        <v>1214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1279</v>
      </c>
      <c r="O33" s="14" t="s">
        <v>1280</v>
      </c>
      <c r="P33" s="14" t="s">
        <v>1270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$S$2:$S$425&lt;4.5), $V33), 1)"),0.03)</f>
        <v>0.03</v>
      </c>
      <c r="AB33" s="20">
        <f>IFERROR(__xludf.DUMMYFUNCTION("iferror(PERCENTRANK.INC(FILTER($V$2:$V$425, $S$2:$S$425&gt;=4.1), $V33), 0.01)"),0.01)</f>
        <v>0.01</v>
      </c>
    </row>
    <row r="34" ht="14.25" customHeight="1">
      <c r="A34" s="14" t="s">
        <v>1281</v>
      </c>
      <c r="B34" s="14" t="s">
        <v>741</v>
      </c>
      <c r="C34" s="16">
        <v>80.0</v>
      </c>
      <c r="D34" s="14" t="s">
        <v>1214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1281</v>
      </c>
      <c r="O34" s="14" t="s">
        <v>1282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$S$2:$S$425&lt;4.5), $V34), 1)"),0.727)</f>
        <v>0.727</v>
      </c>
      <c r="AB34" s="20">
        <f>IFERROR(__xludf.DUMMYFUNCTION("iferror(PERCENTRANK.INC(FILTER($V$2:$V$425, $S$2:$S$425&gt;=4.1), $V34), 0.01)"),0.01)</f>
        <v>0.01</v>
      </c>
    </row>
    <row r="35" ht="14.25" customHeight="1">
      <c r="A35" s="17" t="s">
        <v>1283</v>
      </c>
      <c r="B35" s="17" t="s">
        <v>724</v>
      </c>
      <c r="C35" s="18">
        <v>85.0</v>
      </c>
      <c r="D35" s="17" t="s">
        <v>1214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2">
        <v>4.58</v>
      </c>
      <c r="L35" s="22">
        <v>31.25</v>
      </c>
      <c r="M35" s="15"/>
      <c r="N35" s="17" t="s">
        <v>1283</v>
      </c>
      <c r="O35" s="17" t="s">
        <v>1284</v>
      </c>
      <c r="P35" s="17" t="s">
        <v>1270</v>
      </c>
      <c r="Q35" s="22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4.00015</v>
      </c>
      <c r="W35" s="20">
        <f t="shared" si="2"/>
        <v>75.92893951</v>
      </c>
      <c r="X35" s="20">
        <f t="shared" si="3"/>
        <v>44.67893951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$S$2:$S$425&lt;4.5), $V35), 1)"),0.887)</f>
        <v>0.887</v>
      </c>
      <c r="AB35" s="20">
        <f>IFERROR(__xludf.DUMMYFUNCTION("iferror(PERCENTRANK.INC(FILTER($V$2:$V$425, $S$2:$S$425&gt;=4.1), $V35), 0.01)"),0.333)</f>
        <v>0.333</v>
      </c>
    </row>
    <row r="36" ht="14.25" customHeight="1">
      <c r="A36" s="14" t="s">
        <v>1285</v>
      </c>
      <c r="B36" s="14" t="s">
        <v>345</v>
      </c>
      <c r="C36" s="14">
        <v>82.0</v>
      </c>
      <c r="D36" s="14" t="s">
        <v>1214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1285</v>
      </c>
      <c r="O36" s="14" t="s">
        <v>1286</v>
      </c>
      <c r="P36" s="14" t="s">
        <v>1230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3.578345346</v>
      </c>
      <c r="W36" s="20">
        <f t="shared" si="2"/>
        <v>66.01924508</v>
      </c>
      <c r="X36" s="20">
        <f t="shared" si="3"/>
        <v>28.9019023</v>
      </c>
      <c r="Z36" s="20">
        <f>IFERROR(__xludf.DUMMYFUNCTION("iferror(PERCENTRANK.INC(FILTER($V$2:$V$425, $S$2:$S$425&lt;3.75), $V36), 1)"),0.949)</f>
        <v>0.949</v>
      </c>
      <c r="AA36" s="20">
        <f>IFERROR(__xludf.DUMMYFUNCTION("iferror(PERCENTRANK.INC(FILTER($V$2:$V$425, $S$2:$S$425&lt;4.5), $V36), 1)"),0.485)</f>
        <v>0.485</v>
      </c>
      <c r="AB36" s="20">
        <f>IFERROR(__xludf.DUMMYFUNCTION("iferror(PERCENTRANK.INC(FILTER($V$2:$V$425, $S$2:$S$425&gt;=4.1), $V36), 0.01)"),0.01)</f>
        <v>0.01</v>
      </c>
    </row>
    <row r="37" ht="14.25" customHeight="1">
      <c r="A37" s="14" t="s">
        <v>1287</v>
      </c>
      <c r="B37" s="14" t="s">
        <v>183</v>
      </c>
      <c r="C37" s="14">
        <v>8.0</v>
      </c>
      <c r="D37" s="14" t="s">
        <v>1214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1287</v>
      </c>
      <c r="O37" s="14" t="s">
        <v>1288</v>
      </c>
      <c r="P37" s="14" t="s">
        <v>1216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0.7682460995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$S$2:$S$425&lt;4.5), $V37), 1)"),0.0)</f>
        <v>0</v>
      </c>
      <c r="AB37" s="20">
        <f>IFERROR(__xludf.DUMMYFUNCTION("iferror(PERCENTRANK.INC(FILTER($V$2:$V$425, $S$2:$S$425&gt;=4.1), $V37), 0.01)"),0.01)</f>
        <v>0.01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1289</v>
      </c>
    </row>
    <row r="2" ht="14.25" customHeight="1">
      <c r="A2" s="14" t="s">
        <v>71</v>
      </c>
      <c r="B2" s="14" t="s">
        <v>1290</v>
      </c>
      <c r="C2" s="14" t="s">
        <v>1291</v>
      </c>
      <c r="D2" s="14" t="s">
        <v>1292</v>
      </c>
      <c r="E2" s="14" t="s">
        <v>1212</v>
      </c>
      <c r="F2" s="14" t="s">
        <v>1293</v>
      </c>
      <c r="G2" s="14" t="s">
        <v>1294</v>
      </c>
      <c r="H2" s="14" t="s">
        <v>1295</v>
      </c>
      <c r="I2" s="14" t="s">
        <v>1296</v>
      </c>
      <c r="J2" s="14" t="s">
        <v>1297</v>
      </c>
      <c r="K2" s="14" t="s">
        <v>1298</v>
      </c>
      <c r="L2" s="14" t="s">
        <v>1299</v>
      </c>
      <c r="M2" s="14" t="s">
        <v>1300</v>
      </c>
      <c r="N2" s="20" t="s">
        <v>1301</v>
      </c>
      <c r="Q2" s="14" t="s">
        <v>89</v>
      </c>
      <c r="R2" s="14" t="s">
        <v>1302</v>
      </c>
      <c r="S2" s="20" t="s">
        <v>1303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1304</v>
      </c>
      <c r="B3" s="14" t="s">
        <v>1305</v>
      </c>
      <c r="C3" s="14">
        <v>74.0</v>
      </c>
      <c r="D3" s="14" t="s">
        <v>1306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1307</v>
      </c>
      <c r="B4" s="14" t="s">
        <v>1308</v>
      </c>
      <c r="C4" s="14">
        <v>64.0</v>
      </c>
      <c r="D4" s="14" t="s">
        <v>1306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0.01)"),0.958)</f>
        <v>0.958</v>
      </c>
    </row>
    <row r="5" ht="14.25" customHeight="1">
      <c r="A5" s="14" t="s">
        <v>1309</v>
      </c>
      <c r="B5" s="14" t="s">
        <v>1310</v>
      </c>
      <c r="C5" s="14">
        <v>74.0</v>
      </c>
      <c r="D5" s="14" t="s">
        <v>1306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0.01)"),0.917)</f>
        <v>0.917</v>
      </c>
    </row>
    <row r="6" ht="14.25" customHeight="1">
      <c r="A6" s="14" t="s">
        <v>1311</v>
      </c>
      <c r="B6" s="14" t="s">
        <v>1258</v>
      </c>
      <c r="C6" s="14">
        <v>72.0</v>
      </c>
      <c r="D6" s="14" t="s">
        <v>1306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0.01)"),0.875)</f>
        <v>0.875</v>
      </c>
    </row>
    <row r="7" ht="14.25" customHeight="1">
      <c r="A7" s="14" t="s">
        <v>1312</v>
      </c>
      <c r="B7" s="14" t="s">
        <v>1280</v>
      </c>
      <c r="C7" s="14">
        <v>77.0</v>
      </c>
      <c r="D7" s="14" t="s">
        <v>1306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0.01)"),0.833)</f>
        <v>0.833</v>
      </c>
    </row>
    <row r="8" ht="14.25" customHeight="1">
      <c r="A8" s="14" t="s">
        <v>1313</v>
      </c>
      <c r="B8" s="14" t="s">
        <v>1269</v>
      </c>
      <c r="C8" s="14">
        <v>76.0</v>
      </c>
      <c r="D8" s="14" t="s">
        <v>1306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0.01)"),0.75)</f>
        <v>0.75</v>
      </c>
    </row>
    <row r="9" ht="14.25" customHeight="1">
      <c r="A9" s="14" t="s">
        <v>1314</v>
      </c>
      <c r="B9" s="14" t="s">
        <v>151</v>
      </c>
      <c r="C9" s="14">
        <v>70.0</v>
      </c>
      <c r="D9" s="14" t="s">
        <v>1306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0.01)"),0.792)</f>
        <v>0.792</v>
      </c>
    </row>
    <row r="10" ht="14.25" customHeight="1">
      <c r="A10" s="14" t="s">
        <v>1315</v>
      </c>
      <c r="B10" s="14" t="s">
        <v>1316</v>
      </c>
      <c r="C10" s="14">
        <v>62.0</v>
      </c>
      <c r="D10" s="14" t="s">
        <v>1306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0.01)"),0.708)</f>
        <v>0.708</v>
      </c>
    </row>
    <row r="11" ht="14.25" customHeight="1">
      <c r="A11" s="14" t="s">
        <v>1317</v>
      </c>
      <c r="B11" s="14" t="s">
        <v>1318</v>
      </c>
      <c r="C11" s="14">
        <v>58.0</v>
      </c>
      <c r="D11" s="14" t="s">
        <v>1306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0.01)"),0.667)</f>
        <v>0.667</v>
      </c>
    </row>
    <row r="12" ht="14.25" customHeight="1">
      <c r="A12" s="14" t="s">
        <v>1319</v>
      </c>
      <c r="B12" s="14" t="s">
        <v>1320</v>
      </c>
      <c r="C12" s="14">
        <v>67.0</v>
      </c>
      <c r="D12" s="14" t="s">
        <v>1306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0.01)"),0.625)</f>
        <v>0.625</v>
      </c>
    </row>
    <row r="13" ht="14.25" customHeight="1">
      <c r="A13" s="14" t="s">
        <v>1321</v>
      </c>
      <c r="B13" s="14" t="s">
        <v>1322</v>
      </c>
      <c r="C13" s="14">
        <v>78.0</v>
      </c>
      <c r="D13" s="14" t="s">
        <v>1306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0.01)"),0.583)</f>
        <v>0.583</v>
      </c>
    </row>
    <row r="14" ht="14.25" customHeight="1">
      <c r="A14" s="14" t="s">
        <v>1323</v>
      </c>
      <c r="B14" s="14" t="s">
        <v>1324</v>
      </c>
      <c r="C14" s="14">
        <v>56.0</v>
      </c>
      <c r="D14" s="14" t="s">
        <v>1306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0.01)"),0.542)</f>
        <v>0.542</v>
      </c>
    </row>
    <row r="15" ht="14.25" customHeight="1">
      <c r="A15" s="14" t="s">
        <v>1325</v>
      </c>
      <c r="B15" s="14" t="s">
        <v>1326</v>
      </c>
      <c r="C15" s="14">
        <v>54.0</v>
      </c>
      <c r="D15" s="14" t="s">
        <v>1306</v>
      </c>
      <c r="E15" s="14" t="s">
        <v>1327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0.01)"),0.428)</f>
        <v>0.428</v>
      </c>
    </row>
    <row r="16" ht="14.25" customHeight="1">
      <c r="A16" s="14" t="s">
        <v>1328</v>
      </c>
      <c r="B16" s="14" t="s">
        <v>1329</v>
      </c>
      <c r="C16" s="14">
        <v>73.0</v>
      </c>
      <c r="D16" s="14" t="s">
        <v>1306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0.01)"),0.458)</f>
        <v>0.458</v>
      </c>
    </row>
    <row r="17" ht="14.25" customHeight="1">
      <c r="A17" s="14" t="s">
        <v>1330</v>
      </c>
      <c r="B17" s="14" t="s">
        <v>1266</v>
      </c>
      <c r="C17" s="14">
        <v>79.0</v>
      </c>
      <c r="D17" s="14" t="s">
        <v>1306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0.01)"),0.375)</f>
        <v>0.375</v>
      </c>
    </row>
    <row r="18" ht="14.25" customHeight="1">
      <c r="A18" s="14" t="s">
        <v>1331</v>
      </c>
      <c r="B18" s="16" t="s">
        <v>1332</v>
      </c>
      <c r="C18" s="14">
        <v>76.0</v>
      </c>
      <c r="D18" s="14" t="s">
        <v>1306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0.01)"),0.417)</f>
        <v>0.417</v>
      </c>
    </row>
    <row r="19" ht="14.25" customHeight="1">
      <c r="A19" s="14" t="s">
        <v>1333</v>
      </c>
      <c r="B19" s="14" t="s">
        <v>607</v>
      </c>
      <c r="C19" s="14">
        <v>72.0</v>
      </c>
      <c r="D19" s="14" t="s">
        <v>1306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0.01)"),0.353)</f>
        <v>0.353</v>
      </c>
    </row>
    <row r="20" ht="14.25" customHeight="1">
      <c r="A20" s="14" t="s">
        <v>1334</v>
      </c>
      <c r="B20" s="14" t="s">
        <v>1335</v>
      </c>
      <c r="C20" s="14">
        <v>78.0</v>
      </c>
      <c r="D20" s="14" t="s">
        <v>1306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0.01)"),0.333)</f>
        <v>0.333</v>
      </c>
    </row>
    <row r="21" ht="14.25" customHeight="1">
      <c r="A21" s="14" t="s">
        <v>1336</v>
      </c>
      <c r="B21" s="14" t="s">
        <v>1337</v>
      </c>
      <c r="C21" s="14">
        <v>70.0</v>
      </c>
      <c r="D21" s="14" t="s">
        <v>1306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1)"),0.969)</f>
        <v>0.969</v>
      </c>
      <c r="X21" s="20">
        <f>IFERROR(__xludf.DUMMYFUNCTION("iferror(PERCENTRANK.INC(FILTER($R$3:$R$425, $Q$3:$Q$425&gt;=4.1), $R21), 0.01)"),0.292)</f>
        <v>0.292</v>
      </c>
    </row>
    <row r="22" ht="14.25" customHeight="1">
      <c r="A22" s="14" t="s">
        <v>1338</v>
      </c>
      <c r="B22" s="14" t="s">
        <v>1339</v>
      </c>
      <c r="C22" s="14">
        <v>78.0</v>
      </c>
      <c r="D22" s="14" t="s">
        <v>1306</v>
      </c>
      <c r="E22" s="14" t="s">
        <v>1340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$Q$2:$Q$425&lt;4.25), $R22), 1)"),0.964)</f>
        <v>0.964</v>
      </c>
      <c r="X22" s="20">
        <f>IFERROR(__xludf.DUMMYFUNCTION("iferror(PERCENTRANK.INC(FILTER($R$3:$R$425, $Q$3:$Q$425&gt;=4.1), $R22), 0.01)"),0.25)</f>
        <v>0.25</v>
      </c>
    </row>
    <row r="23" ht="14.25" customHeight="1">
      <c r="A23" s="14" t="s">
        <v>1341</v>
      </c>
      <c r="B23" s="14" t="s">
        <v>1342</v>
      </c>
      <c r="C23" s="14">
        <v>75.0</v>
      </c>
      <c r="D23" s="14" t="s">
        <v>1306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1)"),0.952)</f>
        <v>0.952</v>
      </c>
      <c r="X23" s="20">
        <f>IFERROR(__xludf.DUMMYFUNCTION("iferror(PERCENTRANK.INC(FILTER($R$3:$R$425, $Q$3:$Q$425&gt;=4.1), $R23), 0.01)"),0.159)</f>
        <v>0.159</v>
      </c>
    </row>
    <row r="24" ht="14.25" customHeight="1">
      <c r="A24" s="14" t="s">
        <v>1343</v>
      </c>
      <c r="B24" s="14" t="s">
        <v>1344</v>
      </c>
      <c r="C24" s="14">
        <v>67.0</v>
      </c>
      <c r="D24" s="14" t="s">
        <v>1306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$Q$2:$Q$425&lt;4.25), $R24), 1)"),0.951)</f>
        <v>0.951</v>
      </c>
      <c r="X24" s="20">
        <f>IFERROR(__xludf.DUMMYFUNCTION("iferror(PERCENTRANK.INC(FILTER($R$3:$R$425, $Q$3:$Q$425&gt;=4.1), $R24), 0.01)"),0.125)</f>
        <v>0.125</v>
      </c>
    </row>
    <row r="25" ht="14.25" customHeight="1">
      <c r="A25" s="14" t="s">
        <v>1345</v>
      </c>
      <c r="B25" s="14" t="s">
        <v>1346</v>
      </c>
      <c r="C25" s="14">
        <v>71.0</v>
      </c>
      <c r="D25" s="14" t="s">
        <v>1306</v>
      </c>
      <c r="E25" s="14" t="s">
        <v>1327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1)"),0.953)</f>
        <v>0.953</v>
      </c>
      <c r="X25" s="20">
        <f>IFERROR(__xludf.DUMMYFUNCTION("iferror(PERCENTRANK.INC(FILTER($R$3:$R$425, $Q$3:$Q$425&gt;=4.1), $R25), 0.01)"),0.167)</f>
        <v>0.167</v>
      </c>
    </row>
    <row r="26" ht="14.25" customHeight="1">
      <c r="A26" s="14" t="s">
        <v>1347</v>
      </c>
      <c r="B26" s="14" t="s">
        <v>1348</v>
      </c>
      <c r="C26" s="14">
        <v>66.0</v>
      </c>
      <c r="D26" s="14" t="s">
        <v>1306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$Q$2:$Q$425&lt;4.25), $R26), 1)"),0.935)</f>
        <v>0.935</v>
      </c>
      <c r="X26" s="20">
        <f>IFERROR(__xludf.DUMMYFUNCTION("iferror(PERCENTRANK.INC(FILTER($R$3:$R$425, $Q$3:$Q$425&gt;=4.1), $R26), 0.01)"),0.083)</f>
        <v>0.083</v>
      </c>
    </row>
    <row r="27" ht="14.25" customHeight="1">
      <c r="A27" s="14" t="s">
        <v>1349</v>
      </c>
      <c r="B27" s="14" t="s">
        <v>1350</v>
      </c>
      <c r="C27" s="14">
        <v>54.0</v>
      </c>
      <c r="D27" s="14" t="s">
        <v>1306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$Q$2:$Q$425&lt;4.25), $R27), 1)"),0.905)</f>
        <v>0.905</v>
      </c>
      <c r="X27" s="20">
        <f>IFERROR(__xludf.DUMMYFUNCTION("iferror(PERCENTRANK.INC(FILTER($R$3:$R$425, $Q$3:$Q$425&gt;=4.1), $R27), 0.01)"),0.077)</f>
        <v>0.077</v>
      </c>
    </row>
    <row r="28" ht="14.25" customHeight="1">
      <c r="A28" s="14" t="s">
        <v>1351</v>
      </c>
      <c r="B28" s="14" t="s">
        <v>1229</v>
      </c>
      <c r="C28" s="14">
        <v>74.0</v>
      </c>
      <c r="D28" s="14" t="s">
        <v>1306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$Q$2:$Q$425&lt;4.25), $R28), 1)"),0.929)</f>
        <v>0.929</v>
      </c>
      <c r="X28" s="20">
        <f>IFERROR(__xludf.DUMMYFUNCTION("iferror(PERCENTRANK.INC(FILTER($R$3:$R$425, $Q$3:$Q$425&gt;=4.1), $R28), 0.01)"),0.078)</f>
        <v>0.078</v>
      </c>
    </row>
    <row r="29" ht="14.25" customHeight="1">
      <c r="A29" s="14" t="s">
        <v>1352</v>
      </c>
      <c r="B29" s="14" t="s">
        <v>1353</v>
      </c>
      <c r="C29" s="14">
        <v>62.0</v>
      </c>
      <c r="D29" s="14" t="s">
        <v>1306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$Q$2:$Q$425&lt;4.25), $R29), 1)"),0.881)</f>
        <v>0.881</v>
      </c>
      <c r="X29" s="20">
        <f>IFERROR(__xludf.DUMMYFUNCTION("iferror(PERCENTRANK.INC(FILTER($R$3:$R$425, $Q$3:$Q$425&gt;=4.1), $R29), 0.01)"),0.065)</f>
        <v>0.065</v>
      </c>
    </row>
    <row r="30" ht="14.25" customHeight="1">
      <c r="A30" s="14" t="s">
        <v>1354</v>
      </c>
      <c r="B30" s="14" t="s">
        <v>1218</v>
      </c>
      <c r="C30" s="14">
        <v>71.0</v>
      </c>
      <c r="D30" s="14" t="s">
        <v>1306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$Q$2:$Q$425&lt;4.25), $R30), 1)"),0.857)</f>
        <v>0.857</v>
      </c>
      <c r="X30" s="20">
        <f>IFERROR(__xludf.DUMMYFUNCTION("iferror(PERCENTRANK.INC(FILTER($R$3:$R$425, $Q$3:$Q$425&gt;=4.1), $R30), 0.01)"),0.058)</f>
        <v>0.058</v>
      </c>
    </row>
    <row r="31" ht="14.25" customHeight="1">
      <c r="A31" s="14" t="s">
        <v>1355</v>
      </c>
      <c r="B31" s="14" t="s">
        <v>711</v>
      </c>
      <c r="C31" s="14">
        <v>78.0</v>
      </c>
      <c r="D31" s="14" t="s">
        <v>1306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$Q$2:$Q$425&lt;4.25), $R31), 1)"),0.833)</f>
        <v>0.833</v>
      </c>
      <c r="X31" s="20">
        <f>IFERROR(__xludf.DUMMYFUNCTION("iferror(PERCENTRANK.INC(FILTER($R$3:$R$425, $Q$3:$Q$425&gt;=4.1), $R31), 0.01)"),0.043)</f>
        <v>0.043</v>
      </c>
    </row>
    <row r="32" ht="14.25" customHeight="1">
      <c r="A32" s="14" t="s">
        <v>1356</v>
      </c>
      <c r="B32" s="14" t="s">
        <v>1357</v>
      </c>
      <c r="C32" s="14">
        <v>78.0</v>
      </c>
      <c r="D32" s="14" t="s">
        <v>1306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$Q$2:$Q$425&lt;4.25), $R32), 1)"),0.833)</f>
        <v>0.833</v>
      </c>
      <c r="X32" s="20">
        <f>IFERROR(__xludf.DUMMYFUNCTION("iferror(PERCENTRANK.INC(FILTER($R$3:$R$425, $Q$3:$Q$425&gt;=4.1), $R32), 0.01)"),0.042)</f>
        <v>0.042</v>
      </c>
    </row>
    <row r="33" ht="14.25" customHeight="1">
      <c r="A33" s="14" t="s">
        <v>1358</v>
      </c>
      <c r="B33" s="14" t="s">
        <v>1240</v>
      </c>
      <c r="C33" s="14">
        <v>55.0</v>
      </c>
      <c r="D33" s="14" t="s">
        <v>1306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$Q$2:$Q$425&lt;4.25), $R33), 1)"),0.81)</f>
        <v>0.81</v>
      </c>
      <c r="X33" s="20">
        <f>IFERROR(__xludf.DUMMYFUNCTION("iferror(PERCENTRANK.INC(FILTER($R$3:$R$425, $Q$3:$Q$425&gt;=4.1), $R33), 0.01)"),0.004)</f>
        <v>0.004</v>
      </c>
    </row>
    <row r="34" ht="14.25" customHeight="1">
      <c r="A34" s="14" t="s">
        <v>1359</v>
      </c>
      <c r="B34" s="14" t="s">
        <v>1339</v>
      </c>
      <c r="C34" s="14">
        <v>77.0</v>
      </c>
      <c r="D34" s="14" t="s">
        <v>1306</v>
      </c>
      <c r="E34" s="14" t="s">
        <v>1340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$Q$2:$Q$425&lt;4.25), $R34), 1)"),0.786)</f>
        <v>0.786</v>
      </c>
      <c r="X34" s="20">
        <f>IFERROR(__xludf.DUMMYFUNCTION("iferror(PERCENTRANK.INC(FILTER($R$3:$R$425, $Q$3:$Q$425&gt;=4.1), $R34), 0.01)"),0.003)</f>
        <v>0.003</v>
      </c>
    </row>
    <row r="35" ht="14.25" customHeight="1">
      <c r="A35" s="14" t="s">
        <v>1360</v>
      </c>
      <c r="B35" s="14" t="s">
        <v>1361</v>
      </c>
      <c r="C35" s="14">
        <v>51.0</v>
      </c>
      <c r="D35" s="14" t="s">
        <v>1306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$Q$2:$Q$425&lt;4.25), $R35), 1)"),0.762)</f>
        <v>0.762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1362</v>
      </c>
      <c r="B36" s="14" t="s">
        <v>1363</v>
      </c>
      <c r="C36" s="14">
        <v>77.0</v>
      </c>
      <c r="D36" s="14" t="s">
        <v>1306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$Q$2:$Q$425&lt;4.25), $R36), 1)"),0.738)</f>
        <v>0.738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1364</v>
      </c>
      <c r="B37" s="14" t="s">
        <v>1365</v>
      </c>
      <c r="C37" s="14">
        <v>76.0</v>
      </c>
      <c r="D37" s="14" t="s">
        <v>1306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$Q$2:$Q$425&lt;4.25), $R37), 1)"),0.714)</f>
        <v>0.714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1366</v>
      </c>
      <c r="B38" s="14" t="s">
        <v>1367</v>
      </c>
      <c r="C38" s="14">
        <v>54.0</v>
      </c>
      <c r="D38" s="14" t="s">
        <v>1306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$Q$2:$Q$425&lt;4.25), $R38), 1)"),0.69)</f>
        <v>0.69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1368</v>
      </c>
      <c r="B39" s="14" t="s">
        <v>1369</v>
      </c>
      <c r="C39" s="14">
        <v>79.0</v>
      </c>
      <c r="D39" s="14" t="s">
        <v>1306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$Q$2:$Q$425&lt;4.25), $R39), 1)"),0.667)</f>
        <v>0.667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1370</v>
      </c>
      <c r="B40" s="14" t="s">
        <v>1322</v>
      </c>
      <c r="C40" s="14">
        <v>51.0</v>
      </c>
      <c r="D40" s="14" t="s">
        <v>1306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$Q$2:$Q$425&lt;4.25), $R40), 1)"),0.643)</f>
        <v>0.643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1371</v>
      </c>
      <c r="B41" s="14" t="s">
        <v>1348</v>
      </c>
      <c r="C41" s="14">
        <v>71.0</v>
      </c>
      <c r="D41" s="14" t="s">
        <v>1306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$Q$2:$Q$425&lt;4.25), $R41), 1)"),0.619)</f>
        <v>0.619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1372</v>
      </c>
      <c r="B42" s="14" t="s">
        <v>1373</v>
      </c>
      <c r="C42" s="14">
        <v>53.0</v>
      </c>
      <c r="D42" s="14" t="s">
        <v>1306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$Q$2:$Q$425&lt;4.25), $R42), 1)"),0.595)</f>
        <v>0.595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1374</v>
      </c>
      <c r="B43" s="14" t="s">
        <v>1342</v>
      </c>
      <c r="C43" s="14">
        <v>56.0</v>
      </c>
      <c r="D43" s="14" t="s">
        <v>1306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$Q$2:$Q$425&lt;4.25), $R43), 1)"),0.571)</f>
        <v>0.571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1375</v>
      </c>
      <c r="B44" s="14" t="s">
        <v>1284</v>
      </c>
      <c r="C44" s="14">
        <v>55.0</v>
      </c>
      <c r="D44" s="14" t="s">
        <v>1306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$Q$2:$Q$425&lt;4.25), $R44), 1)"),0.548)</f>
        <v>0.548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1376</v>
      </c>
      <c r="B45" s="14" t="s">
        <v>585</v>
      </c>
      <c r="C45" s="14">
        <v>66.0</v>
      </c>
      <c r="D45" s="14" t="s">
        <v>1306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$Q$2:$Q$425&lt;4.25), $R45), 1)"),0.524)</f>
        <v>0.524</v>
      </c>
      <c r="X45" s="20">
        <f>IFERROR(__xludf.DUMMYFUNCTION("iferror(PERCENTRANK.INC(FILTER($R$3:$R$425, $Q$3:$Q$425&gt;=4.1), $R45), 0.01)"),0.01)</f>
        <v>0.01</v>
      </c>
    </row>
    <row r="46" ht="14.25" customHeight="1">
      <c r="A46" s="14" t="s">
        <v>1377</v>
      </c>
      <c r="B46" s="14" t="s">
        <v>1378</v>
      </c>
      <c r="C46" s="14">
        <v>76.0</v>
      </c>
      <c r="D46" s="14" t="s">
        <v>1306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$Q$2:$Q$425&lt;4.25), $R46), 1)"),0.5)</f>
        <v>0.5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1379</v>
      </c>
      <c r="B47" s="14" t="s">
        <v>1380</v>
      </c>
      <c r="C47" s="14">
        <v>68.0</v>
      </c>
      <c r="D47" s="14" t="s">
        <v>1306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$Q$2:$Q$425&lt;4.25), $R47), 1)"),0.476)</f>
        <v>0.476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1381</v>
      </c>
      <c r="B48" s="14" t="s">
        <v>1222</v>
      </c>
      <c r="C48" s="14">
        <v>79.0</v>
      </c>
      <c r="D48" s="14" t="s">
        <v>1306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$Q$2:$Q$425&lt;4.25), $R48), 1)"),0.452)</f>
        <v>0.452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1382</v>
      </c>
      <c r="B49" s="14" t="s">
        <v>1383</v>
      </c>
      <c r="C49" s="14">
        <v>68.0</v>
      </c>
      <c r="D49" s="14" t="s">
        <v>1306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$Q$2:$Q$425&lt;4.25), $R49), 1)"),0.429)</f>
        <v>0.429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1384</v>
      </c>
      <c r="B50" s="14" t="s">
        <v>1385</v>
      </c>
      <c r="C50" s="14">
        <v>70.0</v>
      </c>
      <c r="D50" s="14" t="s">
        <v>1306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$Q$2:$Q$425&lt;4.25), $R50), 1)"),0.405)</f>
        <v>0.405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1386</v>
      </c>
      <c r="B51" s="14" t="s">
        <v>1284</v>
      </c>
      <c r="C51" s="14">
        <v>76.0</v>
      </c>
      <c r="D51" s="14" t="s">
        <v>1306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$Q$2:$Q$425&lt;4.25), $R51), 1)"),0.381)</f>
        <v>0.381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1387</v>
      </c>
      <c r="B52" s="14" t="s">
        <v>1278</v>
      </c>
      <c r="C52" s="14">
        <v>72.0</v>
      </c>
      <c r="D52" s="14" t="s">
        <v>1306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$Q$2:$Q$425&lt;4.25), $R52), 1)"),0.961)</f>
        <v>0.961</v>
      </c>
      <c r="X52" s="20">
        <f>IFERROR(__xludf.DUMMYFUNCTION("iferror(PERCENTRANK.INC(FILTER($R$3:$R$425, $Q$3:$Q$425&gt;=4.1), $R52), 0.01)"),0.208)</f>
        <v>0.208</v>
      </c>
    </row>
    <row r="53" ht="14.25" customHeight="1">
      <c r="A53" s="14" t="s">
        <v>1388</v>
      </c>
      <c r="B53" s="14" t="s">
        <v>235</v>
      </c>
      <c r="C53" s="14">
        <v>79.0</v>
      </c>
      <c r="D53" s="14" t="s">
        <v>1306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$Q$2:$Q$425&lt;4.25), $R53), 1)"),0.357)</f>
        <v>0.357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1389</v>
      </c>
      <c r="B54" s="14" t="s">
        <v>1385</v>
      </c>
      <c r="C54" s="14">
        <v>75.0</v>
      </c>
      <c r="D54" s="14" t="s">
        <v>1306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$Q$2:$Q$425&lt;4.25), $R54), 1)"),0.333)</f>
        <v>0.333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1390</v>
      </c>
      <c r="B55" s="14" t="s">
        <v>1391</v>
      </c>
      <c r="C55" s="14">
        <v>79.0</v>
      </c>
      <c r="D55" s="14" t="s">
        <v>1306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$Q$2:$Q$425&lt;4.25), $R55), 1)"),0.286)</f>
        <v>0.286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1392</v>
      </c>
      <c r="B56" s="14" t="s">
        <v>1344</v>
      </c>
      <c r="C56" s="14">
        <v>75.0</v>
      </c>
      <c r="D56" s="14" t="s">
        <v>1306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$Q$2:$Q$425&lt;4.25), $R56), 1)"),0.31)</f>
        <v>0.31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1393</v>
      </c>
      <c r="B57" s="14" t="s">
        <v>1316</v>
      </c>
      <c r="C57" s="14">
        <v>68.0</v>
      </c>
      <c r="D57" s="14" t="s">
        <v>1306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$Q$2:$Q$425&lt;4.25), $R57), 1)"),0.262)</f>
        <v>0.262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1394</v>
      </c>
      <c r="B58" s="14" t="s">
        <v>1365</v>
      </c>
      <c r="C58" s="14">
        <v>70.0</v>
      </c>
      <c r="D58" s="14" t="s">
        <v>1306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$Q$2:$Q$425&lt;4.25), $R58), 1)"),0.238)</f>
        <v>0.238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1395</v>
      </c>
      <c r="B59" s="14" t="s">
        <v>1396</v>
      </c>
      <c r="C59" s="14">
        <v>72.0</v>
      </c>
      <c r="D59" s="14" t="s">
        <v>1306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$Q$2:$Q$425&lt;4.25), $R59), 1)"),0.214)</f>
        <v>0.214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1397</v>
      </c>
      <c r="B60" s="14" t="s">
        <v>235</v>
      </c>
      <c r="C60" s="14">
        <v>72.0</v>
      </c>
      <c r="D60" s="14" t="s">
        <v>1306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$Q$2:$Q$425&lt;4.25), $R60), 1)"),0.167)</f>
        <v>0.167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1398</v>
      </c>
      <c r="B61" s="14" t="s">
        <v>1399</v>
      </c>
      <c r="C61" s="14">
        <v>78.0</v>
      </c>
      <c r="D61" s="14" t="s">
        <v>1306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$Q$2:$Q$425&lt;4.25), $R61), 1)"),0.19)</f>
        <v>0.19</v>
      </c>
      <c r="X61" s="20">
        <f>IFERROR(__xludf.DUMMYFUNCTION("iferror(PERCENTRANK.INC(FILTER($R$3:$R$425, $Q$3:$Q$425&gt;=4.1), $R61), 0.01)"),0.01)</f>
        <v>0.01</v>
      </c>
    </row>
    <row r="62" ht="14.25" customHeight="1">
      <c r="A62" s="14" t="s">
        <v>1400</v>
      </c>
      <c r="B62" s="14" t="s">
        <v>1272</v>
      </c>
      <c r="C62" s="14">
        <v>55.0</v>
      </c>
      <c r="D62" s="14" t="s">
        <v>1306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$Q$2:$Q$425&lt;4.25), $R62), 1)"),0.119)</f>
        <v>0.119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1401</v>
      </c>
      <c r="B63" s="14" t="s">
        <v>1266</v>
      </c>
      <c r="C63" s="14">
        <v>66.0</v>
      </c>
      <c r="D63" s="14" t="s">
        <v>1306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$Q$2:$Q$425&lt;4.25), $R63), 1)"),0.143)</f>
        <v>0.143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1402</v>
      </c>
      <c r="B64" s="14" t="s">
        <v>711</v>
      </c>
      <c r="C64" s="14">
        <v>57.0</v>
      </c>
      <c r="D64" s="14" t="s">
        <v>1306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$Q$2:$Q$425&lt;4.25), $R64), 1)"),0.095)</f>
        <v>0.095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1403</v>
      </c>
      <c r="B65" s="14" t="s">
        <v>607</v>
      </c>
      <c r="C65" s="14">
        <v>77.0</v>
      </c>
      <c r="D65" s="14" t="s">
        <v>1306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$Q$2:$Q$425&lt;4.25), $R65), 1)"),0.071)</f>
        <v>0.071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1404</v>
      </c>
      <c r="B66" s="14" t="s">
        <v>1215</v>
      </c>
      <c r="C66" s="14">
        <v>77.0</v>
      </c>
      <c r="D66" s="14" t="s">
        <v>1306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1405</v>
      </c>
      <c r="B67" s="14" t="s">
        <v>1324</v>
      </c>
      <c r="C67" s="14">
        <v>51.0</v>
      </c>
      <c r="D67" s="14" t="s">
        <v>1306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$Q$2:$Q$425&lt;4.25), $R67), 1)"),0.048)</f>
        <v>0.048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1406</v>
      </c>
      <c r="B68" s="14" t="s">
        <v>1363</v>
      </c>
      <c r="C68" s="14">
        <v>79.0</v>
      </c>
      <c r="D68" s="14" t="s">
        <v>1306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1407</v>
      </c>
      <c r="B69" s="16" t="s">
        <v>1408</v>
      </c>
      <c r="C69" s="16">
        <v>54.0</v>
      </c>
      <c r="D69" s="16" t="s">
        <v>1306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$Q$2:$Q$425&lt;4.25), $R69), 1)"),0.782)</f>
        <v>0.782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1409</v>
      </c>
      <c r="B70" s="16" t="s">
        <v>1410</v>
      </c>
      <c r="C70" s="16">
        <v>55.0</v>
      </c>
      <c r="D70" s="16" t="s">
        <v>1306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1411</v>
      </c>
    </row>
    <row r="2" ht="14.25" customHeight="1">
      <c r="A2" s="14" t="s">
        <v>71</v>
      </c>
      <c r="B2" s="14" t="s">
        <v>1290</v>
      </c>
      <c r="C2" s="14" t="s">
        <v>1291</v>
      </c>
      <c r="D2" s="14" t="s">
        <v>1292</v>
      </c>
      <c r="E2" s="14" t="s">
        <v>1212</v>
      </c>
      <c r="F2" s="14" t="s">
        <v>1293</v>
      </c>
      <c r="G2" s="14" t="s">
        <v>1294</v>
      </c>
      <c r="H2" s="14" t="s">
        <v>1295</v>
      </c>
      <c r="I2" s="14" t="s">
        <v>1296</v>
      </c>
      <c r="J2" s="14" t="s">
        <v>1297</v>
      </c>
      <c r="K2" s="14" t="s">
        <v>1298</v>
      </c>
      <c r="L2" s="14" t="s">
        <v>1299</v>
      </c>
      <c r="M2" s="14" t="s">
        <v>1300</v>
      </c>
      <c r="N2" s="20" t="s">
        <v>1301</v>
      </c>
      <c r="P2" s="14" t="s">
        <v>89</v>
      </c>
      <c r="Q2" s="14" t="s">
        <v>1302</v>
      </c>
      <c r="R2" s="20" t="s">
        <v>1303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1412</v>
      </c>
      <c r="B3" s="14" t="s">
        <v>1266</v>
      </c>
      <c r="C3" s="14">
        <v>65.0</v>
      </c>
      <c r="D3" s="14" t="s">
        <v>1413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$Q3), 1)"),1.0)</f>
        <v>1</v>
      </c>
      <c r="V3" s="20">
        <f>IFERROR(__xludf.DUMMYFUNCTION("iferror(PERCENTRANK.INC(FILTER($Q$3:$Q$425, $P$3:$P$425&lt;4.25), $Q3), 1)"),1.0)</f>
        <v>1</v>
      </c>
      <c r="W3" s="20">
        <f>IFERROR(__xludf.DUMMYFUNCTION("iferror(PERCENTRANK.INC(FILTER($Q$3:$Q$425, $P$3:$P$425&gt;=4.1), $Q3), 0)"),0.833)</f>
        <v>0.833</v>
      </c>
    </row>
    <row r="4" ht="14.25" customHeight="1">
      <c r="A4" s="14" t="s">
        <v>1414</v>
      </c>
      <c r="B4" s="14" t="s">
        <v>1326</v>
      </c>
      <c r="C4" s="14">
        <v>64.0</v>
      </c>
      <c r="D4" s="14" t="s">
        <v>1413</v>
      </c>
      <c r="E4" s="14" t="s">
        <v>1327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$Q4), 1)"),1.0)</f>
        <v>1</v>
      </c>
      <c r="V4" s="20">
        <f>IFERROR(__xludf.DUMMYFUNCTION("iferror(PERCENTRANK.INC(FILTER($Q$3:$Q$425, $P$3:$P$425&lt;4.25), $Q4), 1)"),1.0)</f>
        <v>1</v>
      </c>
      <c r="W4" s="20">
        <f>IFERROR(__xludf.DUMMYFUNCTION("iferror(PERCENTRANK.INC(FILTER($Q$3:$Q$425, $P$3:$P$425&gt;=4.1), $Q4), 0)"),1.0)</f>
        <v>1</v>
      </c>
    </row>
    <row r="5" ht="14.25" customHeight="1">
      <c r="A5" s="14" t="s">
        <v>1415</v>
      </c>
      <c r="B5" s="14" t="s">
        <v>1320</v>
      </c>
      <c r="C5" s="14">
        <v>54.0</v>
      </c>
      <c r="D5" s="14" t="s">
        <v>1413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$Q5), 1)"),1.0)</f>
        <v>1</v>
      </c>
      <c r="V5" s="20">
        <f>IFERROR(__xludf.DUMMYFUNCTION("iferror(PERCENTRANK.INC(FILTER($Q$3:$Q$425, $P$3:$P$425&lt;4.25), $Q5), 1)"),1.0)</f>
        <v>1</v>
      </c>
      <c r="W5" s="20">
        <f>IFERROR(__xludf.DUMMYFUNCTION("iferror(PERCENTRANK.INC(FILTER($Q$3:$Q$425, $P$3:$P$425&gt;=4.1), $Q5), 0)"),0.889)</f>
        <v>0.889</v>
      </c>
    </row>
    <row r="6" ht="14.25" customHeight="1">
      <c r="A6" s="14" t="s">
        <v>1416</v>
      </c>
      <c r="B6" s="14" t="s">
        <v>1417</v>
      </c>
      <c r="C6" s="14">
        <v>71.0</v>
      </c>
      <c r="D6" s="14" t="s">
        <v>1413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$Q6), 1)"),1.0)</f>
        <v>1</v>
      </c>
      <c r="V6" s="20">
        <f>IFERROR(__xludf.DUMMYFUNCTION("iferror(PERCENTRANK.INC(FILTER($Q$3:$Q$425, $P$3:$P$425&lt;4.25), $Q6), 1)"),1.0)</f>
        <v>1</v>
      </c>
      <c r="W6" s="20">
        <f>IFERROR(__xludf.DUMMYFUNCTION("iferror(PERCENTRANK.INC(FILTER($Q$3:$Q$425, $P$3:$P$425&gt;=4.1), $Q6), 0)"),0.944)</f>
        <v>0.944</v>
      </c>
    </row>
    <row r="7" ht="14.25" customHeight="1">
      <c r="A7" s="14" t="s">
        <v>1418</v>
      </c>
      <c r="B7" s="14" t="s">
        <v>1378</v>
      </c>
      <c r="C7" s="14">
        <v>75.0</v>
      </c>
      <c r="D7" s="14" t="s">
        <v>1413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$Q7), 1)"),1.0)</f>
        <v>1</v>
      </c>
      <c r="V7" s="20">
        <f>IFERROR(__xludf.DUMMYFUNCTION("iferror(PERCENTRANK.INC(FILTER($Q$3:$Q$425, $P$3:$P$425&lt;4.25), $Q7), 1)"),1.0)</f>
        <v>1</v>
      </c>
      <c r="W7" s="20">
        <f>IFERROR(__xludf.DUMMYFUNCTION("iferror(PERCENTRANK.INC(FILTER($Q$3:$Q$425, $P$3:$P$425&gt;=4.1), $Q7), 0)"),0.722)</f>
        <v>0.722</v>
      </c>
    </row>
    <row r="8" ht="14.25" customHeight="1">
      <c r="A8" s="14" t="s">
        <v>1419</v>
      </c>
      <c r="B8" s="14" t="s">
        <v>607</v>
      </c>
      <c r="C8" s="14">
        <v>68.0</v>
      </c>
      <c r="D8" s="14" t="s">
        <v>1413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$Q8), 1)"),0.891)</f>
        <v>0.891</v>
      </c>
      <c r="V8" s="20">
        <f>IFERROR(__xludf.DUMMYFUNCTION("iferror(PERCENTRANK.INC(FILTER($Q$3:$Q$425, $P$3:$P$425&lt;4.25), $Q8), 1)"),0.778)</f>
        <v>0.778</v>
      </c>
      <c r="W8" s="20">
        <f>IFERROR(__xludf.DUMMYFUNCTION("iferror(PERCENTRANK.INC(FILTER($Q$3:$Q$425, $P$3:$P$425&gt;=4.1), $Q8), 0)"),0.0)</f>
        <v>0</v>
      </c>
    </row>
    <row r="9" ht="14.25" customHeight="1">
      <c r="A9" s="14" t="s">
        <v>1420</v>
      </c>
      <c r="B9" s="14" t="s">
        <v>1222</v>
      </c>
      <c r="C9" s="14">
        <v>68.0</v>
      </c>
      <c r="D9" s="14" t="s">
        <v>1413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$Q9), 1)"),1.0)</f>
        <v>1</v>
      </c>
      <c r="V9" s="20">
        <f>IFERROR(__xludf.DUMMYFUNCTION("iferror(PERCENTRANK.INC(FILTER($Q$3:$Q$425, $P$3:$P$425&lt;4.25), $Q9), 1)"),1.0)</f>
        <v>1</v>
      </c>
      <c r="W9" s="20">
        <f>IFERROR(__xludf.DUMMYFUNCTION("iferror(PERCENTRANK.INC(FILTER($Q$3:$Q$425, $P$3:$P$425&gt;=4.1), $Q9), 0)"),0.5)</f>
        <v>0.5</v>
      </c>
    </row>
    <row r="10" ht="14.25" customHeight="1">
      <c r="A10" s="14" t="s">
        <v>1421</v>
      </c>
      <c r="B10" s="14" t="s">
        <v>1385</v>
      </c>
      <c r="C10" s="14">
        <v>61.0</v>
      </c>
      <c r="D10" s="14" t="s">
        <v>1413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$Q10), 1)"),1.0)</f>
        <v>1</v>
      </c>
      <c r="V10" s="20">
        <f>IFERROR(__xludf.DUMMYFUNCTION("iferror(PERCENTRANK.INC(FILTER($Q$3:$Q$425, $P$3:$P$425&lt;4.25), $Q10), 1)"),0.952)</f>
        <v>0.952</v>
      </c>
      <c r="W10" s="20">
        <f>IFERROR(__xludf.DUMMYFUNCTION("iferror(PERCENTRANK.INC(FILTER($Q$3:$Q$425, $P$3:$P$425&gt;=4.1), $Q10), 0)"),0.171)</f>
        <v>0.171</v>
      </c>
    </row>
    <row r="11" ht="14.25" customHeight="1">
      <c r="A11" s="14" t="s">
        <v>1422</v>
      </c>
      <c r="B11" s="14" t="s">
        <v>711</v>
      </c>
      <c r="C11" s="14">
        <v>53.0</v>
      </c>
      <c r="D11" s="14" t="s">
        <v>1413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$Q11), 1)"),0.855)</f>
        <v>0.855</v>
      </c>
      <c r="V11" s="20">
        <f>IFERROR(__xludf.DUMMYFUNCTION("iferror(PERCENTRANK.INC(FILTER($Q$3:$Q$425, $P$3:$P$425&lt;4.25), $Q11), 1)"),0.746)</f>
        <v>0.746</v>
      </c>
      <c r="W11" s="20">
        <f>IFERROR(__xludf.DUMMYFUNCTION("iferror(PERCENTRANK.INC(FILTER($Q$3:$Q$425, $P$3:$P$425&gt;=4.1), $Q11), 0)"),0.0)</f>
        <v>0</v>
      </c>
    </row>
    <row r="12" ht="14.25" customHeight="1">
      <c r="A12" s="14" t="s">
        <v>1423</v>
      </c>
      <c r="B12" s="14" t="s">
        <v>1308</v>
      </c>
      <c r="C12" s="14">
        <v>75.0</v>
      </c>
      <c r="D12" s="14" t="s">
        <v>1413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$Q12), 1)"),1.0)</f>
        <v>1</v>
      </c>
      <c r="V12" s="20">
        <f>IFERROR(__xludf.DUMMYFUNCTION("iferror(PERCENTRANK.INC(FILTER($Q$3:$Q$425, $P$3:$P$425&lt;4.25), $Q12), 1)"),1.0)</f>
        <v>1</v>
      </c>
      <c r="W12" s="20">
        <f>IFERROR(__xludf.DUMMYFUNCTION("iferror(PERCENTRANK.INC(FILTER($Q$3:$Q$425, $P$3:$P$425&gt;=4.1), $Q12), 0)"),0.556)</f>
        <v>0.556</v>
      </c>
    </row>
    <row r="13" ht="14.25" customHeight="1">
      <c r="A13" s="14" t="s">
        <v>1424</v>
      </c>
      <c r="B13" s="14" t="s">
        <v>1373</v>
      </c>
      <c r="C13" s="14">
        <v>56.0</v>
      </c>
      <c r="D13" s="14" t="s">
        <v>1413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$Q13), 1)"),1.0)</f>
        <v>1</v>
      </c>
      <c r="V13" s="20">
        <f>IFERROR(__xludf.DUMMYFUNCTION("iferror(PERCENTRANK.INC(FILTER($Q$3:$Q$425, $P$3:$P$425&lt;4.25), $Q13), 1)"),0.905)</f>
        <v>0.905</v>
      </c>
      <c r="W13" s="20">
        <f>IFERROR(__xludf.DUMMYFUNCTION("iferror(PERCENTRANK.INC(FILTER($Q$3:$Q$425, $P$3:$P$425&gt;=4.1), $Q13), 0)"),0.048)</f>
        <v>0.048</v>
      </c>
    </row>
    <row r="14" ht="14.25" customHeight="1">
      <c r="A14" s="14" t="s">
        <v>1425</v>
      </c>
      <c r="B14" s="14" t="s">
        <v>1222</v>
      </c>
      <c r="C14" s="14">
        <v>60.0</v>
      </c>
      <c r="D14" s="14" t="s">
        <v>1413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$Q14), 1)"),0.764)</f>
        <v>0.764</v>
      </c>
      <c r="V14" s="20">
        <f>IFERROR(__xludf.DUMMYFUNCTION("iferror(PERCENTRANK.INC(FILTER($Q$3:$Q$425, $P$3:$P$425&lt;4.25), $Q14), 1)"),0.667)</f>
        <v>0.667</v>
      </c>
      <c r="W14" s="20">
        <f>IFERROR(__xludf.DUMMYFUNCTION("iferror(PERCENTRANK.INC(FILTER($Q$3:$Q$425, $P$3:$P$425&gt;=4.1), $Q14), 0)"),0.0)</f>
        <v>0</v>
      </c>
    </row>
    <row r="15" ht="14.25" customHeight="1">
      <c r="A15" s="14" t="s">
        <v>1426</v>
      </c>
      <c r="B15" s="14" t="s">
        <v>1324</v>
      </c>
      <c r="C15" s="14">
        <v>60.0</v>
      </c>
      <c r="D15" s="14" t="s">
        <v>1413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$Q15), 1)"),1.0)</f>
        <v>1</v>
      </c>
      <c r="V15" s="20">
        <f>IFERROR(__xludf.DUMMYFUNCTION("iferror(PERCENTRANK.INC(FILTER($Q$3:$Q$425, $P$3:$P$425&lt;4.25), $Q15), 1)"),1.0)</f>
        <v>1</v>
      </c>
      <c r="W15" s="20">
        <f>IFERROR(__xludf.DUMMYFUNCTION("iferror(PERCENTRANK.INC(FILTER($Q$3:$Q$425, $P$3:$P$425&gt;=4.1), $Q15), 0)"),0.778)</f>
        <v>0.778</v>
      </c>
    </row>
    <row r="16" ht="14.25" customHeight="1">
      <c r="A16" s="14" t="s">
        <v>1427</v>
      </c>
      <c r="B16" s="14" t="s">
        <v>1373</v>
      </c>
      <c r="C16" s="14">
        <v>50.0</v>
      </c>
      <c r="D16" s="14" t="s">
        <v>1413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$Q16), 1)"),0.927)</f>
        <v>0.927</v>
      </c>
      <c r="V16" s="20">
        <f>IFERROR(__xludf.DUMMYFUNCTION("iferror(PERCENTRANK.INC(FILTER($Q$3:$Q$425, $P$3:$P$425&lt;4.25), $Q16), 1)"),0.81)</f>
        <v>0.81</v>
      </c>
      <c r="W16" s="20">
        <f>IFERROR(__xludf.DUMMYFUNCTION("iferror(PERCENTRANK.INC(FILTER($Q$3:$Q$425, $P$3:$P$425&gt;=4.1), $Q16), 0)"),0.0)</f>
        <v>0</v>
      </c>
    </row>
    <row r="17" ht="14.25" customHeight="1">
      <c r="A17" s="14" t="s">
        <v>1428</v>
      </c>
      <c r="B17" s="14" t="s">
        <v>1348</v>
      </c>
      <c r="C17" s="14">
        <v>57.0</v>
      </c>
      <c r="D17" s="14" t="s">
        <v>1413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$Q17), 1)"),0.818)</f>
        <v>0.818</v>
      </c>
      <c r="V17" s="20">
        <f>IFERROR(__xludf.DUMMYFUNCTION("iferror(PERCENTRANK.INC(FILTER($Q$3:$Q$425, $P$3:$P$425&lt;4.25), $Q17), 1)"),0.714)</f>
        <v>0.714</v>
      </c>
      <c r="W17" s="20">
        <f>IFERROR(__xludf.DUMMYFUNCTION("iferror(PERCENTRANK.INC(FILTER($Q$3:$Q$425, $P$3:$P$425&gt;=4.1), $Q17), 0)"),0.0)</f>
        <v>0</v>
      </c>
    </row>
    <row r="18" ht="14.25" customHeight="1">
      <c r="A18" s="14" t="s">
        <v>1429</v>
      </c>
      <c r="B18" s="14" t="s">
        <v>1353</v>
      </c>
      <c r="C18" s="14">
        <v>69.0</v>
      </c>
      <c r="D18" s="14" t="s">
        <v>1413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$Q18), 1)"),1.0)</f>
        <v>1</v>
      </c>
      <c r="V18" s="20">
        <f>IFERROR(__xludf.DUMMYFUNCTION("iferror(PERCENTRANK.INC(FILTER($Q$3:$Q$425, $P$3:$P$425&lt;4.25), $Q18), 1)"),0.937)</f>
        <v>0.937</v>
      </c>
      <c r="W18" s="20">
        <f>IFERROR(__xludf.DUMMYFUNCTION("iferror(PERCENTRANK.INC(FILTER($Q$3:$Q$425, $P$3:$P$425&gt;=4.1), $Q18), 0)"),0.111)</f>
        <v>0.111</v>
      </c>
    </row>
    <row r="19" ht="14.25" customHeight="1">
      <c r="A19" s="14" t="s">
        <v>1430</v>
      </c>
      <c r="B19" s="14" t="s">
        <v>1399</v>
      </c>
      <c r="C19" s="14">
        <v>79.0</v>
      </c>
      <c r="D19" s="14" t="s">
        <v>1413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$Q19), 1)"),0.873)</f>
        <v>0.873</v>
      </c>
      <c r="V19" s="20">
        <f>IFERROR(__xludf.DUMMYFUNCTION("iferror(PERCENTRANK.INC(FILTER($Q$3:$Q$425, $P$3:$P$425&lt;4.25), $Q19), 1)"),0.762)</f>
        <v>0.762</v>
      </c>
      <c r="W19" s="20">
        <f>IFERROR(__xludf.DUMMYFUNCTION("iferror(PERCENTRANK.INC(FILTER($Q$3:$Q$425, $P$3:$P$425&gt;=4.1), $Q19), 0)"),0.0)</f>
        <v>0</v>
      </c>
    </row>
    <row r="20" ht="14.25" customHeight="1">
      <c r="A20" s="14" t="s">
        <v>1431</v>
      </c>
      <c r="B20" s="14" t="s">
        <v>1391</v>
      </c>
      <c r="C20" s="14">
        <v>71.0</v>
      </c>
      <c r="D20" s="14" t="s">
        <v>1413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$Q20), 1)"),0.836)</f>
        <v>0.836</v>
      </c>
      <c r="V20" s="20">
        <f>IFERROR(__xludf.DUMMYFUNCTION("iferror(PERCENTRANK.INC(FILTER($Q$3:$Q$425, $P$3:$P$425&lt;4.25), $Q20), 1)"),0.73)</f>
        <v>0.73</v>
      </c>
      <c r="W20" s="20">
        <f>IFERROR(__xludf.DUMMYFUNCTION("iferror(PERCENTRANK.INC(FILTER($Q$3:$Q$425, $P$3:$P$425&gt;=4.1), $Q20), 0)"),0.0)</f>
        <v>0</v>
      </c>
    </row>
    <row r="21" ht="14.25" customHeight="1">
      <c r="A21" s="14" t="s">
        <v>1432</v>
      </c>
      <c r="B21" s="14" t="s">
        <v>1380</v>
      </c>
      <c r="C21" s="14">
        <v>51.0</v>
      </c>
      <c r="D21" s="14" t="s">
        <v>1413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$Q21), 1)"),1.0)</f>
        <v>1</v>
      </c>
      <c r="V21" s="20">
        <f>IFERROR(__xludf.DUMMYFUNCTION("iferror(PERCENTRANK.INC(FILTER($Q$3:$Q$425, $P$3:$P$425&lt;4.25), $Q21), 1)"),0.984)</f>
        <v>0.984</v>
      </c>
      <c r="W21" s="20">
        <f>IFERROR(__xludf.DUMMYFUNCTION("iferror(PERCENTRANK.INC(FILTER($Q$3:$Q$425, $P$3:$P$425&gt;=4.1), $Q21), 0)"),0.444)</f>
        <v>0.444</v>
      </c>
    </row>
    <row r="22" ht="14.25" customHeight="1">
      <c r="A22" s="14" t="s">
        <v>1433</v>
      </c>
      <c r="B22" s="14" t="s">
        <v>1337</v>
      </c>
      <c r="C22" s="14">
        <v>78.0</v>
      </c>
      <c r="D22" s="14" t="s">
        <v>1413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$Q22), 1)"),1.0)</f>
        <v>1</v>
      </c>
      <c r="V22" s="20">
        <f>IFERROR(__xludf.DUMMYFUNCTION("iferror(PERCENTRANK.INC(FILTER($Q$3:$Q$425, $P$3:$P$425&lt;4.25), $Q22), 1)"),1.0)</f>
        <v>1</v>
      </c>
      <c r="W22" s="20">
        <f>IFERROR(__xludf.DUMMYFUNCTION("iferror(PERCENTRANK.INC(FILTER($Q$3:$Q$425, $P$3:$P$425&gt;=4.1), $Q22), 0)"),0.667)</f>
        <v>0.667</v>
      </c>
    </row>
    <row r="23" ht="14.25" customHeight="1">
      <c r="A23" s="14" t="s">
        <v>1434</v>
      </c>
      <c r="B23" s="14" t="s">
        <v>1229</v>
      </c>
      <c r="C23" s="14">
        <v>60.0</v>
      </c>
      <c r="D23" s="14" t="s">
        <v>1413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$Q23), 1)"),1.0)</f>
        <v>1</v>
      </c>
      <c r="V23" s="20">
        <f>IFERROR(__xludf.DUMMYFUNCTION("iferror(PERCENTRANK.INC(FILTER($Q$3:$Q$425, $P$3:$P$425&lt;4.25), $Q23), 1)"),0.921)</f>
        <v>0.921</v>
      </c>
      <c r="W23" s="20">
        <f>IFERROR(__xludf.DUMMYFUNCTION("iferror(PERCENTRANK.INC(FILTER($Q$3:$Q$425, $P$3:$P$425&gt;=4.1), $Q23), 0)"),0.056)</f>
        <v>0.056</v>
      </c>
    </row>
    <row r="24" ht="14.25" customHeight="1">
      <c r="A24" s="14" t="s">
        <v>1435</v>
      </c>
      <c r="B24" s="14" t="s">
        <v>1357</v>
      </c>
      <c r="C24" s="14">
        <v>68.0</v>
      </c>
      <c r="D24" s="14" t="s">
        <v>1413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$Q24), 1)"),0.982)</f>
        <v>0.982</v>
      </c>
      <c r="V24" s="20">
        <f>IFERROR(__xludf.DUMMYFUNCTION("iferror(PERCENTRANK.INC(FILTER($Q$3:$Q$425, $P$3:$P$425&lt;4.25), $Q24), 1)"),0.873)</f>
        <v>0.873</v>
      </c>
      <c r="W24" s="20">
        <f>IFERROR(__xludf.DUMMYFUNCTION("iferror(PERCENTRANK.INC(FILTER($Q$3:$Q$425, $P$3:$P$425&gt;=4.1), $Q24), 0)"),0.0)</f>
        <v>0</v>
      </c>
    </row>
    <row r="25" ht="14.25" customHeight="1">
      <c r="A25" s="14" t="s">
        <v>1436</v>
      </c>
      <c r="B25" s="14" t="s">
        <v>1324</v>
      </c>
      <c r="C25" s="14">
        <v>61.0</v>
      </c>
      <c r="D25" s="14" t="s">
        <v>1413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$Q25), 1)"),1.0)</f>
        <v>1</v>
      </c>
      <c r="V25" s="20">
        <f>IFERROR(__xludf.DUMMYFUNCTION("iferror(PERCENTRANK.INC(FILTER($Q$3:$Q$425, $P$3:$P$425&lt;4.25), $Q25), 1)"),0.982)</f>
        <v>0.982</v>
      </c>
      <c r="W25" s="20">
        <f>IFERROR(__xludf.DUMMYFUNCTION("iferror(PERCENTRANK.INC(FILTER($Q$3:$Q$425, $P$3:$P$425&gt;=4.1), $Q25), 0)"),0.389)</f>
        <v>0.389</v>
      </c>
    </row>
    <row r="26" ht="14.25" customHeight="1">
      <c r="A26" s="14" t="s">
        <v>1437</v>
      </c>
      <c r="B26" s="14" t="s">
        <v>1396</v>
      </c>
      <c r="C26" s="14">
        <v>55.0</v>
      </c>
      <c r="D26" s="14" t="s">
        <v>1413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$Q26), 1)"),0.952)</f>
        <v>0.952</v>
      </c>
      <c r="V26" s="20">
        <f>IFERROR(__xludf.DUMMYFUNCTION("iferror(PERCENTRANK.INC(FILTER($Q$3:$Q$425, $P$3:$P$425&lt;4.25), $Q26), 1)"),0.841)</f>
        <v>0.841</v>
      </c>
      <c r="W26" s="20">
        <f>IFERROR(__xludf.DUMMYFUNCTION("iferror(PERCENTRANK.INC(FILTER($Q$3:$Q$425, $P$3:$P$425&gt;=4.1), $Q26), 0)"),0.0)</f>
        <v>0</v>
      </c>
    </row>
    <row r="27" ht="14.25" customHeight="1">
      <c r="A27" s="14" t="s">
        <v>1438</v>
      </c>
      <c r="B27" s="14" t="s">
        <v>1439</v>
      </c>
      <c r="C27" s="14">
        <v>52.0</v>
      </c>
      <c r="D27" s="14" t="s">
        <v>1413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$Q27), 1)"),1.0)</f>
        <v>1</v>
      </c>
      <c r="V27" s="20">
        <f>IFERROR(__xludf.DUMMYFUNCTION("iferror(PERCENTRANK.INC(FILTER($Q$3:$Q$425, $P$3:$P$425&lt;4.25), $Q27), 1)"),0.971)</f>
        <v>0.971</v>
      </c>
      <c r="W27" s="20">
        <f>IFERROR(__xludf.DUMMYFUNCTION("iferror(PERCENTRANK.INC(FILTER($Q$3:$Q$425, $P$3:$P$425&gt;=4.1), $Q27), 0)"),0.278)</f>
        <v>0.278</v>
      </c>
    </row>
    <row r="28" ht="14.25" customHeight="1">
      <c r="A28" s="14" t="s">
        <v>1440</v>
      </c>
      <c r="B28" s="14" t="s">
        <v>1441</v>
      </c>
      <c r="C28" s="14">
        <v>52.0</v>
      </c>
      <c r="D28" s="14" t="s">
        <v>1413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$Q28), 1)"),0.782)</f>
        <v>0.782</v>
      </c>
      <c r="V28" s="20">
        <f>IFERROR(__xludf.DUMMYFUNCTION("iferror(PERCENTRANK.INC(FILTER($Q$3:$Q$425, $P$3:$P$425&lt;4.25), $Q28), 1)"),0.683)</f>
        <v>0.683</v>
      </c>
      <c r="W28" s="20">
        <f>IFERROR(__xludf.DUMMYFUNCTION("iferror(PERCENTRANK.INC(FILTER($Q$3:$Q$425, $P$3:$P$425&gt;=4.1), $Q28), 0)"),0.0)</f>
        <v>0</v>
      </c>
    </row>
    <row r="29" ht="14.25" customHeight="1">
      <c r="A29" s="14" t="s">
        <v>1442</v>
      </c>
      <c r="B29" s="14" t="s">
        <v>1380</v>
      </c>
      <c r="C29" s="14">
        <v>74.0</v>
      </c>
      <c r="D29" s="14" t="s">
        <v>1413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$Q29), 1)"),1.0)</f>
        <v>1</v>
      </c>
      <c r="V29" s="20">
        <f>IFERROR(__xludf.DUMMYFUNCTION("iferror(PERCENTRANK.INC(FILTER($Q$3:$Q$425, $P$3:$P$425&lt;4.25), $Q29), 1)"),0.968)</f>
        <v>0.968</v>
      </c>
      <c r="W29" s="20">
        <f>IFERROR(__xludf.DUMMYFUNCTION("iferror(PERCENTRANK.INC(FILTER($Q$3:$Q$425, $P$3:$P$425&gt;=4.1), $Q29), 0)"),0.249)</f>
        <v>0.249</v>
      </c>
    </row>
    <row r="30" ht="14.25" customHeight="1">
      <c r="A30" s="14" t="s">
        <v>1443</v>
      </c>
      <c r="B30" s="14" t="s">
        <v>1326</v>
      </c>
      <c r="C30" s="14">
        <v>78.0</v>
      </c>
      <c r="D30" s="14" t="s">
        <v>1413</v>
      </c>
      <c r="E30" s="14" t="s">
        <v>1327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$Q30), 1)"),0.945)</f>
        <v>0.945</v>
      </c>
      <c r="V30" s="20">
        <f>IFERROR(__xludf.DUMMYFUNCTION("iferror(PERCENTRANK.INC(FILTER($Q$3:$Q$425, $P$3:$P$425&lt;4.25), $Q30), 1)"),0.825)</f>
        <v>0.825</v>
      </c>
      <c r="W30" s="20">
        <f>IFERROR(__xludf.DUMMYFUNCTION("iferror(PERCENTRANK.INC(FILTER($Q$3:$Q$425, $P$3:$P$425&gt;=4.1), $Q30), 0)"),0.0)</f>
        <v>0</v>
      </c>
    </row>
    <row r="31" ht="14.25" customHeight="1">
      <c r="A31" s="14" t="s">
        <v>1444</v>
      </c>
      <c r="B31" s="14" t="s">
        <v>1218</v>
      </c>
      <c r="C31" s="14">
        <v>54.0</v>
      </c>
      <c r="D31" s="14" t="s">
        <v>1413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$Q31), 1)"),0.8)</f>
        <v>0.8</v>
      </c>
      <c r="V31" s="20">
        <f>IFERROR(__xludf.DUMMYFUNCTION("iferror(PERCENTRANK.INC(FILTER($Q$3:$Q$425, $P$3:$P$425&lt;4.25), $Q31), 1)"),0.698)</f>
        <v>0.698</v>
      </c>
      <c r="W31" s="20">
        <f>IFERROR(__xludf.DUMMYFUNCTION("iferror(PERCENTRANK.INC(FILTER($Q$3:$Q$425, $P$3:$P$425&gt;=4.1), $Q31), 0)"),0.0)</f>
        <v>0</v>
      </c>
    </row>
    <row r="32" ht="14.25" customHeight="1">
      <c r="A32" s="14" t="s">
        <v>1445</v>
      </c>
      <c r="B32" s="14" t="s">
        <v>585</v>
      </c>
      <c r="C32" s="14">
        <v>69.0</v>
      </c>
      <c r="D32" s="14" t="s">
        <v>1413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$Q32), 1)"),1.0)</f>
        <v>1</v>
      </c>
      <c r="V32" s="20">
        <f>IFERROR(__xludf.DUMMYFUNCTION("iferror(PERCENTRANK.INC(FILTER($Q$3:$Q$425, $P$3:$P$425&lt;4.25), $Q32), 1)"),0.966)</f>
        <v>0.966</v>
      </c>
      <c r="W32" s="20">
        <f>IFERROR(__xludf.DUMMYFUNCTION("iferror(PERCENTRANK.INC(FILTER($Q$3:$Q$425, $P$3:$P$425&gt;=4.1), $Q32), 0)"),0.222)</f>
        <v>0.222</v>
      </c>
    </row>
    <row r="33" ht="14.25" customHeight="1">
      <c r="A33" s="14" t="s">
        <v>1446</v>
      </c>
      <c r="B33" s="14" t="s">
        <v>1447</v>
      </c>
      <c r="C33" s="14">
        <v>57.0</v>
      </c>
      <c r="D33" s="14" t="s">
        <v>1413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$Q33), 1)"),0.989)</f>
        <v>0.989</v>
      </c>
      <c r="V33" s="20">
        <f>IFERROR(__xludf.DUMMYFUNCTION("iferror(PERCENTRANK.INC(FILTER($Q$3:$Q$425, $P$3:$P$425&lt;4.25), $Q33), 1)"),0.889)</f>
        <v>0.889</v>
      </c>
      <c r="W33" s="20">
        <f>IFERROR(__xludf.DUMMYFUNCTION("iferror(PERCENTRANK.INC(FILTER($Q$3:$Q$425, $P$3:$P$425&gt;=4.1), $Q33), 0)"),0.0)</f>
        <v>0</v>
      </c>
    </row>
    <row r="34" ht="14.25" customHeight="1">
      <c r="A34" s="14" t="s">
        <v>1448</v>
      </c>
      <c r="B34" s="14" t="s">
        <v>1357</v>
      </c>
      <c r="C34" s="14">
        <v>52.0</v>
      </c>
      <c r="D34" s="14" t="s">
        <v>1413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$Q34), 1)"),0.691)</f>
        <v>0.691</v>
      </c>
      <c r="V34" s="20">
        <f>IFERROR(__xludf.DUMMYFUNCTION("iferror(PERCENTRANK.INC(FILTER($Q$3:$Q$425, $P$3:$P$425&lt;4.25), $Q34), 1)"),0.603)</f>
        <v>0.603</v>
      </c>
      <c r="W34" s="20">
        <f>IFERROR(__xludf.DUMMYFUNCTION("iferror(PERCENTRANK.INC(FILTER($Q$3:$Q$425, $P$3:$P$425&gt;=4.1), $Q34), 0)"),0.0)</f>
        <v>0</v>
      </c>
    </row>
    <row r="35" ht="14.25" customHeight="1">
      <c r="A35" s="14" t="s">
        <v>1449</v>
      </c>
      <c r="B35" s="14" t="s">
        <v>1278</v>
      </c>
      <c r="C35" s="14">
        <v>75.0</v>
      </c>
      <c r="D35" s="14" t="s">
        <v>1413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$Q35), 1)"),0.909)</f>
        <v>0.909</v>
      </c>
      <c r="V35" s="20">
        <f>IFERROR(__xludf.DUMMYFUNCTION("iferror(PERCENTRANK.INC(FILTER($Q$3:$Q$425, $P$3:$P$425&lt;4.25), $Q35), 1)"),0.794)</f>
        <v>0.794</v>
      </c>
      <c r="W35" s="20">
        <f>IFERROR(__xludf.DUMMYFUNCTION("iferror(PERCENTRANK.INC(FILTER($Q$3:$Q$425, $P$3:$P$425&gt;=4.1), $Q35), 0)"),0.0)</f>
        <v>0</v>
      </c>
    </row>
    <row r="36" ht="14.25" customHeight="1">
      <c r="A36" s="14" t="s">
        <v>1450</v>
      </c>
      <c r="B36" s="14" t="s">
        <v>1218</v>
      </c>
      <c r="C36" s="14">
        <v>57.0</v>
      </c>
      <c r="D36" s="14" t="s">
        <v>1413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$Q36), 1)"),0.636)</f>
        <v>0.636</v>
      </c>
      <c r="V36" s="20">
        <f>IFERROR(__xludf.DUMMYFUNCTION("iferror(PERCENTRANK.INC(FILTER($Q$3:$Q$425, $P$3:$P$425&lt;4.25), $Q36), 1)"),0.556)</f>
        <v>0.556</v>
      </c>
      <c r="W36" s="20">
        <f>IFERROR(__xludf.DUMMYFUNCTION("iferror(PERCENTRANK.INC(FILTER($Q$3:$Q$425, $P$3:$P$425&gt;=4.1), $Q36), 0)"),0.0)</f>
        <v>0</v>
      </c>
    </row>
    <row r="37" ht="14.25" customHeight="1">
      <c r="A37" s="14" t="s">
        <v>1451</v>
      </c>
      <c r="B37" s="14" t="s">
        <v>1452</v>
      </c>
      <c r="C37" s="14">
        <v>55.0</v>
      </c>
      <c r="D37" s="14" t="s">
        <v>1413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$Q37), 1)"),0.545)</f>
        <v>0.545</v>
      </c>
      <c r="V37" s="20">
        <f>IFERROR(__xludf.DUMMYFUNCTION("iferror(PERCENTRANK.INC(FILTER($Q$3:$Q$425, $P$3:$P$425&lt;4.25), $Q37), 1)"),0.476)</f>
        <v>0.476</v>
      </c>
      <c r="W37" s="20">
        <f>IFERROR(__xludf.DUMMYFUNCTION("iferror(PERCENTRANK.INC(FILTER($Q$3:$Q$425, $P$3:$P$425&gt;=4.1), $Q37), 0)"),0.0)</f>
        <v>0</v>
      </c>
    </row>
    <row r="38" ht="14.25" customHeight="1">
      <c r="A38" s="14" t="s">
        <v>1453</v>
      </c>
      <c r="B38" s="14" t="s">
        <v>1385</v>
      </c>
      <c r="C38" s="14">
        <v>62.0</v>
      </c>
      <c r="D38" s="14" t="s">
        <v>1413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$Q38), 1)"),1.0)</f>
        <v>1</v>
      </c>
      <c r="V38" s="20">
        <f>IFERROR(__xludf.DUMMYFUNCTION("iferror(PERCENTRANK.INC(FILTER($Q$3:$Q$425, $P$3:$P$425&lt;4.25), $Q38), 1)"),0.944)</f>
        <v>0.944</v>
      </c>
      <c r="W38" s="20">
        <f>IFERROR(__xludf.DUMMYFUNCTION("iferror(PERCENTRANK.INC(FILTER($Q$3:$Q$425, $P$3:$P$425&gt;=4.1), $Q38), 0)"),0.167)</f>
        <v>0.167</v>
      </c>
    </row>
    <row r="39" ht="14.25" customHeight="1">
      <c r="A39" s="14" t="s">
        <v>1454</v>
      </c>
      <c r="B39" s="14" t="s">
        <v>1222</v>
      </c>
      <c r="C39" s="14">
        <v>52.0</v>
      </c>
      <c r="D39" s="14" t="s">
        <v>1413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$Q39), 1)"),0.964)</f>
        <v>0.964</v>
      </c>
      <c r="V39" s="20">
        <f>IFERROR(__xludf.DUMMYFUNCTION("iferror(PERCENTRANK.INC(FILTER($Q$3:$Q$425, $P$3:$P$425&lt;4.25), $Q39), 1)"),0.857)</f>
        <v>0.857</v>
      </c>
      <c r="W39" s="20">
        <f>IFERROR(__xludf.DUMMYFUNCTION("iferror(PERCENTRANK.INC(FILTER($Q$3:$Q$425, $P$3:$P$425&gt;=4.1), $Q39), 0)"),0.0)</f>
        <v>0</v>
      </c>
    </row>
    <row r="40" ht="14.25" customHeight="1">
      <c r="A40" s="14" t="s">
        <v>1455</v>
      </c>
      <c r="B40" s="14" t="s">
        <v>1335</v>
      </c>
      <c r="C40" s="14">
        <v>56.0</v>
      </c>
      <c r="D40" s="14" t="s">
        <v>1413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$Q40), 1)"),0.745)</f>
        <v>0.745</v>
      </c>
      <c r="V40" s="20">
        <f>IFERROR(__xludf.DUMMYFUNCTION("iferror(PERCENTRANK.INC(FILTER($Q$3:$Q$425, $P$3:$P$425&lt;4.25), $Q40), 1)"),0.651)</f>
        <v>0.651</v>
      </c>
      <c r="W40" s="20">
        <f>IFERROR(__xludf.DUMMYFUNCTION("iferror(PERCENTRANK.INC(FILTER($Q$3:$Q$425, $P$3:$P$425&gt;=4.1), $Q40), 0)"),0.0)</f>
        <v>0</v>
      </c>
    </row>
    <row r="41" ht="14.25" customHeight="1">
      <c r="A41" s="14" t="s">
        <v>1456</v>
      </c>
      <c r="B41" s="14" t="s">
        <v>1378</v>
      </c>
      <c r="C41" s="14">
        <v>58.0</v>
      </c>
      <c r="D41" s="14" t="s">
        <v>1413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$Q41), 1)"),0.727)</f>
        <v>0.727</v>
      </c>
      <c r="V41" s="20">
        <f>IFERROR(__xludf.DUMMYFUNCTION("iferror(PERCENTRANK.INC(FILTER($Q$3:$Q$425, $P$3:$P$425&lt;4.25), $Q41), 1)"),0.635)</f>
        <v>0.635</v>
      </c>
      <c r="W41" s="20">
        <f>IFERROR(__xludf.DUMMYFUNCTION("iferror(PERCENTRANK.INC(FILTER($Q$3:$Q$425, $P$3:$P$425&gt;=4.1), $Q41), 0)"),0.0)</f>
        <v>0</v>
      </c>
    </row>
    <row r="42" ht="14.25" customHeight="1">
      <c r="A42" s="14" t="s">
        <v>1457</v>
      </c>
      <c r="B42" s="14" t="s">
        <v>151</v>
      </c>
      <c r="C42" s="14">
        <v>74.0</v>
      </c>
      <c r="D42" s="14" t="s">
        <v>1413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$Q42), 1)"),0.709)</f>
        <v>0.709</v>
      </c>
      <c r="V42" s="20">
        <f>IFERROR(__xludf.DUMMYFUNCTION("iferror(PERCENTRANK.INC(FILTER($Q$3:$Q$425, $P$3:$P$425&lt;4.25), $Q42), 1)"),0.619)</f>
        <v>0.619</v>
      </c>
      <c r="W42" s="20">
        <f>IFERROR(__xludf.DUMMYFUNCTION("iferror(PERCENTRANK.INC(FILTER($Q$3:$Q$425, $P$3:$P$425&gt;=4.1), $Q42), 0)"),0.0)</f>
        <v>0</v>
      </c>
    </row>
    <row r="43" ht="14.25" customHeight="1">
      <c r="A43" s="14" t="s">
        <v>1458</v>
      </c>
      <c r="B43" s="14" t="s">
        <v>1350</v>
      </c>
      <c r="C43" s="14">
        <v>63.0</v>
      </c>
      <c r="D43" s="14" t="s">
        <v>1413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$Q43), 1)"),0.673)</f>
        <v>0.673</v>
      </c>
      <c r="V43" s="20">
        <f>IFERROR(__xludf.DUMMYFUNCTION("iferror(PERCENTRANK.INC(FILTER($Q$3:$Q$425, $P$3:$P$425&lt;4.25), $Q43), 1)"),0.587)</f>
        <v>0.587</v>
      </c>
      <c r="W43" s="20">
        <f>IFERROR(__xludf.DUMMYFUNCTION("iferror(PERCENTRANK.INC(FILTER($Q$3:$Q$425, $P$3:$P$425&gt;=4.1), $Q43), 0)"),0.0)</f>
        <v>0</v>
      </c>
    </row>
    <row r="44" ht="14.25" customHeight="1">
      <c r="A44" s="14" t="s">
        <v>1459</v>
      </c>
      <c r="B44" s="14" t="s">
        <v>151</v>
      </c>
      <c r="C44" s="14">
        <v>57.0</v>
      </c>
      <c r="D44" s="14" t="s">
        <v>1413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$Q44), 1)"),0.618)</f>
        <v>0.618</v>
      </c>
      <c r="V44" s="20">
        <f>IFERROR(__xludf.DUMMYFUNCTION("iferror(PERCENTRANK.INC(FILTER($Q$3:$Q$425, $P$3:$P$425&lt;4.25), $Q44), 1)"),0.54)</f>
        <v>0.54</v>
      </c>
      <c r="W44" s="20">
        <f>IFERROR(__xludf.DUMMYFUNCTION("iferror(PERCENTRANK.INC(FILTER($Q$3:$Q$425, $P$3:$P$425&gt;=4.1), $Q44), 0)"),0.0)</f>
        <v>0</v>
      </c>
    </row>
    <row r="45" ht="14.25" customHeight="1">
      <c r="A45" s="14" t="s">
        <v>1460</v>
      </c>
      <c r="B45" s="14" t="s">
        <v>1461</v>
      </c>
      <c r="C45" s="14">
        <v>52.0</v>
      </c>
      <c r="D45" s="14" t="s">
        <v>1413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$Q45), 1)"),0.6)</f>
        <v>0.6</v>
      </c>
      <c r="V45" s="20">
        <f>IFERROR(__xludf.DUMMYFUNCTION("iferror(PERCENTRANK.INC(FILTER($Q$3:$Q$425, $P$3:$P$425&lt;4.25), $Q45), 1)"),0.524)</f>
        <v>0.524</v>
      </c>
      <c r="W45" s="20">
        <f>IFERROR(__xludf.DUMMYFUNCTION("iferror(PERCENTRANK.INC(FILTER($Q$3:$Q$425, $P$3:$P$425&gt;=4.1), $Q45), 0)"),0.0)</f>
        <v>0</v>
      </c>
    </row>
    <row r="46" ht="14.25" customHeight="1">
      <c r="A46" s="14" t="s">
        <v>1462</v>
      </c>
      <c r="B46" s="14" t="s">
        <v>1365</v>
      </c>
      <c r="C46" s="14">
        <v>66.0</v>
      </c>
      <c r="D46" s="14" t="s">
        <v>1413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$Q46), 1)"),0.582)</f>
        <v>0.582</v>
      </c>
      <c r="V46" s="20">
        <f>IFERROR(__xludf.DUMMYFUNCTION("iferror(PERCENTRANK.INC(FILTER($Q$3:$Q$425, $P$3:$P$425&lt;4.25), $Q46), 1)"),0.508)</f>
        <v>0.508</v>
      </c>
      <c r="W46" s="20">
        <f>IFERROR(__xludf.DUMMYFUNCTION("iferror(PERCENTRANK.INC(FILTER($Q$3:$Q$425, $P$3:$P$425&gt;=4.1), $Q46), 0)"),0.0)</f>
        <v>0</v>
      </c>
    </row>
    <row r="47" ht="14.25" customHeight="1">
      <c r="A47" s="14" t="s">
        <v>1463</v>
      </c>
      <c r="B47" s="14" t="s">
        <v>1218</v>
      </c>
      <c r="C47" s="14">
        <v>52.0</v>
      </c>
      <c r="D47" s="14" t="s">
        <v>1413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$Q47), 1)"),0.655)</f>
        <v>0.655</v>
      </c>
      <c r="V47" s="20">
        <f>IFERROR(__xludf.DUMMYFUNCTION("iferror(PERCENTRANK.INC(FILTER($Q$3:$Q$425, $P$3:$P$425&lt;4.25), $Q47), 1)"),0.571)</f>
        <v>0.571</v>
      </c>
      <c r="W47" s="20">
        <f>IFERROR(__xludf.DUMMYFUNCTION("iferror(PERCENTRANK.INC(FILTER($Q$3:$Q$425, $P$3:$P$425&gt;=4.1), $Q47), 0)"),0.0)</f>
        <v>0</v>
      </c>
    </row>
    <row r="48" ht="14.25" customHeight="1">
      <c r="A48" s="14" t="s">
        <v>1464</v>
      </c>
      <c r="B48" s="14" t="s">
        <v>1363</v>
      </c>
      <c r="C48" s="14">
        <v>50.0</v>
      </c>
      <c r="D48" s="14" t="s">
        <v>1413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$Q48), 1)"),0.345)</f>
        <v>0.345</v>
      </c>
      <c r="V48" s="20">
        <f>IFERROR(__xludf.DUMMYFUNCTION("iferror(PERCENTRANK.INC(FILTER($Q$3:$Q$425, $P$3:$P$425&lt;4.25), $Q48), 1)"),0.302)</f>
        <v>0.302</v>
      </c>
      <c r="W48" s="20">
        <f>IFERROR(__xludf.DUMMYFUNCTION("iferror(PERCENTRANK.INC(FILTER($Q$3:$Q$425, $P$3:$P$425&gt;=4.1), $Q48), 0)"),0.0)</f>
        <v>0</v>
      </c>
    </row>
    <row r="49" ht="14.25" customHeight="1">
      <c r="A49" s="14" t="s">
        <v>1465</v>
      </c>
      <c r="B49" s="14" t="s">
        <v>1322</v>
      </c>
      <c r="C49" s="14">
        <v>72.0</v>
      </c>
      <c r="D49" s="14" t="s">
        <v>1413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$Q49), 1)"),0.527)</f>
        <v>0.527</v>
      </c>
      <c r="V49" s="20">
        <f>IFERROR(__xludf.DUMMYFUNCTION("iferror(PERCENTRANK.INC(FILTER($Q$3:$Q$425, $P$3:$P$425&lt;4.25), $Q49), 1)"),0.46)</f>
        <v>0.46</v>
      </c>
      <c r="W49" s="20">
        <f>IFERROR(__xludf.DUMMYFUNCTION("iferror(PERCENTRANK.INC(FILTER($Q$3:$Q$425, $P$3:$P$425&gt;=4.1), $Q49), 0)"),0.0)</f>
        <v>0</v>
      </c>
    </row>
    <row r="50" ht="14.25" customHeight="1">
      <c r="A50" s="14" t="s">
        <v>1466</v>
      </c>
      <c r="B50" s="14" t="s">
        <v>1383</v>
      </c>
      <c r="C50" s="14">
        <v>59.0</v>
      </c>
      <c r="D50" s="14" t="s">
        <v>1413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$Q50), 1)"),0.564)</f>
        <v>0.564</v>
      </c>
      <c r="V50" s="20">
        <f>IFERROR(__xludf.DUMMYFUNCTION("iferror(PERCENTRANK.INC(FILTER($Q$3:$Q$425, $P$3:$P$425&lt;4.25), $Q50), 1)"),0.492)</f>
        <v>0.492</v>
      </c>
      <c r="W50" s="20">
        <f>IFERROR(__xludf.DUMMYFUNCTION("iferror(PERCENTRANK.INC(FILTER($Q$3:$Q$425, $P$3:$P$425&gt;=4.1), $Q50), 0)"),0.0)</f>
        <v>0</v>
      </c>
    </row>
    <row r="51" ht="14.25" customHeight="1">
      <c r="A51" s="14" t="s">
        <v>1467</v>
      </c>
      <c r="B51" s="14" t="s">
        <v>1236</v>
      </c>
      <c r="C51" s="14">
        <v>60.0</v>
      </c>
      <c r="D51" s="14" t="s">
        <v>1413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$Q51), 1)"),0.436)</f>
        <v>0.436</v>
      </c>
      <c r="V51" s="20">
        <f>IFERROR(__xludf.DUMMYFUNCTION("iferror(PERCENTRANK.INC(FILTER($Q$3:$Q$425, $P$3:$P$425&lt;4.25), $Q51), 1)"),0.381)</f>
        <v>0.381</v>
      </c>
      <c r="W51" s="20">
        <f>IFERROR(__xludf.DUMMYFUNCTION("iferror(PERCENTRANK.INC(FILTER($Q$3:$Q$425, $P$3:$P$425&gt;=4.1), $Q51), 0)"),0.0)</f>
        <v>0</v>
      </c>
    </row>
    <row r="52" ht="14.25" customHeight="1">
      <c r="A52" s="14" t="s">
        <v>1468</v>
      </c>
      <c r="B52" s="14" t="s">
        <v>1318</v>
      </c>
      <c r="C52" s="14">
        <v>55.0</v>
      </c>
      <c r="D52" s="14" t="s">
        <v>1413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$Q52), 1)"),0.218)</f>
        <v>0.218</v>
      </c>
      <c r="V52" s="20">
        <f>IFERROR(__xludf.DUMMYFUNCTION("iferror(PERCENTRANK.INC(FILTER($Q$3:$Q$425, $P$3:$P$425&lt;4.25), $Q52), 1)"),0.19)</f>
        <v>0.19</v>
      </c>
      <c r="W52" s="20">
        <f>IFERROR(__xludf.DUMMYFUNCTION("iferror(PERCENTRANK.INC(FILTER($Q$3:$Q$425, $P$3:$P$425&gt;=4.1), $Q52), 0)"),0.0)</f>
        <v>0</v>
      </c>
    </row>
    <row r="53" ht="14.25" customHeight="1">
      <c r="A53" s="14" t="s">
        <v>1469</v>
      </c>
      <c r="B53" s="14" t="s">
        <v>1363</v>
      </c>
      <c r="C53" s="14">
        <v>60.0</v>
      </c>
      <c r="D53" s="14" t="s">
        <v>1413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$Q53), 1)"),0.418)</f>
        <v>0.418</v>
      </c>
      <c r="V53" s="20">
        <f>IFERROR(__xludf.DUMMYFUNCTION("iferror(PERCENTRANK.INC(FILTER($Q$3:$Q$425, $P$3:$P$425&lt;4.25), $Q53), 1)"),0.365)</f>
        <v>0.365</v>
      </c>
      <c r="W53" s="20">
        <f>IFERROR(__xludf.DUMMYFUNCTION("iferror(PERCENTRANK.INC(FILTER($Q$3:$Q$425, $P$3:$P$425&gt;=4.1), $Q53), 0)"),0.0)</f>
        <v>0</v>
      </c>
    </row>
    <row r="54" ht="14.25" customHeight="1">
      <c r="A54" s="14" t="s">
        <v>1470</v>
      </c>
      <c r="B54" s="14" t="s">
        <v>433</v>
      </c>
      <c r="C54" s="14">
        <v>71.0</v>
      </c>
      <c r="D54" s="14" t="s">
        <v>1413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$Q54), 1)"),0.509)</f>
        <v>0.509</v>
      </c>
      <c r="V54" s="20">
        <f>IFERROR(__xludf.DUMMYFUNCTION("iferror(PERCENTRANK.INC(FILTER($Q$3:$Q$425, $P$3:$P$425&lt;4.25), $Q54), 1)"),0.444)</f>
        <v>0.444</v>
      </c>
      <c r="W54" s="20">
        <f>IFERROR(__xludf.DUMMYFUNCTION("iferror(PERCENTRANK.INC(FILTER($Q$3:$Q$425, $P$3:$P$425&gt;=4.1), $Q54), 0)"),0.0)</f>
        <v>0</v>
      </c>
    </row>
    <row r="55" ht="14.25" customHeight="1">
      <c r="A55" s="14" t="s">
        <v>1471</v>
      </c>
      <c r="B55" s="14" t="s">
        <v>1472</v>
      </c>
      <c r="C55" s="14">
        <v>54.0</v>
      </c>
      <c r="D55" s="14" t="s">
        <v>1413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$Q55), 1)"),0.182)</f>
        <v>0.182</v>
      </c>
      <c r="V55" s="20">
        <f>IFERROR(__xludf.DUMMYFUNCTION("iferror(PERCENTRANK.INC(FILTER($Q$3:$Q$425, $P$3:$P$425&lt;4.25), $Q55), 1)"),0.159)</f>
        <v>0.159</v>
      </c>
      <c r="W55" s="20">
        <f>IFERROR(__xludf.DUMMYFUNCTION("iferror(PERCENTRANK.INC(FILTER($Q$3:$Q$425, $P$3:$P$425&gt;=4.1), $Q55), 0)"),0.0)</f>
        <v>0</v>
      </c>
    </row>
    <row r="56" ht="14.25" customHeight="1">
      <c r="A56" s="14" t="s">
        <v>1473</v>
      </c>
      <c r="B56" s="14" t="s">
        <v>1474</v>
      </c>
      <c r="C56" s="14">
        <v>76.0</v>
      </c>
      <c r="D56" s="14" t="s">
        <v>1413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$Q56), 1)"),0.364)</f>
        <v>0.364</v>
      </c>
      <c r="V56" s="20">
        <f>IFERROR(__xludf.DUMMYFUNCTION("iferror(PERCENTRANK.INC(FILTER($Q$3:$Q$425, $P$3:$P$425&lt;4.25), $Q56), 1)"),0.317)</f>
        <v>0.317</v>
      </c>
      <c r="W56" s="20">
        <f>IFERROR(__xludf.DUMMYFUNCTION("iferror(PERCENTRANK.INC(FILTER($Q$3:$Q$425, $P$3:$P$425&gt;=4.1), $Q56), 0)"),0.0)</f>
        <v>0</v>
      </c>
    </row>
    <row r="57" ht="14.25" customHeight="1">
      <c r="A57" s="14" t="s">
        <v>1475</v>
      </c>
      <c r="B57" s="14" t="s">
        <v>1476</v>
      </c>
      <c r="C57" s="14">
        <v>55.0</v>
      </c>
      <c r="D57" s="14" t="s">
        <v>1413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$Q57), 1)"),0.4)</f>
        <v>0.4</v>
      </c>
      <c r="V57" s="20">
        <f>IFERROR(__xludf.DUMMYFUNCTION("iferror(PERCENTRANK.INC(FILTER($Q$3:$Q$425, $P$3:$P$425&lt;4.25), $Q57), 1)"),0.349)</f>
        <v>0.349</v>
      </c>
      <c r="W57" s="20">
        <f>IFERROR(__xludf.DUMMYFUNCTION("iferror(PERCENTRANK.INC(FILTER($Q$3:$Q$425, $P$3:$P$425&gt;=4.1), $Q57), 0)"),0.0)</f>
        <v>0</v>
      </c>
    </row>
    <row r="58" ht="14.25" customHeight="1">
      <c r="A58" s="14" t="s">
        <v>1477</v>
      </c>
      <c r="B58" s="14" t="s">
        <v>1258</v>
      </c>
      <c r="C58" s="14">
        <v>79.0</v>
      </c>
      <c r="D58" s="14" t="s">
        <v>1413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$Q58), 1)"),0.291)</f>
        <v>0.291</v>
      </c>
      <c r="V58" s="20">
        <f>IFERROR(__xludf.DUMMYFUNCTION("iferror(PERCENTRANK.INC(FILTER($Q$3:$Q$425, $P$3:$P$425&lt;4.25), $Q58), 1)"),0.254)</f>
        <v>0.254</v>
      </c>
      <c r="W58" s="20">
        <f>IFERROR(__xludf.DUMMYFUNCTION("iferror(PERCENTRANK.INC(FILTER($Q$3:$Q$425, $P$3:$P$425&gt;=4.1), $Q58), 0)"),0.0)</f>
        <v>0</v>
      </c>
    </row>
    <row r="59" ht="14.25" customHeight="1">
      <c r="A59" s="14" t="s">
        <v>1478</v>
      </c>
      <c r="B59" s="14" t="s">
        <v>1236</v>
      </c>
      <c r="C59" s="14">
        <v>70.0</v>
      </c>
      <c r="D59" s="14" t="s">
        <v>1413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$Q59), 1)"),0.382)</f>
        <v>0.382</v>
      </c>
      <c r="V59" s="20">
        <f>IFERROR(__xludf.DUMMYFUNCTION("iferror(PERCENTRANK.INC(FILTER($Q$3:$Q$425, $P$3:$P$425&lt;4.25), $Q59), 1)"),0.333)</f>
        <v>0.333</v>
      </c>
      <c r="W59" s="20">
        <f>IFERROR(__xludf.DUMMYFUNCTION("iferror(PERCENTRANK.INC(FILTER($Q$3:$Q$425, $P$3:$P$425&gt;=4.1), $Q59), 0)"),0.0)</f>
        <v>0</v>
      </c>
    </row>
    <row r="60" ht="14.25" customHeight="1">
      <c r="A60" s="14" t="s">
        <v>1479</v>
      </c>
      <c r="B60" s="14" t="s">
        <v>1332</v>
      </c>
      <c r="C60" s="14">
        <v>72.0</v>
      </c>
      <c r="D60" s="14" t="s">
        <v>1413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$Q60), 1)"),0.036)</f>
        <v>0.036</v>
      </c>
      <c r="V60" s="20">
        <f>IFERROR(__xludf.DUMMYFUNCTION("iferror(PERCENTRANK.INC(FILTER($Q$3:$Q$425, $P$3:$P$425&lt;4.25), $Q60), 1)"),0.032)</f>
        <v>0.032</v>
      </c>
      <c r="W60" s="20">
        <f>IFERROR(__xludf.DUMMYFUNCTION("iferror(PERCENTRANK.INC(FILTER($Q$3:$Q$425, $P$3:$P$425&gt;=4.1), $Q60), 0)"),0.0)</f>
        <v>0</v>
      </c>
    </row>
    <row r="61" ht="14.25" customHeight="1">
      <c r="A61" s="14" t="s">
        <v>1480</v>
      </c>
      <c r="B61" s="14" t="s">
        <v>1348</v>
      </c>
      <c r="C61" s="14">
        <v>74.0</v>
      </c>
      <c r="D61" s="14" t="s">
        <v>1413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$Q61), 1)"),0.455)</f>
        <v>0.455</v>
      </c>
      <c r="V61" s="20">
        <f>IFERROR(__xludf.DUMMYFUNCTION("iferror(PERCENTRANK.INC(FILTER($Q$3:$Q$425, $P$3:$P$425&lt;4.25), $Q61), 1)"),0.397)</f>
        <v>0.397</v>
      </c>
      <c r="W61" s="20">
        <f>IFERROR(__xludf.DUMMYFUNCTION("iferror(PERCENTRANK.INC(FILTER($Q$3:$Q$425, $P$3:$P$425&gt;=4.1), $Q61), 0)"),0.0)</f>
        <v>0</v>
      </c>
    </row>
    <row r="62" ht="14.25" customHeight="1">
      <c r="A62" s="14" t="s">
        <v>1481</v>
      </c>
      <c r="B62" s="14" t="s">
        <v>1417</v>
      </c>
      <c r="C62" s="14">
        <v>70.0</v>
      </c>
      <c r="D62" s="14" t="s">
        <v>1413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$Q62), 1)"),0.055)</f>
        <v>0.055</v>
      </c>
      <c r="V62" s="20">
        <f>IFERROR(__xludf.DUMMYFUNCTION("iferror(PERCENTRANK.INC(FILTER($Q$3:$Q$425, $P$3:$P$425&lt;4.25), $Q62), 1)"),0.048)</f>
        <v>0.048</v>
      </c>
      <c r="W62" s="20">
        <f>IFERROR(__xludf.DUMMYFUNCTION("iferror(PERCENTRANK.INC(FILTER($Q$3:$Q$425, $P$3:$P$425&gt;=4.1), $Q62), 0)"),0.0)</f>
        <v>0</v>
      </c>
    </row>
    <row r="63" ht="14.25" customHeight="1">
      <c r="A63" s="14" t="s">
        <v>1482</v>
      </c>
      <c r="B63" s="14" t="s">
        <v>1269</v>
      </c>
      <c r="C63" s="14">
        <v>72.0</v>
      </c>
      <c r="D63" s="14" t="s">
        <v>1413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$Q63), 1)"),0.473)</f>
        <v>0.473</v>
      </c>
      <c r="V63" s="20">
        <f>IFERROR(__xludf.DUMMYFUNCTION("iferror(PERCENTRANK.INC(FILTER($Q$3:$Q$425, $P$3:$P$425&lt;4.25), $Q63), 1)"),0.413)</f>
        <v>0.413</v>
      </c>
      <c r="W63" s="20">
        <f>IFERROR(__xludf.DUMMYFUNCTION("iferror(PERCENTRANK.INC(FILTER($Q$3:$Q$425, $P$3:$P$425&gt;=4.1), $Q63), 0)"),0.0)</f>
        <v>0</v>
      </c>
    </row>
    <row r="64" ht="14.25" customHeight="1">
      <c r="A64" s="14" t="s">
        <v>1483</v>
      </c>
      <c r="B64" s="14" t="s">
        <v>1363</v>
      </c>
      <c r="C64" s="14">
        <v>54.0</v>
      </c>
      <c r="D64" s="14" t="s">
        <v>1413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$Q64), 1)"),0.309)</f>
        <v>0.309</v>
      </c>
      <c r="V64" s="20">
        <f>IFERROR(__xludf.DUMMYFUNCTION("iferror(PERCENTRANK.INC(FILTER($Q$3:$Q$425, $P$3:$P$425&lt;4.25), $Q64), 1)"),0.27)</f>
        <v>0.27</v>
      </c>
      <c r="W64" s="20">
        <f>IFERROR(__xludf.DUMMYFUNCTION("iferror(PERCENTRANK.INC(FILTER($Q$3:$Q$425, $P$3:$P$425&gt;=4.1), $Q64), 0)"),0.0)</f>
        <v>0</v>
      </c>
    </row>
    <row r="65" ht="14.25" customHeight="1">
      <c r="A65" s="14" t="s">
        <v>1484</v>
      </c>
      <c r="B65" s="14" t="s">
        <v>1485</v>
      </c>
      <c r="C65" s="14">
        <v>71.0</v>
      </c>
      <c r="D65" s="14" t="s">
        <v>1413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$Q65), 1)"),0.309)</f>
        <v>0.309</v>
      </c>
      <c r="V65" s="20">
        <f>IFERROR(__xludf.DUMMYFUNCTION("iferror(PERCENTRANK.INC(FILTER($Q$3:$Q$425, $P$3:$P$425&lt;4.25), $Q65), 1)"),0.27)</f>
        <v>0.27</v>
      </c>
      <c r="W65" s="20">
        <f>IFERROR(__xludf.DUMMYFUNCTION("iferror(PERCENTRANK.INC(FILTER($Q$3:$Q$425, $P$3:$P$425&gt;=4.1), $Q65), 0)"),0.0)</f>
        <v>0</v>
      </c>
    </row>
    <row r="66" ht="14.25" customHeight="1">
      <c r="A66" s="14" t="s">
        <v>1486</v>
      </c>
      <c r="B66" s="14" t="s">
        <v>1308</v>
      </c>
      <c r="C66" s="14">
        <v>50.0</v>
      </c>
      <c r="D66" s="14" t="s">
        <v>1413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$Q66), 1)"),0.091)</f>
        <v>0.091</v>
      </c>
      <c r="V66" s="20">
        <f>IFERROR(__xludf.DUMMYFUNCTION("iferror(PERCENTRANK.INC(FILTER($Q$3:$Q$425, $P$3:$P$425&lt;4.25), $Q66), 1)"),0.079)</f>
        <v>0.079</v>
      </c>
      <c r="W66" s="20">
        <f>IFERROR(__xludf.DUMMYFUNCTION("iferror(PERCENTRANK.INC(FILTER($Q$3:$Q$425, $P$3:$P$425&gt;=4.1), $Q66), 0)"),0.0)</f>
        <v>0</v>
      </c>
    </row>
    <row r="67" ht="14.25" customHeight="1">
      <c r="A67" s="14" t="s">
        <v>1487</v>
      </c>
      <c r="B67" s="14" t="s">
        <v>1452</v>
      </c>
      <c r="C67" s="14">
        <v>72.0</v>
      </c>
      <c r="D67" s="14" t="s">
        <v>1413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$Q67), 1)"),0.127)</f>
        <v>0.127</v>
      </c>
      <c r="V67" s="20">
        <f>IFERROR(__xludf.DUMMYFUNCTION("iferror(PERCENTRANK.INC(FILTER($Q$3:$Q$425, $P$3:$P$425&lt;4.25), $Q67), 1)"),0.111)</f>
        <v>0.111</v>
      </c>
      <c r="W67" s="20">
        <f>IFERROR(__xludf.DUMMYFUNCTION("iferror(PERCENTRANK.INC(FILTER($Q$3:$Q$425, $P$3:$P$425&gt;=4.1), $Q67), 0)"),0.0)</f>
        <v>0</v>
      </c>
    </row>
    <row r="68" ht="14.25" customHeight="1">
      <c r="A68" s="14" t="s">
        <v>1488</v>
      </c>
      <c r="B68" s="14" t="s">
        <v>1489</v>
      </c>
      <c r="C68" s="14">
        <v>73.0</v>
      </c>
      <c r="D68" s="14" t="s">
        <v>1413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$Q68), 1)"),0.145)</f>
        <v>0.145</v>
      </c>
      <c r="V68" s="20">
        <f>IFERROR(__xludf.DUMMYFUNCTION("iferror(PERCENTRANK.INC(FILTER($Q$3:$Q$425, $P$3:$P$425&lt;4.25), $Q68), 1)"),0.127)</f>
        <v>0.127</v>
      </c>
      <c r="W68" s="20">
        <f>IFERROR(__xludf.DUMMYFUNCTION("iferror(PERCENTRANK.INC(FILTER($Q$3:$Q$425, $P$3:$P$425&gt;=4.1), $Q68), 0)"),0.0)</f>
        <v>0</v>
      </c>
    </row>
    <row r="69" ht="14.25" customHeight="1">
      <c r="A69" s="14" t="s">
        <v>1490</v>
      </c>
      <c r="B69" s="14" t="s">
        <v>1489</v>
      </c>
      <c r="C69" s="14">
        <v>56.0</v>
      </c>
      <c r="D69" s="14" t="s">
        <v>1413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$Q69), 1)"),0.491)</f>
        <v>0.491</v>
      </c>
      <c r="V69" s="20">
        <f>IFERROR(__xludf.DUMMYFUNCTION("iferror(PERCENTRANK.INC(FILTER($Q$3:$Q$425, $P$3:$P$425&lt;4.25), $Q69), 1)"),0.429)</f>
        <v>0.429</v>
      </c>
      <c r="W69" s="20">
        <f>IFERROR(__xludf.DUMMYFUNCTION("iferror(PERCENTRANK.INC(FILTER($Q$3:$Q$425, $P$3:$P$425&gt;=4.1), $Q69), 0)"),0.0)</f>
        <v>0</v>
      </c>
    </row>
    <row r="70" ht="14.25" customHeight="1">
      <c r="A70" s="16" t="s">
        <v>1491</v>
      </c>
      <c r="B70" s="14" t="s">
        <v>1361</v>
      </c>
      <c r="C70" s="16">
        <v>56.0</v>
      </c>
      <c r="D70" s="14" t="s">
        <v>1413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$Q70), 1)"),0.109)</f>
        <v>0.109</v>
      </c>
      <c r="V70" s="20">
        <f>IFERROR(__xludf.DUMMYFUNCTION("iferror(PERCENTRANK.INC(FILTER($Q$3:$Q$425, $P$3:$P$425&lt;4.25), $Q70), 1)"),0.095)</f>
        <v>0.095</v>
      </c>
      <c r="W70" s="20">
        <f>IFERROR(__xludf.DUMMYFUNCTION("iferror(PERCENTRANK.INC(FILTER($Q$3:$Q$425, $P$3:$P$425&gt;=4.1), $Q70), 0)"),0.0)</f>
        <v>0</v>
      </c>
    </row>
    <row r="71" ht="14.25" customHeight="1">
      <c r="A71" s="14" t="s">
        <v>1492</v>
      </c>
      <c r="B71" s="14" t="s">
        <v>1461</v>
      </c>
      <c r="C71" s="14">
        <v>56.0</v>
      </c>
      <c r="D71" s="14" t="s">
        <v>1413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$Q71), 1)"),0.273)</f>
        <v>0.273</v>
      </c>
      <c r="V71" s="20">
        <f>IFERROR(__xludf.DUMMYFUNCTION("iferror(PERCENTRANK.INC(FILTER($Q$3:$Q$425, $P$3:$P$425&lt;4.25), $Q71), 1)"),0.238)</f>
        <v>0.238</v>
      </c>
      <c r="W71" s="20">
        <f>IFERROR(__xludf.DUMMYFUNCTION("iferror(PERCENTRANK.INC(FILTER($Q$3:$Q$425, $P$3:$P$425&gt;=4.1), $Q71), 0)"),0.0)</f>
        <v>0</v>
      </c>
    </row>
    <row r="72" ht="14.25" customHeight="1">
      <c r="A72" s="14" t="s">
        <v>1493</v>
      </c>
      <c r="B72" s="14" t="s">
        <v>1280</v>
      </c>
      <c r="C72" s="14">
        <v>67.0</v>
      </c>
      <c r="D72" s="14" t="s">
        <v>1413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$Q72), 1)"),0.0)</f>
        <v>0</v>
      </c>
      <c r="V72" s="20">
        <f>IFERROR(__xludf.DUMMYFUNCTION("iferror(PERCENTRANK.INC(FILTER($Q$3:$Q$425, $P$3:$P$425&lt;4.25), $Q72), 1)"),0.0)</f>
        <v>0</v>
      </c>
      <c r="W72" s="20">
        <f>IFERROR(__xludf.DUMMYFUNCTION("iferror(PERCENTRANK.INC(FILTER($Q$3:$Q$425, $P$3:$P$425&gt;=4.1), $Q72), 0)"),0.0)</f>
        <v>0</v>
      </c>
    </row>
    <row r="73" ht="14.25" customHeight="1">
      <c r="A73" s="14" t="s">
        <v>1494</v>
      </c>
      <c r="B73" s="14" t="s">
        <v>1357</v>
      </c>
      <c r="C73" s="14">
        <v>50.0</v>
      </c>
      <c r="D73" s="14" t="s">
        <v>1413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$Q73), 1)"),0.073)</f>
        <v>0.073</v>
      </c>
      <c r="V73" s="20">
        <f>IFERROR(__xludf.DUMMYFUNCTION("iferror(PERCENTRANK.INC(FILTER($Q$3:$Q$425, $P$3:$P$425&lt;4.25), $Q73), 1)"),0.063)</f>
        <v>0.063</v>
      </c>
      <c r="W73" s="20">
        <f>IFERROR(__xludf.DUMMYFUNCTION("iferror(PERCENTRANK.INC(FILTER($Q$3:$Q$425, $P$3:$P$425&gt;=4.1), $Q73), 0)"),0.0)</f>
        <v>0</v>
      </c>
    </row>
    <row r="74" ht="14.25" customHeight="1">
      <c r="A74" s="14" t="s">
        <v>1495</v>
      </c>
      <c r="B74" s="14" t="s">
        <v>1452</v>
      </c>
      <c r="C74" s="14">
        <v>65.0</v>
      </c>
      <c r="D74" s="14" t="s">
        <v>1413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$Q74), 1)"),0.164)</f>
        <v>0.164</v>
      </c>
      <c r="V74" s="20">
        <f>IFERROR(__xludf.DUMMYFUNCTION("iferror(PERCENTRANK.INC(FILTER($Q$3:$Q$425, $P$3:$P$425&lt;4.25), $Q74), 1)"),0.143)</f>
        <v>0.143</v>
      </c>
      <c r="W74" s="20">
        <f>IFERROR(__xludf.DUMMYFUNCTION("iferror(PERCENTRANK.INC(FILTER($Q$3:$Q$425, $P$3:$P$425&gt;=4.1), $Q74), 0)"),0.0)</f>
        <v>0</v>
      </c>
    </row>
    <row r="75" ht="14.25" customHeight="1">
      <c r="A75" s="14" t="s">
        <v>1496</v>
      </c>
      <c r="B75" s="14" t="s">
        <v>1350</v>
      </c>
      <c r="C75" s="14">
        <v>55.0</v>
      </c>
      <c r="D75" s="14" t="s">
        <v>1413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$Q75), 1)"),0.018)</f>
        <v>0.018</v>
      </c>
      <c r="V75" s="20">
        <f>IFERROR(__xludf.DUMMYFUNCTION("iferror(PERCENTRANK.INC(FILTER($Q$3:$Q$425, $P$3:$P$425&lt;4.25), $Q75), 1)"),0.016)</f>
        <v>0.016</v>
      </c>
      <c r="W75" s="20">
        <f>IFERROR(__xludf.DUMMYFUNCTION("iferror(PERCENTRANK.INC(FILTER($Q$3:$Q$425, $P$3:$P$425&gt;=4.1), $Q75), 0)"),0.0)</f>
        <v>0</v>
      </c>
    </row>
    <row r="76" ht="14.25" customHeight="1">
      <c r="A76" s="16" t="s">
        <v>1497</v>
      </c>
      <c r="B76" s="16" t="s">
        <v>1498</v>
      </c>
      <c r="C76" s="16">
        <v>70.0</v>
      </c>
      <c r="D76" s="16" t="s">
        <v>1413</v>
      </c>
      <c r="E76" s="16" t="s">
        <v>1227</v>
      </c>
      <c r="F76" s="36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$Q76), 1)"),0.255)</f>
        <v>0.255</v>
      </c>
      <c r="V76" s="20">
        <f>IFERROR(__xludf.DUMMYFUNCTION("iferror(PERCENTRANK.INC(FILTER($Q$3:$Q$425, $P$3:$P$425&lt;4.25), $Q76), 1)"),0.222)</f>
        <v>0.222</v>
      </c>
      <c r="W76" s="20">
        <f>IFERROR(__xludf.DUMMYFUNCTION("iferror(PERCENTRANK.INC(FILTER($Q$3:$Q$425, $P$3:$P$425&gt;=4.1), $Q76), 0)"),0.0)</f>
        <v>0</v>
      </c>
    </row>
    <row r="77" ht="14.25" customHeight="1">
      <c r="A77" s="14" t="s">
        <v>1499</v>
      </c>
      <c r="B77" s="14" t="s">
        <v>1278</v>
      </c>
      <c r="C77" s="14">
        <v>62.0</v>
      </c>
      <c r="D77" s="14" t="s">
        <v>1413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$Q77), 1)"),0.2)</f>
        <v>0.2</v>
      </c>
      <c r="V77" s="20">
        <f>IFERROR(__xludf.DUMMYFUNCTION("iferror(PERCENTRANK.INC(FILTER($Q$3:$Q$425, $P$3:$P$425&lt;4.25), $Q77), 1)"),0.175)</f>
        <v>0.175</v>
      </c>
      <c r="W77" s="20">
        <f>IFERROR(__xludf.DUMMYFUNCTION("iferror(PERCENTRANK.INC(FILTER($Q$3:$Q$425, $P$3:$P$425&gt;=4.1), $Q77), 0)"),0.0)</f>
        <v>0</v>
      </c>
    </row>
    <row r="78" ht="14.25" customHeight="1">
      <c r="A78" s="16" t="s">
        <v>1500</v>
      </c>
      <c r="B78" s="16" t="s">
        <v>1501</v>
      </c>
      <c r="C78" s="16">
        <v>70.0</v>
      </c>
      <c r="D78" s="16" t="s">
        <v>1413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$Q78), 1)"),1.0)</f>
        <v>1</v>
      </c>
      <c r="V78" s="20">
        <f>IFERROR(__xludf.DUMMYFUNCTION("iferror(PERCENTRANK.INC(FILTER($Q$3:$Q$425, $P$3:$P$425&lt;4.25), $Q78), 1)"),0.975)</f>
        <v>0.975</v>
      </c>
      <c r="W78" s="20">
        <f>IFERROR(__xludf.DUMMYFUNCTION("iferror(PERCENTRANK.INC(FILTER($Q$3:$Q$425, $P$3:$P$425&gt;=4.1), $Q78), 0)"),0.333)</f>
        <v>0.333</v>
      </c>
    </row>
    <row r="79" ht="14.25" customHeight="1">
      <c r="A79" s="14" t="s">
        <v>1502</v>
      </c>
      <c r="B79" s="14" t="s">
        <v>1396</v>
      </c>
      <c r="C79" s="14">
        <v>69.0</v>
      </c>
      <c r="D79" s="14" t="s">
        <v>1413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$Q79), 1)"),0.236)</f>
        <v>0.236</v>
      </c>
      <c r="V79" s="20">
        <f>IFERROR(__xludf.DUMMYFUNCTION("iferror(PERCENTRANK.INC(FILTER($Q$3:$Q$425, $P$3:$P$425&lt;4.25), $Q79), 1)"),0.206)</f>
        <v>0.206</v>
      </c>
      <c r="W79" s="20">
        <f>IFERROR(__xludf.DUMMYFUNCTION("iferror(PERCENTRANK.INC(FILTER($Q$3:$Q$425, $P$3:$P$425&gt;=4.1), $Q79), 0)"),0.0)</f>
        <v>0</v>
      </c>
    </row>
    <row r="80" ht="14.25" customHeight="1">
      <c r="A80" s="14" t="s">
        <v>1503</v>
      </c>
      <c r="B80" s="14" t="s">
        <v>1504</v>
      </c>
      <c r="C80" s="14">
        <v>72.0</v>
      </c>
      <c r="D80" s="14" t="s">
        <v>1413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$Q80), 1)"),1.0)</f>
        <v>1</v>
      </c>
      <c r="V80" s="20">
        <f>IFERROR(__xludf.DUMMYFUNCTION("iferror(PERCENTRANK.INC(FILTER($Q$3:$Q$425, $P$3:$P$425&lt;4.25), $Q80), 1)"),1.0)</f>
        <v>1</v>
      </c>
      <c r="W80" s="20">
        <f>IFERROR(__xludf.DUMMYFUNCTION("iferror(PERCENTRANK.INC(FILTER($Q$3:$Q$425, $P$3:$P$425&gt;=4.1), $Q80), 0)"),0.611)</f>
        <v>0.611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1505</v>
      </c>
      <c r="G1" s="14" t="s">
        <v>1506</v>
      </c>
      <c r="H1" s="14" t="s">
        <v>1507</v>
      </c>
      <c r="I1" s="14" t="s">
        <v>79</v>
      </c>
      <c r="J1" s="14" t="s">
        <v>83</v>
      </c>
      <c r="K1" s="14" t="s">
        <v>1508</v>
      </c>
      <c r="L1" s="14" t="s">
        <v>1509</v>
      </c>
      <c r="M1" s="14" t="s">
        <v>1510</v>
      </c>
      <c r="N1" s="14" t="s">
        <v>1511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1512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1147</v>
      </c>
      <c r="B2" s="17" t="s">
        <v>253</v>
      </c>
      <c r="C2" s="18">
        <v>23.0</v>
      </c>
      <c r="D2" s="17" t="s">
        <v>38</v>
      </c>
      <c r="E2" s="17" t="s">
        <v>111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6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97" si="1">IFERROR(T2*0.7+R2*U2*0.15+S2*0.15, 0)</f>
        <v>4.70125</v>
      </c>
      <c r="W2" s="20">
        <f t="shared" ref="W2:W97" si="2">100*(V2-MIN($V$2:$V$126))/(MAX($V$2:$V$126) - MIN($V$2:$V$126))</f>
        <v>100</v>
      </c>
      <c r="Y2" s="20">
        <f>IFERROR(__xludf.DUMMYFUNCTION("iferror(PERCENTRANK.INC(FILTER($R$2:$R$425, $T$2:$T$425&lt;3.75), $R2), 0.01)"),0.825)</f>
        <v>0.825</v>
      </c>
      <c r="Z2" s="20">
        <f>IFERROR(__xludf.DUMMYFUNCTION("iferror(PERCENTRANK.INC(FILTER($R$2:$R$425, $T$2:$T$425&lt;4.25), $R2), 0.01)"),0.829)</f>
        <v>0.829</v>
      </c>
      <c r="AA2" s="20">
        <f>IFERROR(__xludf.DUMMYFUNCTION("iferror(PERCENTRANK.INC(FILTER($R$2:$R$425, $T$2:$T$425&gt;4.1), $R2), 0.01)"),0.733)</f>
        <v>0.733</v>
      </c>
    </row>
    <row r="3" ht="14.25" customHeight="1">
      <c r="A3" s="17" t="s">
        <v>1513</v>
      </c>
      <c r="B3" s="17" t="s">
        <v>421</v>
      </c>
      <c r="C3" s="18">
        <v>6.0</v>
      </c>
      <c r="D3" s="17" t="s">
        <v>38</v>
      </c>
      <c r="E3" s="17" t="s">
        <v>108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6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IFERROR(__xludf.DUMMYFUNCTION("iferror(PERCENTRANK.INC(FILTER($R$2:$R$425, $T$2:$T$425&lt;3.75), $R3), 0.01)"),0.978)</f>
        <v>0.978</v>
      </c>
      <c r="Z3" s="20">
        <f>IFERROR(__xludf.DUMMYFUNCTION("iferror(PERCENTRANK.INC(FILTER($R$2:$R$425, $T$2:$T$425&lt;4.25), $R3), 0.01)"),0.979)</f>
        <v>0.979</v>
      </c>
      <c r="AA3" s="20">
        <f>IFERROR(__xludf.DUMMYFUNCTION("iferror(PERCENTRANK.INC(FILTER($R$2:$R$425, $T$2:$T$425&gt;4.1), $R3), 0.01)"),0.933)</f>
        <v>0.933</v>
      </c>
    </row>
    <row r="4" ht="14.25" customHeight="1">
      <c r="A4" s="17" t="s">
        <v>1514</v>
      </c>
      <c r="B4" s="17" t="s">
        <v>151</v>
      </c>
      <c r="C4" s="18">
        <v>3.0</v>
      </c>
      <c r="D4" s="17" t="s">
        <v>38</v>
      </c>
      <c r="E4" s="17" t="s">
        <v>152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6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IFERROR(__xludf.DUMMYFUNCTION("iferror(PERCENTRANK.INC(FILTER($R$2:$R$425, $T$2:$T$425&lt;3.75), $R4), 0.01)"),0.455)</f>
        <v>0.455</v>
      </c>
      <c r="Z4" s="20">
        <f>IFERROR(__xludf.DUMMYFUNCTION("iferror(PERCENTRANK.INC(FILTER($R$2:$R$425, $T$2:$T$425&lt;4.25), $R4), 0.01)"),0.444)</f>
        <v>0.444</v>
      </c>
      <c r="AA4" s="20">
        <f>IFERROR(__xludf.DUMMYFUNCTION("iferror(PERCENTRANK.INC(FILTER($R$2:$R$425, $T$2:$T$425&gt;4.1), $R4), 0.01)"),0.4)</f>
        <v>0.4</v>
      </c>
    </row>
    <row r="5" ht="14.25" customHeight="1">
      <c r="A5" s="14" t="s">
        <v>1515</v>
      </c>
      <c r="B5" s="14" t="s">
        <v>412</v>
      </c>
      <c r="C5" s="14">
        <v>1.0</v>
      </c>
      <c r="D5" s="14" t="s">
        <v>38</v>
      </c>
      <c r="E5" s="14" t="s">
        <v>149</v>
      </c>
      <c r="F5" s="14">
        <v>53.0</v>
      </c>
      <c r="G5" s="14">
        <v>40.0</v>
      </c>
      <c r="H5" s="14">
        <v>22.0</v>
      </c>
      <c r="I5" s="42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20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IFERROR(__xludf.DUMMYFUNCTION("iferror(PERCENTRANK.INC(FILTER($R$2:$R$425, $T$2:$T$425&lt;3.75), $R5), 0.01)"),0.578)</f>
        <v>0.578</v>
      </c>
      <c r="Z5" s="20">
        <f>IFERROR(__xludf.DUMMYFUNCTION("iferror(PERCENTRANK.INC(FILTER($R$2:$R$425, $T$2:$T$425&lt;4.25), $R5), 0.01)"),0.576)</f>
        <v>0.576</v>
      </c>
      <c r="AA5" s="20">
        <f>IFERROR(__xludf.DUMMYFUNCTION("iferror(PERCENTRANK.INC(FILTER($R$2:$R$425, $T$2:$T$425&gt;4.1), $R5), 0.01)"),0.533)</f>
        <v>0.533</v>
      </c>
    </row>
    <row r="6" ht="14.25" customHeight="1">
      <c r="A6" s="17" t="s">
        <v>1516</v>
      </c>
      <c r="B6" s="17" t="s">
        <v>339</v>
      </c>
      <c r="C6" s="18">
        <v>4.0</v>
      </c>
      <c r="D6" s="17" t="s">
        <v>38</v>
      </c>
      <c r="E6" s="17" t="s">
        <v>105</v>
      </c>
      <c r="F6" s="18">
        <v>17.0</v>
      </c>
      <c r="G6" s="18">
        <v>15.0</v>
      </c>
      <c r="H6" s="18">
        <v>7.0</v>
      </c>
      <c r="I6" s="19">
        <v>0.467</v>
      </c>
      <c r="J6" s="18">
        <v>1.0</v>
      </c>
      <c r="K6" s="18">
        <v>0.0</v>
      </c>
      <c r="L6" s="18">
        <v>1.0</v>
      </c>
      <c r="M6" s="18">
        <v>2.0</v>
      </c>
      <c r="N6" s="18">
        <v>127.0</v>
      </c>
      <c r="O6" s="22">
        <v>1.65</v>
      </c>
      <c r="P6" s="22">
        <v>15.11</v>
      </c>
      <c r="Q6" s="15"/>
      <c r="R6" s="36">
        <v>1.65</v>
      </c>
      <c r="S6" s="16">
        <v>0.31</v>
      </c>
      <c r="T6" s="16">
        <v>5.0</v>
      </c>
      <c r="U6" s="14">
        <f t="array" ref="U6">XLOOKUP(E6, 'Conference Match'!$A$2:$A$25, 'Conference Match'!$C$2:$C$25)</f>
        <v>0.9</v>
      </c>
      <c r="V6" s="20">
        <f t="shared" si="1"/>
        <v>3.76925</v>
      </c>
      <c r="W6" s="20">
        <f t="shared" si="2"/>
        <v>80.17548524</v>
      </c>
      <c r="Y6" s="20">
        <f>IFERROR(__xludf.DUMMYFUNCTION("iferror(PERCENTRANK.INC(FILTER($R$2:$R$425, $T$2:$T$425&lt;3.75), $R6), 0.01)"),0.417)</f>
        <v>0.417</v>
      </c>
      <c r="Z6" s="20">
        <f>IFERROR(__xludf.DUMMYFUNCTION("iferror(PERCENTRANK.INC(FILTER($R$2:$R$425, $T$2:$T$425&lt;4.25), $R6), 0.01)"),0.407)</f>
        <v>0.407</v>
      </c>
      <c r="AA6" s="20">
        <f>IFERROR(__xludf.DUMMYFUNCTION("iferror(PERCENTRANK.INC(FILTER($R$2:$R$425, $T$2:$T$425&gt;4.1), $R6), 0.01)"),0.333)</f>
        <v>0.333</v>
      </c>
    </row>
    <row r="7" ht="14.25" customHeight="1">
      <c r="A7" s="16" t="s">
        <v>1517</v>
      </c>
      <c r="B7" s="16" t="s">
        <v>1518</v>
      </c>
      <c r="D7" s="16" t="s">
        <v>38</v>
      </c>
      <c r="E7" s="16" t="s">
        <v>179</v>
      </c>
      <c r="F7" s="18">
        <v>43.0</v>
      </c>
      <c r="G7" s="18">
        <v>13.0</v>
      </c>
      <c r="H7" s="18">
        <v>8.0</v>
      </c>
      <c r="I7" s="19">
        <v>0.615</v>
      </c>
      <c r="J7" s="18">
        <v>0.0</v>
      </c>
      <c r="K7" s="18">
        <v>0.0</v>
      </c>
      <c r="L7" s="18">
        <v>2.0</v>
      </c>
      <c r="M7" s="18">
        <v>3.0</v>
      </c>
      <c r="N7" s="18">
        <v>86.0</v>
      </c>
      <c r="O7" s="22">
        <v>1.63</v>
      </c>
      <c r="P7" s="22">
        <v>14.4</v>
      </c>
      <c r="Q7" s="15"/>
      <c r="R7" s="36">
        <v>1.63</v>
      </c>
      <c r="S7" s="16">
        <v>-0.06</v>
      </c>
      <c r="T7" s="16">
        <v>5.0</v>
      </c>
      <c r="U7" s="14">
        <f t="array" ref="U7">XLOOKUP(E7, 'Conference Match'!$A$2:$A$25, 'Conference Match'!$C$2:$C$25)</f>
        <v>1</v>
      </c>
      <c r="V7" s="20">
        <f t="shared" si="1"/>
        <v>3.7355</v>
      </c>
      <c r="W7" s="20">
        <f t="shared" si="2"/>
        <v>79.45759107</v>
      </c>
      <c r="Y7" s="20">
        <f>IFERROR(__xludf.DUMMYFUNCTION("iferror(PERCENTRANK.INC(FILTER($R$2:$R$425, $T$2:$T$425&lt;3.75), $R7), 0.01)"),0.392)</f>
        <v>0.392</v>
      </c>
      <c r="Z7" s="20">
        <f>IFERROR(__xludf.DUMMYFUNCTION("iferror(PERCENTRANK.INC(FILTER($R$2:$R$425, $T$2:$T$425&lt;4.25), $R7), 0.01)"),0.382)</f>
        <v>0.382</v>
      </c>
      <c r="AA7" s="20">
        <f>IFERROR(__xludf.DUMMYFUNCTION("iferror(PERCENTRANK.INC(FILTER($R$2:$R$425, $T$2:$T$425&gt;4.1), $R7), 0.01)"),0.133)</f>
        <v>0.133</v>
      </c>
    </row>
    <row r="8" ht="14.25" customHeight="1">
      <c r="A8" s="17" t="s">
        <v>1519</v>
      </c>
      <c r="B8" s="17" t="s">
        <v>1520</v>
      </c>
      <c r="C8" s="18">
        <v>20.0</v>
      </c>
      <c r="D8" s="17" t="s">
        <v>38</v>
      </c>
      <c r="E8" s="17" t="s">
        <v>219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6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IFERROR(__xludf.DUMMYFUNCTION("iferror(PERCENTRANK.INC(FILTER($R$2:$R$425, $T$2:$T$425&lt;3.75), $R8), 0.01)"),0.392)</f>
        <v>0.392</v>
      </c>
      <c r="Z8" s="20">
        <f>IFERROR(__xludf.DUMMYFUNCTION("iferror(PERCENTRANK.INC(FILTER($R$2:$R$425, $T$2:$T$425&lt;4.25), $R8), 0.01)"),0.382)</f>
        <v>0.382</v>
      </c>
      <c r="AA8" s="20">
        <f>IFERROR(__xludf.DUMMYFUNCTION("iferror(PERCENTRANK.INC(FILTER($R$2:$R$425, $T$2:$T$425&gt;4.1), $R8), 0.01)"),0.133)</f>
        <v>0.133</v>
      </c>
    </row>
    <row r="9" ht="14.25" customHeight="1">
      <c r="A9" s="17" t="s">
        <v>1521</v>
      </c>
      <c r="B9" s="17" t="s">
        <v>507</v>
      </c>
      <c r="C9" s="18">
        <v>8.0</v>
      </c>
      <c r="D9" s="17" t="s">
        <v>38</v>
      </c>
      <c r="E9" s="17" t="s">
        <v>508</v>
      </c>
      <c r="F9" s="18">
        <v>54.0</v>
      </c>
      <c r="G9" s="18">
        <v>21.0</v>
      </c>
      <c r="H9" s="18">
        <v>11.0</v>
      </c>
      <c r="I9" s="19">
        <v>0.524</v>
      </c>
      <c r="J9" s="18">
        <v>0.0</v>
      </c>
      <c r="K9" s="18">
        <v>0.0</v>
      </c>
      <c r="L9" s="18">
        <v>1.0</v>
      </c>
      <c r="M9" s="18">
        <v>1.0</v>
      </c>
      <c r="N9" s="18">
        <v>161.0</v>
      </c>
      <c r="O9" s="22">
        <v>1.37</v>
      </c>
      <c r="P9" s="22">
        <v>6.02</v>
      </c>
      <c r="Q9" s="15"/>
      <c r="R9" s="36">
        <v>1.37</v>
      </c>
      <c r="S9" s="16">
        <v>0.017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3.627775</v>
      </c>
      <c r="W9" s="20">
        <f t="shared" si="2"/>
        <v>77.16617921</v>
      </c>
      <c r="Y9" s="20">
        <f>IFERROR(__xludf.DUMMYFUNCTION("iferror(PERCENTRANK.INC(FILTER($R$2:$R$425, $T$2:$T$425&lt;3.75), $R9), 0.01)"),0.151)</f>
        <v>0.151</v>
      </c>
      <c r="Z9" s="20">
        <f>IFERROR(__xludf.DUMMYFUNCTION("iferror(PERCENTRANK.INC(FILTER($R$2:$R$425, $T$2:$T$425&lt;4.25), $R9), 0.01)"),0.147)</f>
        <v>0.147</v>
      </c>
      <c r="AA9" s="20">
        <f>IFERROR(__xludf.DUMMYFUNCTION("iferror(PERCENTRANK.INC(FILTER($R$2:$R$425, $T$2:$T$425&gt;4.1), $R9), 0.01)"),0.067)</f>
        <v>0.067</v>
      </c>
    </row>
    <row r="10" ht="14.25" customHeight="1">
      <c r="A10" s="16" t="s">
        <v>1522</v>
      </c>
      <c r="B10" s="16" t="s">
        <v>1316</v>
      </c>
      <c r="C10" s="16">
        <v>3.0</v>
      </c>
      <c r="D10" s="16" t="s">
        <v>38</v>
      </c>
      <c r="E10" s="16" t="s">
        <v>108</v>
      </c>
      <c r="F10" s="16">
        <v>8.0</v>
      </c>
      <c r="G10" s="16">
        <v>5.0</v>
      </c>
      <c r="H10" s="16">
        <v>2.0</v>
      </c>
      <c r="I10" s="27">
        <v>0.4</v>
      </c>
      <c r="J10" s="16">
        <v>0.0</v>
      </c>
      <c r="K10" s="16">
        <v>0.0</v>
      </c>
      <c r="L10" s="16">
        <v>0.0</v>
      </c>
      <c r="M10" s="16">
        <v>1.0</v>
      </c>
      <c r="N10" s="16">
        <v>49.0</v>
      </c>
      <c r="O10" s="20">
        <f>((100-I646)*0.6+J646*10+L646*5+M646*4+K646*5)/50</f>
        <v>1.2</v>
      </c>
      <c r="P10" s="36">
        <v>0.39</v>
      </c>
      <c r="Q10" s="15"/>
      <c r="R10" s="36">
        <v>1.2</v>
      </c>
      <c r="S10" s="16">
        <v>-0.05</v>
      </c>
      <c r="T10" s="16">
        <v>4.8</v>
      </c>
      <c r="U10" s="14">
        <f t="array" ref="U10">XLOOKUP(E10, 'Conference Match'!$A$2:$A$25, 'Conference Match'!$C$2:$C$25)</f>
        <v>0.95</v>
      </c>
      <c r="V10" s="20">
        <f t="shared" si="1"/>
        <v>3.5235</v>
      </c>
      <c r="W10" s="20">
        <f t="shared" si="2"/>
        <v>74.94815209</v>
      </c>
      <c r="Y10" s="20">
        <f>IFERROR(__xludf.DUMMYFUNCTION("iferror(PERCENTRANK.INC(FILTER($R$2:$R$425, $T$2:$T$425&lt;3.75), $R10), 0.01)"),0.077)</f>
        <v>0.077</v>
      </c>
      <c r="Z10" s="20">
        <f>IFERROR(__xludf.DUMMYFUNCTION("iferror(PERCENTRANK.INC(FILTER($R$2:$R$425, $T$2:$T$425&lt;4.25), $R10), 0.01)"),0.075)</f>
        <v>0.075</v>
      </c>
      <c r="AA10" s="20">
        <f>IFERROR(__xludf.DUMMYFUNCTION("iferror(PERCENTRANK.INC(FILTER($R$2:$R$425, $T$2:$T$425&gt;4.1), $R10), 0.01)"),0.0)</f>
        <v>0</v>
      </c>
    </row>
    <row r="11" ht="14.25" customHeight="1">
      <c r="A11" s="17" t="s">
        <v>1523</v>
      </c>
      <c r="B11" s="17" t="s">
        <v>365</v>
      </c>
      <c r="C11" s="18">
        <v>12.0</v>
      </c>
      <c r="D11" s="17" t="s">
        <v>38</v>
      </c>
      <c r="E11" s="17" t="s">
        <v>102</v>
      </c>
      <c r="F11" s="18">
        <v>63.0</v>
      </c>
      <c r="G11" s="18">
        <v>38.0</v>
      </c>
      <c r="H11" s="18">
        <v>25.0</v>
      </c>
      <c r="I11" s="19">
        <v>0.658</v>
      </c>
      <c r="J11" s="18">
        <v>0.0</v>
      </c>
      <c r="K11" s="18">
        <v>0.0</v>
      </c>
      <c r="L11" s="18">
        <v>5.0</v>
      </c>
      <c r="M11" s="18">
        <v>5.0</v>
      </c>
      <c r="N11" s="18">
        <v>255.0</v>
      </c>
      <c r="O11" s="22">
        <v>2.09</v>
      </c>
      <c r="P11" s="22">
        <v>29.29</v>
      </c>
      <c r="Q11" s="15"/>
      <c r="R11" s="36">
        <v>2.09</v>
      </c>
      <c r="S11" s="16">
        <v>0.29</v>
      </c>
      <c r="T11" s="16">
        <v>4.7</v>
      </c>
      <c r="U11" s="14">
        <f t="array" ref="U11">XLOOKUP(E11, 'Conference Match'!$A$2:$A$25, 'Conference Match'!$C$2:$C$25)</f>
        <v>1</v>
      </c>
      <c r="V11" s="20">
        <f t="shared" si="1"/>
        <v>3.647</v>
      </c>
      <c r="W11" s="20">
        <f t="shared" si="2"/>
        <v>77.575113</v>
      </c>
      <c r="Y11" s="20">
        <f>IFERROR(__xludf.DUMMYFUNCTION("iferror(PERCENTRANK.INC(FILTER($R$2:$R$425, $T$2:$T$425&lt;3.75), $R11), 0.01)"),0.696)</f>
        <v>0.696</v>
      </c>
      <c r="Z11" s="20">
        <f>IFERROR(__xludf.DUMMYFUNCTION("iferror(PERCENTRANK.INC(FILTER($R$2:$R$425, $T$2:$T$425&lt;4.25), $R11), 0.01)"),0.691)</f>
        <v>0.691</v>
      </c>
      <c r="AA11" s="20">
        <f>IFERROR(__xludf.DUMMYFUNCTION("iferror(PERCENTRANK.INC(FILTER($R$2:$R$425, $T$2:$T$425&gt;4.1), $R11), 0.01)"),0.6)</f>
        <v>0.6</v>
      </c>
    </row>
    <row r="12" ht="14.25" customHeight="1">
      <c r="A12" s="17" t="s">
        <v>1524</v>
      </c>
      <c r="B12" s="17" t="s">
        <v>1520</v>
      </c>
      <c r="C12" s="18">
        <v>13.0</v>
      </c>
      <c r="D12" s="17" t="s">
        <v>38</v>
      </c>
      <c r="E12" s="17" t="s">
        <v>219</v>
      </c>
      <c r="F12" s="18">
        <v>36.0</v>
      </c>
      <c r="G12" s="18">
        <v>60.0</v>
      </c>
      <c r="H12" s="18">
        <v>38.0</v>
      </c>
      <c r="I12" s="19">
        <v>0.633</v>
      </c>
      <c r="J12" s="18">
        <v>4.0</v>
      </c>
      <c r="K12" s="18">
        <v>1.0</v>
      </c>
      <c r="L12" s="18">
        <v>3.0</v>
      </c>
      <c r="M12" s="18">
        <v>5.0</v>
      </c>
      <c r="N12" s="18">
        <v>357.0</v>
      </c>
      <c r="O12" s="22">
        <v>2.79</v>
      </c>
      <c r="P12" s="22">
        <v>51.97</v>
      </c>
      <c r="Q12" s="15"/>
      <c r="R12" s="36">
        <v>2.79</v>
      </c>
      <c r="S12" s="16">
        <v>0.52</v>
      </c>
      <c r="T12" s="16">
        <v>4.4</v>
      </c>
      <c r="U12" s="14">
        <f t="array" ref="U12">XLOOKUP(E12, 'Conference Match'!$A$2:$A$25, 'Conference Match'!$C$2:$C$25)</f>
        <v>1</v>
      </c>
      <c r="V12" s="20">
        <f t="shared" si="1"/>
        <v>3.5765</v>
      </c>
      <c r="W12" s="20">
        <f t="shared" si="2"/>
        <v>76.07551183</v>
      </c>
      <c r="Y12" s="20">
        <f>IFERROR(__xludf.DUMMYFUNCTION("iferror(PERCENTRANK.INC(FILTER($R$2:$R$425, $T$2:$T$425&lt;3.75), $R12), 0.01)"),0.922)</f>
        <v>0.922</v>
      </c>
      <c r="Z12" s="20">
        <f>IFERROR(__xludf.DUMMYFUNCTION("iferror(PERCENTRANK.INC(FILTER($R$2:$R$425, $T$2:$T$425&lt;4.25), $R12), 0.01)"),0.924)</f>
        <v>0.924</v>
      </c>
      <c r="AA12" s="20">
        <f>IFERROR(__xludf.DUMMYFUNCTION("iferror(PERCENTRANK.INC(FILTER($R$2:$R$425, $T$2:$T$425&gt;4.1), $R12), 0.01)"),0.867)</f>
        <v>0.867</v>
      </c>
    </row>
    <row r="13" ht="14.25" customHeight="1">
      <c r="A13" s="16" t="s">
        <v>1525</v>
      </c>
      <c r="B13" s="16" t="s">
        <v>1526</v>
      </c>
      <c r="C13" s="16">
        <v>0.0</v>
      </c>
      <c r="D13" s="16" t="s">
        <v>38</v>
      </c>
      <c r="E13" s="16" t="s">
        <v>135</v>
      </c>
      <c r="F13" s="18">
        <v>103.0</v>
      </c>
      <c r="G13" s="18">
        <v>55.0</v>
      </c>
      <c r="H13" s="18">
        <v>26.0</v>
      </c>
      <c r="I13" s="19">
        <v>0.473</v>
      </c>
      <c r="J13" s="18">
        <v>0.0</v>
      </c>
      <c r="K13" s="18">
        <v>1.0</v>
      </c>
      <c r="L13" s="18">
        <v>10.0</v>
      </c>
      <c r="M13" s="18">
        <v>12.0</v>
      </c>
      <c r="N13" s="18">
        <v>299.0</v>
      </c>
      <c r="O13" s="22">
        <v>3.25</v>
      </c>
      <c r="P13" s="22">
        <v>66.93</v>
      </c>
      <c r="Q13" s="15"/>
      <c r="R13" s="36">
        <v>3.25</v>
      </c>
      <c r="S13" s="16">
        <v>0.87</v>
      </c>
      <c r="T13" s="16">
        <v>4.3</v>
      </c>
      <c r="U13" s="16">
        <v>0.0</v>
      </c>
      <c r="V13" s="20">
        <f t="shared" si="1"/>
        <v>3.1405</v>
      </c>
      <c r="W13" s="20">
        <f t="shared" si="2"/>
        <v>66.80138261</v>
      </c>
      <c r="Y13" s="20">
        <f>IFERROR(__xludf.DUMMYFUNCTION("iferror(PERCENTRANK.INC(FILTER($R$2:$R$425, $T$2:$T$425&lt;3.75), $R13), 0.01)"),0.987)</f>
        <v>0.987</v>
      </c>
      <c r="Z13" s="20">
        <f>IFERROR(__xludf.DUMMYFUNCTION("iferror(PERCENTRANK.INC(FILTER($R$2:$R$425, $T$2:$T$425&lt;4.25), $R13), 0.01)"),0.987)</f>
        <v>0.987</v>
      </c>
      <c r="AA13" s="20">
        <f>IFERROR(__xludf.DUMMYFUNCTION("iferror(PERCENTRANK.INC(FILTER($R$2:$R$425, $T$2:$T$425&gt;4.1), $R13), 0.01)"),1.0)</f>
        <v>1</v>
      </c>
    </row>
    <row r="14" ht="14.25" customHeight="1">
      <c r="A14" s="17" t="s">
        <v>1527</v>
      </c>
      <c r="B14" s="17" t="s">
        <v>439</v>
      </c>
      <c r="C14" s="18">
        <v>29.0</v>
      </c>
      <c r="D14" s="17" t="s">
        <v>38</v>
      </c>
      <c r="E14" s="17" t="s">
        <v>117</v>
      </c>
      <c r="F14" s="18">
        <v>17.0</v>
      </c>
      <c r="G14" s="18">
        <v>48.0</v>
      </c>
      <c r="H14" s="18">
        <v>28.0</v>
      </c>
      <c r="I14" s="19">
        <v>0.583</v>
      </c>
      <c r="J14" s="18">
        <v>2.0</v>
      </c>
      <c r="K14" s="18">
        <v>0.0</v>
      </c>
      <c r="L14" s="18">
        <v>6.0</v>
      </c>
      <c r="M14" s="18">
        <v>7.0</v>
      </c>
      <c r="N14" s="18">
        <v>361.0</v>
      </c>
      <c r="O14" s="22">
        <v>2.75</v>
      </c>
      <c r="P14" s="22">
        <v>50.7</v>
      </c>
      <c r="Q14" s="15"/>
      <c r="R14" s="36">
        <v>2.75</v>
      </c>
      <c r="S14" s="16">
        <v>0.4</v>
      </c>
      <c r="T14" s="16">
        <v>4.3</v>
      </c>
      <c r="U14" s="14">
        <f t="array" ref="U14">XLOOKUP(E14, 'Conference Match'!$A$2:$A$25, 'Conference Match'!$C$2:$C$25)</f>
        <v>0.9</v>
      </c>
      <c r="V14" s="20">
        <f t="shared" si="1"/>
        <v>3.44125</v>
      </c>
      <c r="W14" s="20">
        <f t="shared" si="2"/>
        <v>73.19861739</v>
      </c>
      <c r="Y14" s="20">
        <f>IFERROR(__xludf.DUMMYFUNCTION("iferror(PERCENTRANK.INC(FILTER($R$2:$R$425, $T$2:$T$425&lt;3.75), $R14), 0.01)"),0.898)</f>
        <v>0.898</v>
      </c>
      <c r="Z14" s="20">
        <f>IFERROR(__xludf.DUMMYFUNCTION("iferror(PERCENTRANK.INC(FILTER($R$2:$R$425, $T$2:$T$425&lt;4.25), $R14), 0.01)"),0.9)</f>
        <v>0.9</v>
      </c>
      <c r="AA14" s="20">
        <f>IFERROR(__xludf.DUMMYFUNCTION("iferror(PERCENTRANK.INC(FILTER($R$2:$R$425, $T$2:$T$425&gt;4.1), $R14), 0.01)"),0.8)</f>
        <v>0.8</v>
      </c>
    </row>
    <row r="15" ht="14.25" customHeight="1">
      <c r="A15" s="17" t="s">
        <v>1528</v>
      </c>
      <c r="B15" s="17" t="s">
        <v>433</v>
      </c>
      <c r="C15" s="18">
        <v>4.0</v>
      </c>
      <c r="D15" s="17" t="s">
        <v>38</v>
      </c>
      <c r="E15" s="17" t="s">
        <v>120</v>
      </c>
      <c r="F15" s="18">
        <v>51.0</v>
      </c>
      <c r="G15" s="18">
        <v>44.0</v>
      </c>
      <c r="H15" s="18">
        <v>27.0</v>
      </c>
      <c r="I15" s="19">
        <v>0.614</v>
      </c>
      <c r="J15" s="18">
        <v>0.0</v>
      </c>
      <c r="K15" s="18">
        <v>1.0</v>
      </c>
      <c r="L15" s="18">
        <v>2.0</v>
      </c>
      <c r="M15" s="18">
        <v>5.0</v>
      </c>
      <c r="N15" s="18">
        <v>262.0</v>
      </c>
      <c r="O15" s="22">
        <v>1.89</v>
      </c>
      <c r="P15" s="22">
        <v>22.83</v>
      </c>
      <c r="Q15" s="15"/>
      <c r="R15" s="36">
        <v>1.89</v>
      </c>
      <c r="S15" s="16">
        <v>0.15</v>
      </c>
      <c r="T15" s="16">
        <v>4.3</v>
      </c>
      <c r="U15" s="14">
        <f t="array" ref="U15">XLOOKUP(E15, 'Conference Match'!$A$2:$A$25, 'Conference Match'!$C$2:$C$25)</f>
        <v>0.95</v>
      </c>
      <c r="V15" s="20">
        <f t="shared" si="1"/>
        <v>3.301825</v>
      </c>
      <c r="W15" s="20">
        <f t="shared" si="2"/>
        <v>70.23291678</v>
      </c>
      <c r="Y15" s="20">
        <f>IFERROR(__xludf.DUMMYFUNCTION("iferror(PERCENTRANK.INC(FILTER($R$2:$R$425, $T$2:$T$425&lt;3.75), $R15), 0.01)"),0.578)</f>
        <v>0.578</v>
      </c>
      <c r="Z15" s="20">
        <f>IFERROR(__xludf.DUMMYFUNCTION("iferror(PERCENTRANK.INC(FILTER($R$2:$R$425, $T$2:$T$425&lt;4.25), $R15), 0.01)"),0.576)</f>
        <v>0.576</v>
      </c>
      <c r="AA15" s="20">
        <f>IFERROR(__xludf.DUMMYFUNCTION("iferror(PERCENTRANK.INC(FILTER($R$2:$R$425, $T$2:$T$425&gt;4.1), $R15), 0.01)"),0.467)</f>
        <v>0.467</v>
      </c>
    </row>
    <row r="16" ht="14.25" customHeight="1">
      <c r="A16" s="14" t="s">
        <v>1529</v>
      </c>
      <c r="B16" s="14" t="s">
        <v>577</v>
      </c>
      <c r="C16" s="14">
        <v>20.0</v>
      </c>
      <c r="D16" s="14" t="s">
        <v>38</v>
      </c>
      <c r="E16" s="14" t="s">
        <v>120</v>
      </c>
      <c r="F16" s="14">
        <v>25.0</v>
      </c>
      <c r="G16" s="14">
        <v>29.0</v>
      </c>
      <c r="H16" s="14">
        <v>16.0</v>
      </c>
      <c r="I16" s="42">
        <v>0.552</v>
      </c>
      <c r="J16" s="14">
        <v>0.0</v>
      </c>
      <c r="K16" s="14">
        <v>0.0</v>
      </c>
      <c r="L16" s="14">
        <v>2.0</v>
      </c>
      <c r="M16" s="14">
        <v>3.0</v>
      </c>
      <c r="N16" s="14">
        <v>190.0</v>
      </c>
      <c r="O16" s="20">
        <v>1.6333759999999997</v>
      </c>
      <c r="P16" s="20">
        <v>14.427096155590387</v>
      </c>
      <c r="Q16" s="15"/>
      <c r="R16" s="20">
        <v>1.6333759999999997</v>
      </c>
      <c r="S16" s="16">
        <v>0.43</v>
      </c>
      <c r="T16" s="20">
        <v>4.3</v>
      </c>
      <c r="U16" s="14">
        <f t="array" ref="U16">XLOOKUP(E16, 'Conference Match'!$A$2:$A$25, 'Conference Match'!$C$2:$C$25)</f>
        <v>0.95</v>
      </c>
      <c r="V16" s="20">
        <f t="shared" si="1"/>
        <v>3.30725608</v>
      </c>
      <c r="W16" s="20">
        <f t="shared" si="2"/>
        <v>70.34844095</v>
      </c>
      <c r="Y16" s="20">
        <f>IFERROR(__xludf.DUMMYFUNCTION("iferror(PERCENTRANK.INC(FILTER($R$2:$R$425, $T$2:$T$425&lt;3.75), $R16), 0.01)"),0.406)</f>
        <v>0.406</v>
      </c>
      <c r="Z16" s="20">
        <f>IFERROR(__xludf.DUMMYFUNCTION("iferror(PERCENTRANK.INC(FILTER($R$2:$R$425, $T$2:$T$425&lt;4.25), $R16), 0.01)"),0.396)</f>
        <v>0.396</v>
      </c>
      <c r="AA16" s="20">
        <f>IFERROR(__xludf.DUMMYFUNCTION("iferror(PERCENTRANK.INC(FILTER($R$2:$R$425, $T$2:$T$425&gt;4.1), $R16), 0.01)"),0.267)</f>
        <v>0.267</v>
      </c>
    </row>
    <row r="17" ht="14.25" customHeight="1">
      <c r="A17" s="17" t="s">
        <v>1530</v>
      </c>
      <c r="B17" s="17" t="s">
        <v>259</v>
      </c>
      <c r="C17" s="18">
        <v>22.0</v>
      </c>
      <c r="D17" s="17" t="s">
        <v>38</v>
      </c>
      <c r="E17" s="17" t="s">
        <v>149</v>
      </c>
      <c r="F17" s="18">
        <v>42.0</v>
      </c>
      <c r="G17" s="18">
        <v>48.0</v>
      </c>
      <c r="H17" s="18">
        <v>27.0</v>
      </c>
      <c r="I17" s="19">
        <v>0.563</v>
      </c>
      <c r="J17" s="18">
        <v>0.0</v>
      </c>
      <c r="K17" s="18">
        <v>0.0</v>
      </c>
      <c r="L17" s="18">
        <v>3.0</v>
      </c>
      <c r="M17" s="18">
        <v>8.0</v>
      </c>
      <c r="N17" s="18">
        <v>263.0</v>
      </c>
      <c r="O17" s="22">
        <v>2.13</v>
      </c>
      <c r="P17" s="22">
        <v>30.62</v>
      </c>
      <c r="Q17" s="15"/>
      <c r="R17" s="22">
        <v>2.13</v>
      </c>
      <c r="S17" s="16">
        <v>0.04</v>
      </c>
      <c r="T17" s="16">
        <v>4.2</v>
      </c>
      <c r="U17" s="14">
        <f t="array" ref="U17">XLOOKUP(E17, 'Conference Match'!$A$2:$A$25, 'Conference Match'!$C$2:$C$25)</f>
        <v>0.95</v>
      </c>
      <c r="V17" s="20">
        <f t="shared" si="1"/>
        <v>3.249525</v>
      </c>
      <c r="W17" s="20">
        <f t="shared" si="2"/>
        <v>69.12044669</v>
      </c>
      <c r="Y17" s="20">
        <f>IFERROR(__xludf.DUMMYFUNCTION("iferror(PERCENTRANK.INC(FILTER($R$2:$R$425, $T$2:$T$425&lt;3.75), $R17), 0.01)"),0.727)</f>
        <v>0.727</v>
      </c>
      <c r="Z17" s="20">
        <f>IFERROR(__xludf.DUMMYFUNCTION("iferror(PERCENTRANK.INC(FILTER($R$2:$R$425, $T$2:$T$425&lt;4.25), $R17), 0.01)"),0.728)</f>
        <v>0.728</v>
      </c>
      <c r="AA17" s="20">
        <f>IFERROR(__xludf.DUMMYFUNCTION("iferror(PERCENTRANK.INC(FILTER($R$2:$R$425, $T$2:$T$425&gt;4.1), $R17), 0.01)"),0.667)</f>
        <v>0.667</v>
      </c>
    </row>
    <row r="18" ht="14.25" customHeight="1">
      <c r="A18" s="17" t="s">
        <v>1531</v>
      </c>
      <c r="B18" s="17" t="s">
        <v>134</v>
      </c>
      <c r="C18" s="18">
        <v>3.0</v>
      </c>
      <c r="D18" s="17" t="s">
        <v>38</v>
      </c>
      <c r="E18" s="17" t="s">
        <v>135</v>
      </c>
      <c r="F18" s="18">
        <v>105.0</v>
      </c>
      <c r="G18" s="18">
        <v>31.0</v>
      </c>
      <c r="H18" s="18">
        <v>17.0</v>
      </c>
      <c r="I18" s="19">
        <v>0.548</v>
      </c>
      <c r="J18" s="18">
        <v>1.0</v>
      </c>
      <c r="K18" s="18">
        <v>0.0</v>
      </c>
      <c r="L18" s="18">
        <v>2.0</v>
      </c>
      <c r="M18" s="18">
        <v>3.0</v>
      </c>
      <c r="N18" s="18">
        <v>226.0</v>
      </c>
      <c r="O18" s="22">
        <v>1.83</v>
      </c>
      <c r="P18" s="22">
        <v>20.91</v>
      </c>
      <c r="Q18" s="15"/>
      <c r="R18" s="36">
        <v>1.83</v>
      </c>
      <c r="S18" s="16">
        <v>-0.21</v>
      </c>
      <c r="T18" s="16">
        <v>4.0</v>
      </c>
      <c r="U18" s="14">
        <f t="array" ref="U18">XLOOKUP(E18, 'Conference Match'!$A$2:$A$25, 'Conference Match'!$C$2:$C$25)</f>
        <v>0.9</v>
      </c>
      <c r="V18" s="20">
        <f t="shared" si="1"/>
        <v>3.01555</v>
      </c>
      <c r="W18" s="20">
        <f t="shared" si="2"/>
        <v>64.14357884</v>
      </c>
      <c r="Y18" s="20">
        <f>IFERROR(__xludf.DUMMYFUNCTION("iferror(PERCENTRANK.INC(FILTER($R$2:$R$425, $T$2:$T$425&lt;3.75), $R18), 0.01)"),0.543)</f>
        <v>0.543</v>
      </c>
      <c r="Z18" s="20">
        <f>IFERROR(__xludf.DUMMYFUNCTION("iferror(PERCENTRANK.INC(FILTER($R$2:$R$425, $T$2:$T$425&lt;4.25), $R18), 0.01)"),0.531)</f>
        <v>0.531</v>
      </c>
      <c r="AA18" s="20">
        <f>IFERROR(__xludf.DUMMYFUNCTION("iferror(PERCENTRANK.INC(FILTER($R$2:$R$425, $T$2:$T$425&gt;4.1), $R18), 0.01)"),0.438)</f>
        <v>0.438</v>
      </c>
    </row>
    <row r="19" ht="14.25" customHeight="1">
      <c r="A19" s="14" t="s">
        <v>1532</v>
      </c>
      <c r="B19" s="14" t="s">
        <v>511</v>
      </c>
      <c r="C19" s="14">
        <v>3.0</v>
      </c>
      <c r="D19" s="14" t="s">
        <v>38</v>
      </c>
      <c r="E19" s="14" t="s">
        <v>102</v>
      </c>
      <c r="F19" s="14">
        <v>55.0</v>
      </c>
      <c r="G19" s="14">
        <v>19.0</v>
      </c>
      <c r="H19" s="14">
        <v>12.0</v>
      </c>
      <c r="I19" s="42">
        <v>0.632</v>
      </c>
      <c r="J19" s="14">
        <v>0.0</v>
      </c>
      <c r="K19" s="14">
        <v>1.0</v>
      </c>
      <c r="L19" s="14">
        <v>0.0</v>
      </c>
      <c r="M19" s="14">
        <v>0.0</v>
      </c>
      <c r="N19" s="14">
        <v>134.0</v>
      </c>
      <c r="O19" s="20">
        <v>1.292416</v>
      </c>
      <c r="P19" s="20">
        <v>3.3823548466512063</v>
      </c>
      <c r="Q19" s="15"/>
      <c r="R19" s="20">
        <v>1.292416</v>
      </c>
      <c r="S19" s="16">
        <v>-0.03</v>
      </c>
      <c r="T19" s="16">
        <v>3.3</v>
      </c>
      <c r="U19" s="14">
        <f t="array" ref="U19">XLOOKUP(E19, 'Conference Match'!$A$2:$A$25, 'Conference Match'!$C$2:$C$25)</f>
        <v>1</v>
      </c>
      <c r="V19" s="20">
        <f t="shared" si="1"/>
        <v>2.4993624</v>
      </c>
      <c r="W19" s="20">
        <f t="shared" si="2"/>
        <v>53.1637841</v>
      </c>
      <c r="Y19" s="20">
        <f>IFERROR(__xludf.DUMMYFUNCTION("iferror(PERCENTRANK.INC(FILTER($R$2:$R$425, $T$2:$T$425&lt;3.75), $R19), 0.01)"),0.114)</f>
        <v>0.114</v>
      </c>
      <c r="Z19" s="20">
        <f>IFERROR(__xludf.DUMMYFUNCTION("iferror(PERCENTRANK.INC(FILTER($R$2:$R$425, $T$2:$T$425&lt;4.25), $R19), 0.01)"),0.111)</f>
        <v>0.111</v>
      </c>
      <c r="AA19" s="20">
        <f>IFERROR(__xludf.DUMMYFUNCTION("iferror(PERCENTRANK.INC(FILTER($R$2:$R$425, $T$2:$T$425&gt;4.1), $R19), 0.01)"),0.036)</f>
        <v>0.036</v>
      </c>
    </row>
    <row r="20" ht="14.25" customHeight="1">
      <c r="A20" s="14" t="s">
        <v>1533</v>
      </c>
      <c r="B20" s="14" t="s">
        <v>218</v>
      </c>
      <c r="C20" s="14">
        <v>6.0</v>
      </c>
      <c r="D20" s="14" t="s">
        <v>38</v>
      </c>
      <c r="E20" s="14" t="s">
        <v>219</v>
      </c>
      <c r="F20" s="14">
        <v>113.0</v>
      </c>
      <c r="G20" s="14">
        <v>58.0</v>
      </c>
      <c r="H20" s="14">
        <v>30.0</v>
      </c>
      <c r="I20" s="42">
        <v>0.517</v>
      </c>
      <c r="J20" s="14">
        <v>2.0</v>
      </c>
      <c r="K20" s="14">
        <v>2.0</v>
      </c>
      <c r="L20" s="14">
        <v>7.0</v>
      </c>
      <c r="M20" s="14">
        <v>8.0</v>
      </c>
      <c r="N20" s="14">
        <v>304.0</v>
      </c>
      <c r="O20" s="20">
        <v>3.133796</v>
      </c>
      <c r="P20" s="20">
        <v>63.03030695673581</v>
      </c>
      <c r="Q20" s="15"/>
      <c r="R20" s="20">
        <v>3.133796</v>
      </c>
      <c r="U20" s="14">
        <f t="array" ref="U20">XLOOKUP(E20, 'Conference Match'!$A$2:$A$25, 'Conference Match'!$C$2:$C$25)</f>
        <v>1</v>
      </c>
      <c r="V20" s="20">
        <f t="shared" si="1"/>
        <v>0.4700694</v>
      </c>
      <c r="W20" s="20">
        <f t="shared" si="2"/>
        <v>9.998817336</v>
      </c>
      <c r="Y20" s="20">
        <f>IFERROR(__xludf.DUMMYFUNCTION("iferror(PERCENTRANK.INC(FILTER($R$2:$R$425, $T$2:$T$425&lt;3.75), $R20), 0.01)"),0.975)</f>
        <v>0.975</v>
      </c>
      <c r="Z20" s="20">
        <f>IFERROR(__xludf.DUMMYFUNCTION("iferror(PERCENTRANK.INC(FILTER($R$2:$R$425, $T$2:$T$425&lt;4.25), $R20), 0.01)"),0.975)</f>
        <v>0.975</v>
      </c>
      <c r="AA20" s="20">
        <f>IFERROR(__xludf.DUMMYFUNCTION("iferror(PERCENTRANK.INC(FILTER($R$2:$R$425, $T$2:$T$425&gt;4.1), $R20), 0.01)"),0.927)</f>
        <v>0.927</v>
      </c>
    </row>
    <row r="21" ht="14.25" customHeight="1">
      <c r="A21" s="14" t="s">
        <v>1534</v>
      </c>
      <c r="B21" s="14" t="s">
        <v>855</v>
      </c>
      <c r="C21" s="14">
        <v>11.0</v>
      </c>
      <c r="D21" s="14" t="s">
        <v>38</v>
      </c>
      <c r="E21" s="14" t="s">
        <v>179</v>
      </c>
      <c r="F21" s="14">
        <v>88.0</v>
      </c>
      <c r="G21" s="14">
        <v>35.0</v>
      </c>
      <c r="H21" s="14">
        <v>16.0</v>
      </c>
      <c r="I21" s="42">
        <v>0.457</v>
      </c>
      <c r="J21" s="14">
        <v>1.0</v>
      </c>
      <c r="K21" s="14">
        <v>1.0</v>
      </c>
      <c r="L21" s="14">
        <v>8.0</v>
      </c>
      <c r="M21" s="14">
        <v>9.0</v>
      </c>
      <c r="N21" s="14">
        <v>232.0</v>
      </c>
      <c r="O21" s="20">
        <v>3.014516</v>
      </c>
      <c r="P21" s="20">
        <v>59.16646151055366</v>
      </c>
      <c r="Q21" s="15"/>
      <c r="R21" s="20">
        <v>3.014516</v>
      </c>
      <c r="U21" s="14">
        <f t="array" ref="U21">XLOOKUP(E21, 'Conference Match'!$A$2:$A$25, 'Conference Match'!$C$2:$C$25)</f>
        <v>1</v>
      </c>
      <c r="V21" s="20">
        <f t="shared" si="1"/>
        <v>0.4521774</v>
      </c>
      <c r="W21" s="20">
        <f t="shared" si="2"/>
        <v>9.618237703</v>
      </c>
      <c r="Y21" s="20">
        <f>IFERROR(__xludf.DUMMYFUNCTION("iferror(PERCENTRANK.INC(FILTER($R$2:$R$425, $T$2:$T$425&lt;3.75), $R21), 0.01)"),0.962)</f>
        <v>0.962</v>
      </c>
      <c r="Z21" s="20">
        <f>IFERROR(__xludf.DUMMYFUNCTION("iferror(PERCENTRANK.INC(FILTER($R$2:$R$425, $T$2:$T$425&lt;4.25), $R21), 0.01)"),0.963)</f>
        <v>0.963</v>
      </c>
      <c r="AA21" s="20">
        <f>IFERROR(__xludf.DUMMYFUNCTION("iferror(PERCENTRANK.INC(FILTER($R$2:$R$425, $T$2:$T$425&gt;4.1), $R21), 0.01)"),0.906)</f>
        <v>0.906</v>
      </c>
    </row>
    <row r="22" ht="14.25" customHeight="1">
      <c r="A22" s="14" t="s">
        <v>1535</v>
      </c>
      <c r="B22" s="14" t="s">
        <v>285</v>
      </c>
      <c r="C22" s="14">
        <v>30.0</v>
      </c>
      <c r="D22" s="14" t="s">
        <v>38</v>
      </c>
      <c r="E22" s="14" t="s">
        <v>108</v>
      </c>
      <c r="F22" s="14">
        <v>16.0</v>
      </c>
      <c r="G22" s="14">
        <v>47.0</v>
      </c>
      <c r="H22" s="14">
        <v>25.0</v>
      </c>
      <c r="I22" s="42">
        <v>0.532</v>
      </c>
      <c r="J22" s="14">
        <v>3.0</v>
      </c>
      <c r="K22" s="14">
        <v>0.0</v>
      </c>
      <c r="L22" s="14">
        <v>6.0</v>
      </c>
      <c r="M22" s="14">
        <v>7.0</v>
      </c>
      <c r="N22" s="14">
        <v>264.0</v>
      </c>
      <c r="O22" s="20">
        <v>2.9536160000000002</v>
      </c>
      <c r="P22" s="20">
        <v>57.19372351866489</v>
      </c>
      <c r="Q22" s="15"/>
      <c r="R22" s="20">
        <v>2.9536160000000002</v>
      </c>
      <c r="U22" s="14">
        <f t="array" ref="U22">XLOOKUP(E22, 'Conference Match'!$A$2:$A$25, 'Conference Match'!$C$2:$C$25)</f>
        <v>0.95</v>
      </c>
      <c r="V22" s="20">
        <f t="shared" si="1"/>
        <v>0.42089028</v>
      </c>
      <c r="W22" s="20">
        <f t="shared" si="2"/>
        <v>8.952731295</v>
      </c>
      <c r="Y22" s="20">
        <f>IFERROR(__xludf.DUMMYFUNCTION("iferror(PERCENTRANK.INC(FILTER($R$2:$R$425, $T$2:$T$425&lt;3.75), $R22), 0.01)"),0.949)</f>
        <v>0.949</v>
      </c>
      <c r="Z22" s="20">
        <f>IFERROR(__xludf.DUMMYFUNCTION("iferror(PERCENTRANK.INC(FILTER($R$2:$R$425, $T$2:$T$425&lt;4.25), $R22), 0.01)"),0.951)</f>
        <v>0.951</v>
      </c>
      <c r="AA22" s="20">
        <f>IFERROR(__xludf.DUMMYFUNCTION("iferror(PERCENTRANK.INC(FILTER($R$2:$R$425, $T$2:$T$425&gt;4.1), $R22), 0.01)"),0.895)</f>
        <v>0.895</v>
      </c>
    </row>
    <row r="23" ht="14.25" customHeight="1">
      <c r="A23" s="14" t="s">
        <v>1536</v>
      </c>
      <c r="B23" s="14" t="s">
        <v>419</v>
      </c>
      <c r="C23" s="14">
        <v>18.0</v>
      </c>
      <c r="D23" s="14" t="s">
        <v>38</v>
      </c>
      <c r="E23" s="14" t="s">
        <v>164</v>
      </c>
      <c r="F23" s="14">
        <v>126.0</v>
      </c>
      <c r="G23" s="14">
        <v>49.0</v>
      </c>
      <c r="H23" s="14">
        <v>22.0</v>
      </c>
      <c r="I23" s="42">
        <v>0.449</v>
      </c>
      <c r="J23" s="14">
        <v>0.0</v>
      </c>
      <c r="K23" s="14">
        <v>1.0</v>
      </c>
      <c r="L23" s="14">
        <v>8.0</v>
      </c>
      <c r="M23" s="14">
        <v>10.0</v>
      </c>
      <c r="N23" s="14">
        <v>278.0</v>
      </c>
      <c r="O23" s="20">
        <v>2.8946119999999995</v>
      </c>
      <c r="P23" s="20">
        <v>55.28240278839549</v>
      </c>
      <c r="Q23" s="15"/>
      <c r="R23" s="20">
        <v>2.8946119999999995</v>
      </c>
      <c r="U23" s="14">
        <f t="array" ref="U23">XLOOKUP(E23, 'Conference Match'!$A$2:$A$25, 'Conference Match'!$C$2:$C$25)</f>
        <v>1</v>
      </c>
      <c r="V23" s="20">
        <f t="shared" si="1"/>
        <v>0.4341918</v>
      </c>
      <c r="W23" s="20">
        <f t="shared" si="2"/>
        <v>9.23566711</v>
      </c>
      <c r="Y23" s="20">
        <f>IFERROR(__xludf.DUMMYFUNCTION("iferror(PERCENTRANK.INC(FILTER($R$2:$R$425, $T$2:$T$425&lt;3.75), $R23), 0.01)"),0.937)</f>
        <v>0.937</v>
      </c>
      <c r="Z23" s="20">
        <f>IFERROR(__xludf.DUMMYFUNCTION("iferror(PERCENTRANK.INC(FILTER($R$2:$R$425, $T$2:$T$425&lt;4.25), $R23), 0.01)"),0.938)</f>
        <v>0.938</v>
      </c>
      <c r="AA23" s="20">
        <f>IFERROR(__xludf.DUMMYFUNCTION("iferror(PERCENTRANK.INC(FILTER($R$2:$R$425, $T$2:$T$425&gt;4.1), $R23), 0.01)"),0.885)</f>
        <v>0.885</v>
      </c>
    </row>
    <row r="24" ht="14.25" customHeight="1">
      <c r="A24" s="14" t="s">
        <v>1537</v>
      </c>
      <c r="B24" s="14" t="s">
        <v>349</v>
      </c>
      <c r="C24" s="14">
        <v>17.0</v>
      </c>
      <c r="D24" s="14" t="s">
        <v>38</v>
      </c>
      <c r="E24" s="14" t="s">
        <v>164</v>
      </c>
      <c r="F24" s="14">
        <v>70.0</v>
      </c>
      <c r="G24" s="14">
        <v>49.0</v>
      </c>
      <c r="H24" s="14">
        <v>27.0</v>
      </c>
      <c r="I24" s="42">
        <v>0.551</v>
      </c>
      <c r="J24" s="14">
        <v>3.0</v>
      </c>
      <c r="K24" s="14">
        <v>1.0</v>
      </c>
      <c r="L24" s="14">
        <v>5.0</v>
      </c>
      <c r="M24" s="14">
        <v>5.0</v>
      </c>
      <c r="N24" s="14">
        <v>252.0</v>
      </c>
      <c r="O24" s="20">
        <v>2.7933879999999998</v>
      </c>
      <c r="P24" s="20">
        <v>52.00344662269846</v>
      </c>
      <c r="Q24" s="15"/>
      <c r="R24" s="20">
        <v>2.7933879999999998</v>
      </c>
      <c r="U24" s="14">
        <f t="array" ref="U24">XLOOKUP(E24, 'Conference Match'!$A$2:$A$25, 'Conference Match'!$C$2:$C$25)</f>
        <v>1</v>
      </c>
      <c r="V24" s="20">
        <f t="shared" si="1"/>
        <v>0.4190082</v>
      </c>
      <c r="W24" s="20">
        <f t="shared" si="2"/>
        <v>8.912697687</v>
      </c>
      <c r="Y24" s="20">
        <f>IFERROR(__xludf.DUMMYFUNCTION("iferror(PERCENTRANK.INC(FILTER($R$2:$R$425, $T$2:$T$425&lt;3.75), $R24), 0.01)"),0.924)</f>
        <v>0.924</v>
      </c>
      <c r="Z24" s="20">
        <f>IFERROR(__xludf.DUMMYFUNCTION("iferror(PERCENTRANK.INC(FILTER($R$2:$R$425, $T$2:$T$425&lt;4.25), $R24), 0.01)"),0.926)</f>
        <v>0.926</v>
      </c>
      <c r="AA24" s="20">
        <f>IFERROR(__xludf.DUMMYFUNCTION("iferror(PERCENTRANK.INC(FILTER($R$2:$R$425, $T$2:$T$425&gt;4.1), $R24), 0.01)"),0.867)</f>
        <v>0.867</v>
      </c>
    </row>
    <row r="25" ht="14.25" customHeight="1">
      <c r="A25" s="14" t="s">
        <v>1538</v>
      </c>
      <c r="B25" s="14" t="s">
        <v>218</v>
      </c>
      <c r="C25" s="14">
        <v>15.0</v>
      </c>
      <c r="D25" s="14" t="s">
        <v>38</v>
      </c>
      <c r="E25" s="14" t="s">
        <v>219</v>
      </c>
      <c r="F25" s="14">
        <v>156.0</v>
      </c>
      <c r="G25" s="14">
        <v>33.0</v>
      </c>
      <c r="H25" s="14">
        <v>18.0</v>
      </c>
      <c r="I25" s="42">
        <v>0.545</v>
      </c>
      <c r="J25" s="14">
        <v>3.0</v>
      </c>
      <c r="K25" s="14">
        <v>0.0</v>
      </c>
      <c r="L25" s="14">
        <v>5.0</v>
      </c>
      <c r="M25" s="14">
        <v>6.0</v>
      </c>
      <c r="N25" s="14">
        <v>281.0</v>
      </c>
      <c r="O25" s="20">
        <v>2.77346</v>
      </c>
      <c r="P25" s="20">
        <v>51.35791751428535</v>
      </c>
      <c r="Q25" s="15"/>
      <c r="R25" s="20">
        <v>2.77346</v>
      </c>
      <c r="U25" s="14">
        <f t="array" ref="U25">XLOOKUP(E25, 'Conference Match'!$A$2:$A$25, 'Conference Match'!$C$2:$C$25)</f>
        <v>1</v>
      </c>
      <c r="V25" s="20">
        <f t="shared" si="1"/>
        <v>0.416019</v>
      </c>
      <c r="W25" s="20">
        <f t="shared" si="2"/>
        <v>8.849114597</v>
      </c>
      <c r="Y25" s="20">
        <f>IFERROR(__xludf.DUMMYFUNCTION("iferror(PERCENTRANK.INC(FILTER($R$2:$R$425, $T$2:$T$425&lt;3.75), $R25), 0.01)"),0.911)</f>
        <v>0.911</v>
      </c>
      <c r="Z25" s="20">
        <f>IFERROR(__xludf.DUMMYFUNCTION("iferror(PERCENTRANK.INC(FILTER($R$2:$R$425, $T$2:$T$425&lt;4.25), $R25), 0.01)"),0.914)</f>
        <v>0.914</v>
      </c>
      <c r="AA25" s="20">
        <f>IFERROR(__xludf.DUMMYFUNCTION("iferror(PERCENTRANK.INC(FILTER($R$2:$R$425, $T$2:$T$425&gt;4.1), $R25), 0.01)"),0.839)</f>
        <v>0.839</v>
      </c>
    </row>
    <row r="26" ht="14.25" customHeight="1">
      <c r="A26" s="14" t="s">
        <v>1539</v>
      </c>
      <c r="B26" s="14" t="s">
        <v>285</v>
      </c>
      <c r="C26" s="14">
        <v>32.0</v>
      </c>
      <c r="D26" s="14" t="s">
        <v>38</v>
      </c>
      <c r="E26" s="14" t="s">
        <v>108</v>
      </c>
      <c r="F26" s="14">
        <v>104.0</v>
      </c>
      <c r="G26" s="14">
        <v>43.0</v>
      </c>
      <c r="H26" s="14">
        <v>23.0</v>
      </c>
      <c r="I26" s="42">
        <v>0.535</v>
      </c>
      <c r="J26" s="14">
        <v>2.0</v>
      </c>
      <c r="K26" s="14">
        <v>1.0</v>
      </c>
      <c r="L26" s="14">
        <v>5.0</v>
      </c>
      <c r="M26" s="14">
        <v>7.0</v>
      </c>
      <c r="N26" s="14">
        <v>288.0</v>
      </c>
      <c r="O26" s="20">
        <v>2.75358</v>
      </c>
      <c r="P26" s="20">
        <v>50.713943273254976</v>
      </c>
      <c r="Q26" s="15"/>
      <c r="R26" s="20">
        <v>2.75358</v>
      </c>
      <c r="U26" s="14">
        <f t="array" ref="U26">XLOOKUP(E26, 'Conference Match'!$A$2:$A$25, 'Conference Match'!$C$2:$C$25)</f>
        <v>0.95</v>
      </c>
      <c r="V26" s="20">
        <f t="shared" si="1"/>
        <v>0.39238515</v>
      </c>
      <c r="W26" s="20">
        <f t="shared" si="2"/>
        <v>8.346400425</v>
      </c>
      <c r="Y26" s="20">
        <f>IFERROR(__xludf.DUMMYFUNCTION("iferror(PERCENTRANK.INC(FILTER($R$2:$R$425, $T$2:$T$425&lt;3.75), $R26), 0.01)"),0.899)</f>
        <v>0.899</v>
      </c>
      <c r="Z26" s="20">
        <f>IFERROR(__xludf.DUMMYFUNCTION("iferror(PERCENTRANK.INC(FILTER($R$2:$R$425, $T$2:$T$425&lt;4.25), $R26), 0.01)"),0.901)</f>
        <v>0.901</v>
      </c>
      <c r="AA26" s="20">
        <f>IFERROR(__xludf.DUMMYFUNCTION("iferror(PERCENTRANK.INC(FILTER($R$2:$R$425, $T$2:$T$425&gt;4.1), $R26), 0.01)"),0.806)</f>
        <v>0.806</v>
      </c>
    </row>
    <row r="27" ht="14.25" customHeight="1">
      <c r="A27" s="14" t="s">
        <v>1540</v>
      </c>
      <c r="B27" s="14" t="s">
        <v>449</v>
      </c>
      <c r="C27" s="14">
        <v>29.0</v>
      </c>
      <c r="D27" s="14" t="s">
        <v>38</v>
      </c>
      <c r="E27" s="14" t="s">
        <v>102</v>
      </c>
      <c r="F27" s="14">
        <v>68.0</v>
      </c>
      <c r="G27" s="14">
        <v>45.0</v>
      </c>
      <c r="H27" s="14">
        <v>21.0</v>
      </c>
      <c r="I27" s="42">
        <v>0.467</v>
      </c>
      <c r="J27" s="14">
        <v>1.0</v>
      </c>
      <c r="K27" s="14">
        <v>0.0</v>
      </c>
      <c r="L27" s="14">
        <v>6.0</v>
      </c>
      <c r="M27" s="14">
        <v>9.0</v>
      </c>
      <c r="N27" s="14">
        <v>236.0</v>
      </c>
      <c r="O27" s="20">
        <v>2.714396</v>
      </c>
      <c r="P27" s="20">
        <v>49.44465319978749</v>
      </c>
      <c r="Q27" s="15"/>
      <c r="R27" s="20">
        <v>2.714396</v>
      </c>
      <c r="U27" s="14">
        <f t="array" ref="U27">XLOOKUP(E27, 'Conference Match'!$A$2:$A$25, 'Conference Match'!$C$2:$C$25)</f>
        <v>1</v>
      </c>
      <c r="V27" s="20">
        <f t="shared" si="1"/>
        <v>0.4071594</v>
      </c>
      <c r="W27" s="20">
        <f t="shared" si="2"/>
        <v>8.66066259</v>
      </c>
      <c r="Y27" s="20">
        <f>IFERROR(__xludf.DUMMYFUNCTION("iferror(PERCENTRANK.INC(FILTER($R$2:$R$425, $T$2:$T$425&lt;3.75), $R27), 0.01)"),0.886)</f>
        <v>0.886</v>
      </c>
      <c r="Z27" s="20">
        <f>IFERROR(__xludf.DUMMYFUNCTION("iferror(PERCENTRANK.INC(FILTER($R$2:$R$425, $T$2:$T$425&lt;4.25), $R27), 0.01)"),0.889)</f>
        <v>0.889</v>
      </c>
      <c r="AA27" s="20">
        <f>IFERROR(__xludf.DUMMYFUNCTION("iferror(PERCENTRANK.INC(FILTER($R$2:$R$425, $T$2:$T$425&gt;4.1), $R27), 0.01)"),0.794)</f>
        <v>0.794</v>
      </c>
    </row>
    <row r="28" ht="14.25" customHeight="1">
      <c r="A28" s="17" t="s">
        <v>1541</v>
      </c>
      <c r="B28" s="17" t="s">
        <v>119</v>
      </c>
      <c r="C28" s="18">
        <v>1.0</v>
      </c>
      <c r="D28" s="17" t="s">
        <v>38</v>
      </c>
      <c r="E28" s="17" t="s">
        <v>120</v>
      </c>
      <c r="F28" s="18">
        <v>95.0</v>
      </c>
      <c r="G28" s="18">
        <v>51.0</v>
      </c>
      <c r="H28" s="18">
        <v>27.0</v>
      </c>
      <c r="I28" s="19">
        <v>0.529</v>
      </c>
      <c r="J28" s="18">
        <v>0.0</v>
      </c>
      <c r="K28" s="18">
        <v>0.0</v>
      </c>
      <c r="L28" s="18">
        <v>7.0</v>
      </c>
      <c r="M28" s="18">
        <v>9.0</v>
      </c>
      <c r="N28" s="18">
        <v>389.0</v>
      </c>
      <c r="O28" s="22">
        <v>2.61</v>
      </c>
      <c r="P28" s="22">
        <v>46.18</v>
      </c>
      <c r="Q28" s="15"/>
      <c r="R28" s="36">
        <v>2.61</v>
      </c>
      <c r="T28" s="16"/>
      <c r="U28" s="16">
        <v>0.0</v>
      </c>
      <c r="V28" s="20">
        <f t="shared" si="1"/>
        <v>0</v>
      </c>
      <c r="W28" s="20">
        <f t="shared" si="2"/>
        <v>0</v>
      </c>
      <c r="Y28" s="20">
        <f>IFERROR(__xludf.DUMMYFUNCTION("iferror(PERCENTRANK.INC(FILTER($R$2:$R$425, $T$2:$T$425&lt;3.75), $R28), 0.01)"),0.873)</f>
        <v>0.873</v>
      </c>
      <c r="Z28" s="20">
        <f>IFERROR(__xludf.DUMMYFUNCTION("iferror(PERCENTRANK.INC(FILTER($R$2:$R$425, $T$2:$T$425&lt;4.25), $R28), 0.01)"),0.877)</f>
        <v>0.877</v>
      </c>
      <c r="AA28" s="20">
        <f>IFERROR(__xludf.DUMMYFUNCTION("iferror(PERCENTRANK.INC(FILTER($R$2:$R$425, $T$2:$T$425&gt;4.1), $R28), 0.01)"),0.777)</f>
        <v>0.777</v>
      </c>
    </row>
    <row r="29" ht="14.25" customHeight="1">
      <c r="A29" s="14" t="s">
        <v>1542</v>
      </c>
      <c r="B29" s="14" t="s">
        <v>529</v>
      </c>
      <c r="C29" s="14">
        <v>12.0</v>
      </c>
      <c r="D29" s="14" t="s">
        <v>38</v>
      </c>
      <c r="E29" s="14" t="s">
        <v>125</v>
      </c>
      <c r="F29" s="14">
        <v>1.0</v>
      </c>
      <c r="G29" s="14">
        <v>55.0</v>
      </c>
      <c r="H29" s="14">
        <v>33.0</v>
      </c>
      <c r="I29" s="42">
        <v>0.6</v>
      </c>
      <c r="J29" s="14">
        <v>2.0</v>
      </c>
      <c r="K29" s="14">
        <v>2.0</v>
      </c>
      <c r="L29" s="14">
        <v>4.0</v>
      </c>
      <c r="M29" s="14">
        <v>5.0</v>
      </c>
      <c r="N29" s="14">
        <v>295.0</v>
      </c>
      <c r="O29" s="20">
        <v>2.5927999999999995</v>
      </c>
      <c r="P29" s="20">
        <v>45.50578540238671</v>
      </c>
      <c r="Q29" s="15"/>
      <c r="R29" s="20">
        <v>2.5927999999999995</v>
      </c>
      <c r="U29" s="14">
        <f t="array" ref="U29">XLOOKUP(E29, 'Conference Match'!$A$2:$A$25, 'Conference Match'!$C$2:$C$25)</f>
        <v>0.95</v>
      </c>
      <c r="V29" s="20">
        <f t="shared" si="1"/>
        <v>0.369474</v>
      </c>
      <c r="W29" s="20">
        <f t="shared" si="2"/>
        <v>7.859058761</v>
      </c>
      <c r="Y29" s="20">
        <f>IFERROR(__xludf.DUMMYFUNCTION("iferror(PERCENTRANK.INC(FILTER($R$2:$R$425, $T$2:$T$425&lt;3.75), $R29), 0.01)"),0.861)</f>
        <v>0.861</v>
      </c>
      <c r="Z29" s="20">
        <f>IFERROR(__xludf.DUMMYFUNCTION("iferror(PERCENTRANK.INC(FILTER($R$2:$R$425, $T$2:$T$425&lt;4.25), $R29), 0.01)"),0.864)</f>
        <v>0.864</v>
      </c>
      <c r="AA29" s="20">
        <f>IFERROR(__xludf.DUMMYFUNCTION("iferror(PERCENTRANK.INC(FILTER($R$2:$R$425, $T$2:$T$425&gt;4.1), $R29), 0.01)"),0.774)</f>
        <v>0.774</v>
      </c>
    </row>
    <row r="30" ht="14.25" customHeight="1">
      <c r="A30" s="14" t="s">
        <v>1543</v>
      </c>
      <c r="B30" s="14" t="s">
        <v>351</v>
      </c>
      <c r="C30" s="14">
        <v>16.0</v>
      </c>
      <c r="D30" s="14" t="s">
        <v>38</v>
      </c>
      <c r="E30" s="14" t="s">
        <v>130</v>
      </c>
      <c r="F30" s="14">
        <v>92.0</v>
      </c>
      <c r="G30" s="14">
        <v>40.0</v>
      </c>
      <c r="H30" s="14">
        <v>22.0</v>
      </c>
      <c r="I30" s="42">
        <v>0.55</v>
      </c>
      <c r="J30" s="14">
        <v>1.0</v>
      </c>
      <c r="K30" s="14">
        <v>0.0</v>
      </c>
      <c r="L30" s="14">
        <v>5.0</v>
      </c>
      <c r="M30" s="14">
        <v>7.0</v>
      </c>
      <c r="N30" s="14">
        <v>270.0</v>
      </c>
      <c r="O30" s="20">
        <v>2.4534000000000002</v>
      </c>
      <c r="P30" s="20">
        <v>40.99019137826037</v>
      </c>
      <c r="Q30" s="15"/>
      <c r="R30" s="20">
        <v>2.4534000000000002</v>
      </c>
      <c r="U30" s="14">
        <f t="array" ref="U30">XLOOKUP(E30, 'Conference Match'!$A$2:$A$25, 'Conference Match'!$C$2:$C$25)</f>
        <v>1</v>
      </c>
      <c r="V30" s="20">
        <f t="shared" si="1"/>
        <v>0.36801</v>
      </c>
      <c r="W30" s="20">
        <f t="shared" si="2"/>
        <v>7.827918107</v>
      </c>
      <c r="Y30" s="20">
        <f>IFERROR(__xludf.DUMMYFUNCTION("iferror(PERCENTRANK.INC(FILTER($R$2:$R$425, $T$2:$T$425&lt;3.75), $R30), 0.01)"),0.848)</f>
        <v>0.848</v>
      </c>
      <c r="Z30" s="20">
        <f>IFERROR(__xludf.DUMMYFUNCTION("iferror(PERCENTRANK.INC(FILTER($R$2:$R$425, $T$2:$T$425&lt;4.25), $R30), 0.01)"),0.852)</f>
        <v>0.852</v>
      </c>
      <c r="AA30" s="20">
        <f>IFERROR(__xludf.DUMMYFUNCTION("iferror(PERCENTRANK.INC(FILTER($R$2:$R$425, $T$2:$T$425&gt;4.1), $R30), 0.01)"),0.751)</f>
        <v>0.751</v>
      </c>
    </row>
    <row r="31" ht="14.25" customHeight="1">
      <c r="A31" s="14" t="s">
        <v>1544</v>
      </c>
      <c r="B31" s="14" t="s">
        <v>311</v>
      </c>
      <c r="C31" s="14">
        <v>14.0</v>
      </c>
      <c r="D31" s="14" t="s">
        <v>38</v>
      </c>
      <c r="E31" s="14" t="s">
        <v>164</v>
      </c>
      <c r="F31" s="14">
        <v>87.0</v>
      </c>
      <c r="G31" s="14">
        <v>40.0</v>
      </c>
      <c r="H31" s="14">
        <v>19.0</v>
      </c>
      <c r="I31" s="42">
        <v>0.475</v>
      </c>
      <c r="J31" s="14">
        <v>3.0</v>
      </c>
      <c r="K31" s="14">
        <v>1.0</v>
      </c>
      <c r="L31" s="14">
        <v>3.0</v>
      </c>
      <c r="M31" s="14">
        <v>3.0</v>
      </c>
      <c r="N31" s="14">
        <v>229.0</v>
      </c>
      <c r="O31" s="20">
        <v>2.4343</v>
      </c>
      <c r="P31" s="20">
        <v>40.371483732200005</v>
      </c>
      <c r="Q31" s="15"/>
      <c r="R31" s="20">
        <v>2.4343</v>
      </c>
      <c r="U31" s="14">
        <f t="array" ref="U31">XLOOKUP(E31, 'Conference Match'!$A$2:$A$25, 'Conference Match'!$C$2:$C$25)</f>
        <v>1</v>
      </c>
      <c r="V31" s="20">
        <f t="shared" si="1"/>
        <v>0.365145</v>
      </c>
      <c r="W31" s="20">
        <f t="shared" si="2"/>
        <v>7.766976868</v>
      </c>
      <c r="Y31" s="20">
        <f>IFERROR(__xludf.DUMMYFUNCTION("iferror(PERCENTRANK.INC(FILTER($R$2:$R$425, $T$2:$T$425&lt;3.75), $R31), 0.01)"),0.835)</f>
        <v>0.835</v>
      </c>
      <c r="Z31" s="20">
        <f>IFERROR(__xludf.DUMMYFUNCTION("iferror(PERCENTRANK.INC(FILTER($R$2:$R$425, $T$2:$T$425&lt;4.25), $R31), 0.01)"),0.84)</f>
        <v>0.84</v>
      </c>
      <c r="AA31" s="20">
        <f>IFERROR(__xludf.DUMMYFUNCTION("iferror(PERCENTRANK.INC(FILTER($R$2:$R$425, $T$2:$T$425&gt;4.1), $R31), 0.01)"),0.747)</f>
        <v>0.747</v>
      </c>
    </row>
    <row r="32" ht="14.25" customHeight="1">
      <c r="A32" s="14" t="s">
        <v>1545</v>
      </c>
      <c r="B32" s="14" t="s">
        <v>311</v>
      </c>
      <c r="C32" s="14">
        <v>6.0</v>
      </c>
      <c r="D32" s="14" t="s">
        <v>38</v>
      </c>
      <c r="E32" s="14" t="s">
        <v>164</v>
      </c>
      <c r="F32" s="14">
        <v>49.0</v>
      </c>
      <c r="G32" s="14">
        <v>38.0</v>
      </c>
      <c r="H32" s="14">
        <v>24.0</v>
      </c>
      <c r="I32" s="42">
        <v>0.632</v>
      </c>
      <c r="J32" s="14">
        <v>2.0</v>
      </c>
      <c r="K32" s="14">
        <v>3.0</v>
      </c>
      <c r="L32" s="14">
        <v>2.0</v>
      </c>
      <c r="M32" s="14">
        <v>3.0</v>
      </c>
      <c r="N32" s="14">
        <v>299.0</v>
      </c>
      <c r="O32" s="20">
        <v>2.3324160000000003</v>
      </c>
      <c r="P32" s="20">
        <v>37.0711481399899</v>
      </c>
      <c r="Q32" s="15"/>
      <c r="R32" s="20">
        <v>2.3324160000000003</v>
      </c>
      <c r="U32" s="14">
        <f t="array" ref="U32">XLOOKUP(E32, 'Conference Match'!$A$2:$A$25, 'Conference Match'!$C$2:$C$25)</f>
        <v>1</v>
      </c>
      <c r="V32" s="20">
        <f t="shared" si="1"/>
        <v>0.3498624</v>
      </c>
      <c r="W32" s="20">
        <f t="shared" si="2"/>
        <v>7.441901622</v>
      </c>
      <c r="Y32" s="20">
        <f>IFERROR(__xludf.DUMMYFUNCTION("iferror(PERCENTRANK.INC(FILTER($R$2:$R$425, $T$2:$T$425&lt;3.75), $R32), 0.01)"),0.823)</f>
        <v>0.823</v>
      </c>
      <c r="Z32" s="20">
        <f>IFERROR(__xludf.DUMMYFUNCTION("iferror(PERCENTRANK.INC(FILTER($R$2:$R$425, $T$2:$T$425&lt;4.25), $R32), 0.01)"),0.827)</f>
        <v>0.827</v>
      </c>
      <c r="AA32" s="20">
        <f>IFERROR(__xludf.DUMMYFUNCTION("iferror(PERCENTRANK.INC(FILTER($R$2:$R$425, $T$2:$T$425&gt;4.1), $R32), 0.01)"),0.728)</f>
        <v>0.728</v>
      </c>
    </row>
    <row r="33" ht="14.25" customHeight="1">
      <c r="A33" s="14" t="s">
        <v>1546</v>
      </c>
      <c r="B33" s="14" t="s">
        <v>443</v>
      </c>
      <c r="C33" s="14">
        <v>21.0</v>
      </c>
      <c r="D33" s="14" t="s">
        <v>38</v>
      </c>
      <c r="E33" s="14" t="s">
        <v>130</v>
      </c>
      <c r="F33" s="14">
        <v>34.0</v>
      </c>
      <c r="G33" s="14">
        <v>41.0</v>
      </c>
      <c r="H33" s="14">
        <v>25.0</v>
      </c>
      <c r="I33" s="42">
        <v>0.61</v>
      </c>
      <c r="J33" s="14">
        <v>2.0</v>
      </c>
      <c r="K33" s="14">
        <v>0.0</v>
      </c>
      <c r="L33" s="14">
        <v>4.0</v>
      </c>
      <c r="M33" s="14">
        <v>4.0</v>
      </c>
      <c r="N33" s="14">
        <v>220.0</v>
      </c>
      <c r="O33" s="20">
        <v>2.31268</v>
      </c>
      <c r="P33" s="20">
        <v>36.43183850110783</v>
      </c>
      <c r="Q33" s="15"/>
      <c r="R33" s="20">
        <v>2.31268</v>
      </c>
      <c r="U33" s="14">
        <f t="array" ref="U33">XLOOKUP(E33, 'Conference Match'!$A$2:$A$25, 'Conference Match'!$C$2:$C$25)</f>
        <v>1</v>
      </c>
      <c r="V33" s="20">
        <f t="shared" si="1"/>
        <v>0.346902</v>
      </c>
      <c r="W33" s="20">
        <f t="shared" si="2"/>
        <v>7.378931135</v>
      </c>
      <c r="Y33" s="20">
        <f>IFERROR(__xludf.DUMMYFUNCTION("iferror(PERCENTRANK.INC(FILTER($R$2:$R$425, $T$2:$T$425&lt;3.75), $R33), 0.01)"),0.81)</f>
        <v>0.81</v>
      </c>
      <c r="Z33" s="20">
        <f>IFERROR(__xludf.DUMMYFUNCTION("iferror(PERCENTRANK.INC(FILTER($R$2:$R$425, $T$2:$T$425&lt;4.25), $R33), 0.01)"),0.815)</f>
        <v>0.815</v>
      </c>
      <c r="AA33" s="20">
        <f>IFERROR(__xludf.DUMMYFUNCTION("iferror(PERCENTRANK.INC(FILTER($R$2:$R$425, $T$2:$T$425&gt;4.1), $R33), 0.01)"),0.722)</f>
        <v>0.722</v>
      </c>
    </row>
    <row r="34" ht="14.25" customHeight="1">
      <c r="A34" s="14" t="s">
        <v>1547</v>
      </c>
      <c r="B34" s="14" t="s">
        <v>307</v>
      </c>
      <c r="C34" s="14">
        <v>10.0</v>
      </c>
      <c r="D34" s="14" t="s">
        <v>38</v>
      </c>
      <c r="E34" s="14" t="s">
        <v>164</v>
      </c>
      <c r="F34" s="14">
        <v>66.0</v>
      </c>
      <c r="G34" s="14">
        <v>43.0</v>
      </c>
      <c r="H34" s="14">
        <v>18.0</v>
      </c>
      <c r="I34" s="42">
        <v>0.419</v>
      </c>
      <c r="J34" s="14">
        <v>2.0</v>
      </c>
      <c r="K34" s="14">
        <v>0.0</v>
      </c>
      <c r="L34" s="14">
        <v>3.0</v>
      </c>
      <c r="M34" s="14">
        <v>5.0</v>
      </c>
      <c r="N34" s="14">
        <v>280.0</v>
      </c>
      <c r="O34" s="20">
        <v>2.294972</v>
      </c>
      <c r="P34" s="20">
        <v>35.8582220091478</v>
      </c>
      <c r="Q34" s="15"/>
      <c r="R34" s="20">
        <v>2.294972</v>
      </c>
      <c r="U34" s="14">
        <f t="array" ref="U34">XLOOKUP(E34, 'Conference Match'!$A$2:$A$25, 'Conference Match'!$C$2:$C$25)</f>
        <v>1</v>
      </c>
      <c r="V34" s="20">
        <f t="shared" si="1"/>
        <v>0.3442458</v>
      </c>
      <c r="W34" s="20">
        <f t="shared" si="2"/>
        <v>7.322431268</v>
      </c>
      <c r="Y34" s="20">
        <f>IFERROR(__xludf.DUMMYFUNCTION("iferror(PERCENTRANK.INC(FILTER($R$2:$R$425, $T$2:$T$425&lt;3.75), $R34), 0.01)"),0.797)</f>
        <v>0.797</v>
      </c>
      <c r="Z34" s="20">
        <f>IFERROR(__xludf.DUMMYFUNCTION("iferror(PERCENTRANK.INC(FILTER($R$2:$R$425, $T$2:$T$425&lt;4.25), $R34), 0.01)"),0.802)</f>
        <v>0.802</v>
      </c>
      <c r="AA34" s="20">
        <f>IFERROR(__xludf.DUMMYFUNCTION("iferror(PERCENTRANK.INC(FILTER($R$2:$R$425, $T$2:$T$425&gt;4.1), $R34), 0.01)"),0.717)</f>
        <v>0.717</v>
      </c>
    </row>
    <row r="35" ht="14.25" customHeight="1">
      <c r="A35" s="14" t="s">
        <v>1548</v>
      </c>
      <c r="B35" s="14" t="s">
        <v>369</v>
      </c>
      <c r="C35" s="14">
        <v>16.0</v>
      </c>
      <c r="D35" s="14" t="s">
        <v>38</v>
      </c>
      <c r="E35" s="14" t="s">
        <v>130</v>
      </c>
      <c r="F35" s="14">
        <v>102.0</v>
      </c>
      <c r="G35" s="14">
        <v>51.0</v>
      </c>
      <c r="H35" s="14">
        <v>31.0</v>
      </c>
      <c r="I35" s="42">
        <v>0.608</v>
      </c>
      <c r="J35" s="14">
        <v>1.0</v>
      </c>
      <c r="K35" s="14">
        <v>0.0</v>
      </c>
      <c r="L35" s="14">
        <v>4.0</v>
      </c>
      <c r="M35" s="14">
        <v>6.0</v>
      </c>
      <c r="N35" s="14">
        <v>332.0</v>
      </c>
      <c r="O35" s="20">
        <v>2.272704</v>
      </c>
      <c r="P35" s="20">
        <v>35.13689311582466</v>
      </c>
      <c r="Q35" s="15"/>
      <c r="R35" s="20">
        <v>2.272704</v>
      </c>
      <c r="U35" s="14">
        <f t="array" ref="U35">XLOOKUP(E35, 'Conference Match'!$A$2:$A$25, 'Conference Match'!$C$2:$C$25)</f>
        <v>1</v>
      </c>
      <c r="V35" s="20">
        <f t="shared" si="1"/>
        <v>0.3409056</v>
      </c>
      <c r="W35" s="20">
        <f t="shared" si="2"/>
        <v>7.251382079</v>
      </c>
      <c r="Y35" s="20">
        <f>IFERROR(__xludf.DUMMYFUNCTION("iferror(PERCENTRANK.INC(FILTER($R$2:$R$425, $T$2:$T$425&lt;3.75), $R35), 0.01)"),0.785)</f>
        <v>0.785</v>
      </c>
      <c r="Z35" s="20">
        <f>IFERROR(__xludf.DUMMYFUNCTION("iferror(PERCENTRANK.INC(FILTER($R$2:$R$425, $T$2:$T$425&lt;4.25), $R35), 0.01)"),0.79)</f>
        <v>0.79</v>
      </c>
      <c r="AA35" s="20">
        <f>IFERROR(__xludf.DUMMYFUNCTION("iferror(PERCENTRANK.INC(FILTER($R$2:$R$425, $T$2:$T$425&gt;4.1), $R35), 0.01)"),0.71)</f>
        <v>0.71</v>
      </c>
    </row>
    <row r="36" ht="14.25" customHeight="1">
      <c r="A36" s="14" t="s">
        <v>1549</v>
      </c>
      <c r="B36" s="14" t="s">
        <v>124</v>
      </c>
      <c r="C36" s="14">
        <v>17.0</v>
      </c>
      <c r="D36" s="14" t="s">
        <v>38</v>
      </c>
      <c r="E36" s="14" t="s">
        <v>125</v>
      </c>
      <c r="F36" s="14">
        <v>53.0</v>
      </c>
      <c r="G36" s="14">
        <v>19.0</v>
      </c>
      <c r="H36" s="14">
        <v>8.0</v>
      </c>
      <c r="I36" s="42">
        <v>0.421</v>
      </c>
      <c r="J36" s="14">
        <v>2.0</v>
      </c>
      <c r="K36" s="14">
        <v>1.0</v>
      </c>
      <c r="L36" s="14">
        <v>3.0</v>
      </c>
      <c r="M36" s="14">
        <v>3.0</v>
      </c>
      <c r="N36" s="14">
        <v>102.0</v>
      </c>
      <c r="O36" s="20">
        <v>2.234948</v>
      </c>
      <c r="P36" s="20">
        <v>33.913860346994575</v>
      </c>
      <c r="Q36" s="15"/>
      <c r="R36" s="20">
        <v>2.234948</v>
      </c>
      <c r="U36" s="14">
        <f t="array" ref="U36">XLOOKUP(E36, 'Conference Match'!$A$2:$A$25, 'Conference Match'!$C$2:$C$25)</f>
        <v>0.95</v>
      </c>
      <c r="V36" s="20">
        <f t="shared" si="1"/>
        <v>0.31848009</v>
      </c>
      <c r="W36" s="20">
        <f t="shared" si="2"/>
        <v>6.774370433</v>
      </c>
      <c r="Y36" s="20">
        <f>IFERROR(__xludf.DUMMYFUNCTION("iferror(PERCENTRANK.INC(FILTER($R$2:$R$425, $T$2:$T$425&lt;3.75), $R36), 0.01)"),0.772)</f>
        <v>0.772</v>
      </c>
      <c r="Z36" s="20">
        <f>IFERROR(__xludf.DUMMYFUNCTION("iferror(PERCENTRANK.INC(FILTER($R$2:$R$425, $T$2:$T$425&lt;4.25), $R36), 0.01)"),0.778)</f>
        <v>0.778</v>
      </c>
      <c r="AA36" s="20">
        <f>IFERROR(__xludf.DUMMYFUNCTION("iferror(PERCENTRANK.INC(FILTER($R$2:$R$425, $T$2:$T$425&gt;4.1), $R36), 0.01)"),0.698)</f>
        <v>0.698</v>
      </c>
    </row>
    <row r="37" ht="14.25" customHeight="1">
      <c r="A37" s="14" t="s">
        <v>1550</v>
      </c>
      <c r="B37" s="14" t="s">
        <v>449</v>
      </c>
      <c r="C37" s="14">
        <v>7.0</v>
      </c>
      <c r="D37" s="14" t="s">
        <v>38</v>
      </c>
      <c r="E37" s="14" t="s">
        <v>102</v>
      </c>
      <c r="F37" s="14">
        <v>33.0</v>
      </c>
      <c r="G37" s="14">
        <v>33.0</v>
      </c>
      <c r="H37" s="14">
        <v>18.0</v>
      </c>
      <c r="I37" s="42">
        <v>0.545</v>
      </c>
      <c r="J37" s="14">
        <v>1.0</v>
      </c>
      <c r="K37" s="14">
        <v>0.0</v>
      </c>
      <c r="L37" s="14">
        <v>4.0</v>
      </c>
      <c r="M37" s="14">
        <v>5.0</v>
      </c>
      <c r="N37" s="14">
        <v>219.0</v>
      </c>
      <c r="O37" s="20">
        <v>2.19346</v>
      </c>
      <c r="P37" s="20">
        <v>32.56993663915415</v>
      </c>
      <c r="Q37" s="15"/>
      <c r="R37" s="20">
        <v>2.19346</v>
      </c>
      <c r="U37" s="14">
        <f t="array" ref="U37">XLOOKUP(E37, 'Conference Match'!$A$2:$A$25, 'Conference Match'!$C$2:$C$25)</f>
        <v>1</v>
      </c>
      <c r="V37" s="20">
        <f t="shared" si="1"/>
        <v>0.329019</v>
      </c>
      <c r="W37" s="20">
        <f t="shared" si="2"/>
        <v>6.998542941</v>
      </c>
      <c r="Y37" s="20">
        <f>IFERROR(__xludf.DUMMYFUNCTION("iferror(PERCENTRANK.INC(FILTER($R$2:$R$425, $T$2:$T$425&lt;3.75), $R37), 0.01)"),0.759)</f>
        <v>0.759</v>
      </c>
      <c r="Z37" s="20">
        <f>IFERROR(__xludf.DUMMYFUNCTION("iferror(PERCENTRANK.INC(FILTER($R$2:$R$425, $T$2:$T$425&lt;4.25), $R37), 0.01)"),0.765)</f>
        <v>0.765</v>
      </c>
      <c r="AA37" s="20">
        <f>IFERROR(__xludf.DUMMYFUNCTION("iferror(PERCENTRANK.INC(FILTER($R$2:$R$425, $T$2:$T$425&gt;4.1), $R37), 0.01)"),0.686)</f>
        <v>0.686</v>
      </c>
    </row>
    <row r="38" ht="14.25" customHeight="1">
      <c r="A38" s="14" t="s">
        <v>1551</v>
      </c>
      <c r="B38" s="14" t="s">
        <v>412</v>
      </c>
      <c r="C38" s="14">
        <v>36.0</v>
      </c>
      <c r="D38" s="14" t="s">
        <v>38</v>
      </c>
      <c r="E38" s="14" t="s">
        <v>149</v>
      </c>
      <c r="F38" s="14">
        <v>10.0</v>
      </c>
      <c r="G38" s="14">
        <v>16.0</v>
      </c>
      <c r="H38" s="14">
        <v>7.0</v>
      </c>
      <c r="I38" s="42">
        <v>0.438</v>
      </c>
      <c r="J38" s="14">
        <v>0.0</v>
      </c>
      <c r="K38" s="14">
        <v>0.0</v>
      </c>
      <c r="L38" s="14">
        <v>5.0</v>
      </c>
      <c r="M38" s="14">
        <v>6.0</v>
      </c>
      <c r="N38" s="14">
        <v>137.0</v>
      </c>
      <c r="O38" s="20">
        <v>2.174744</v>
      </c>
      <c r="P38" s="20">
        <v>31.963667932155953</v>
      </c>
      <c r="Q38" s="15"/>
      <c r="R38" s="20">
        <v>2.174744</v>
      </c>
      <c r="U38" s="14">
        <f t="array" ref="U38">XLOOKUP(E38, 'Conference Match'!$A$2:$A$25, 'Conference Match'!$C$2:$C$25)</f>
        <v>0.95</v>
      </c>
      <c r="V38" s="20">
        <f t="shared" si="1"/>
        <v>0.30990102</v>
      </c>
      <c r="W38" s="20">
        <f t="shared" si="2"/>
        <v>6.591885562</v>
      </c>
      <c r="Y38" s="20">
        <f>IFERROR(__xludf.DUMMYFUNCTION("iferror(PERCENTRANK.INC(FILTER($R$2:$R$425, $T$2:$T$425&lt;3.75), $R38), 0.01)"),0.747)</f>
        <v>0.747</v>
      </c>
      <c r="Z38" s="20">
        <f>IFERROR(__xludf.DUMMYFUNCTION("iferror(PERCENTRANK.INC(FILTER($R$2:$R$425, $T$2:$T$425&lt;4.25), $R38), 0.01)"),0.753)</f>
        <v>0.753</v>
      </c>
      <c r="AA38" s="20">
        <f>IFERROR(__xludf.DUMMYFUNCTION("iferror(PERCENTRANK.INC(FILTER($R$2:$R$425, $T$2:$T$425&gt;4.1), $R38), 0.01)"),0.68)</f>
        <v>0.68</v>
      </c>
    </row>
    <row r="39" ht="14.25" customHeight="1">
      <c r="A39" s="14" t="s">
        <v>1552</v>
      </c>
      <c r="B39" s="14" t="s">
        <v>419</v>
      </c>
      <c r="C39" s="14">
        <v>2.0</v>
      </c>
      <c r="D39" s="14" t="s">
        <v>38</v>
      </c>
      <c r="E39" s="14" t="s">
        <v>164</v>
      </c>
      <c r="F39" s="14">
        <v>99.0</v>
      </c>
      <c r="G39" s="14">
        <v>33.0</v>
      </c>
      <c r="H39" s="14">
        <v>16.0</v>
      </c>
      <c r="I39" s="42">
        <v>0.485</v>
      </c>
      <c r="J39" s="14">
        <v>0.0</v>
      </c>
      <c r="K39" s="14">
        <v>0.0</v>
      </c>
      <c r="L39" s="14">
        <v>4.0</v>
      </c>
      <c r="M39" s="14">
        <v>7.0</v>
      </c>
      <c r="N39" s="14">
        <v>191.0</v>
      </c>
      <c r="O39" s="20">
        <v>2.15418</v>
      </c>
      <c r="P39" s="20">
        <v>31.297536830921135</v>
      </c>
      <c r="Q39" s="15"/>
      <c r="R39" s="20">
        <v>2.15418</v>
      </c>
      <c r="U39" s="14">
        <f t="array" ref="U39">XLOOKUP(E39, 'Conference Match'!$A$2:$A$25, 'Conference Match'!$C$2:$C$25)</f>
        <v>1</v>
      </c>
      <c r="V39" s="20">
        <f t="shared" si="1"/>
        <v>0.323127</v>
      </c>
      <c r="W39" s="20">
        <f t="shared" si="2"/>
        <v>6.873214571</v>
      </c>
      <c r="Y39" s="20">
        <f>IFERROR(__xludf.DUMMYFUNCTION("iferror(PERCENTRANK.INC(FILTER($R$2:$R$425, $T$2:$T$425&lt;3.75), $R39), 0.01)"),0.734)</f>
        <v>0.734</v>
      </c>
      <c r="Z39" s="20">
        <f>IFERROR(__xludf.DUMMYFUNCTION("iferror(PERCENTRANK.INC(FILTER($R$2:$R$425, $T$2:$T$425&lt;4.25), $R39), 0.01)"),0.741)</f>
        <v>0.741</v>
      </c>
      <c r="AA39" s="20">
        <f>IFERROR(__xludf.DUMMYFUNCTION("iferror(PERCENTRANK.INC(FILTER($R$2:$R$425, $T$2:$T$425&gt;4.1), $R39), 0.01)"),0.674)</f>
        <v>0.674</v>
      </c>
    </row>
    <row r="40" ht="14.25" customHeight="1">
      <c r="A40" s="14" t="s">
        <v>1553</v>
      </c>
      <c r="B40" s="14" t="s">
        <v>511</v>
      </c>
      <c r="C40" s="14">
        <v>8.0</v>
      </c>
      <c r="D40" s="14" t="s">
        <v>38</v>
      </c>
      <c r="E40" s="14" t="s">
        <v>102</v>
      </c>
      <c r="F40" s="14">
        <v>123.0</v>
      </c>
      <c r="G40" s="14">
        <v>34.0</v>
      </c>
      <c r="H40" s="14">
        <v>19.0</v>
      </c>
      <c r="I40" s="42">
        <v>0.559</v>
      </c>
      <c r="J40" s="14">
        <v>1.0</v>
      </c>
      <c r="K40" s="14">
        <v>0.0</v>
      </c>
      <c r="L40" s="14">
        <v>4.0</v>
      </c>
      <c r="M40" s="14">
        <v>4.0</v>
      </c>
      <c r="N40" s="14">
        <v>287.0</v>
      </c>
      <c r="O40" s="20">
        <v>2.113292</v>
      </c>
      <c r="P40" s="20">
        <v>29.973048965365326</v>
      </c>
      <c r="Q40" s="15"/>
      <c r="R40" s="20">
        <v>2.113292</v>
      </c>
      <c r="U40" s="14">
        <f t="array" ref="U40">XLOOKUP(E40, 'Conference Match'!$A$2:$A$25, 'Conference Match'!$C$2:$C$25)</f>
        <v>1</v>
      </c>
      <c r="V40" s="20">
        <f t="shared" si="1"/>
        <v>0.3169938</v>
      </c>
      <c r="W40" s="20">
        <f t="shared" si="2"/>
        <v>6.74275565</v>
      </c>
      <c r="Y40" s="20">
        <f>IFERROR(__xludf.DUMMYFUNCTION("iferror(PERCENTRANK.INC(FILTER($R$2:$R$425, $T$2:$T$425&lt;3.75), $R40), 0.01)"),0.722)</f>
        <v>0.722</v>
      </c>
      <c r="Z40" s="20">
        <f>IFERROR(__xludf.DUMMYFUNCTION("iferror(PERCENTRANK.INC(FILTER($R$2:$R$425, $T$2:$T$425&lt;4.25), $R40), 0.01)"),0.716)</f>
        <v>0.716</v>
      </c>
      <c r="AA40" s="20">
        <f>IFERROR(__xludf.DUMMYFUNCTION("iferror(PERCENTRANK.INC(FILTER($R$2:$R$425, $T$2:$T$425&gt;4.1), $R40), 0.01)"),0.639)</f>
        <v>0.639</v>
      </c>
    </row>
    <row r="41" ht="14.25" customHeight="1">
      <c r="A41" s="14" t="s">
        <v>1554</v>
      </c>
      <c r="B41" s="14" t="s">
        <v>443</v>
      </c>
      <c r="C41" s="14">
        <v>18.0</v>
      </c>
      <c r="D41" s="14" t="s">
        <v>38</v>
      </c>
      <c r="E41" s="14" t="s">
        <v>130</v>
      </c>
      <c r="F41" s="14">
        <v>101.0</v>
      </c>
      <c r="G41" s="14">
        <v>30.0</v>
      </c>
      <c r="H41" s="14">
        <v>17.0</v>
      </c>
      <c r="I41" s="42">
        <v>0.567</v>
      </c>
      <c r="J41" s="14">
        <v>1.0</v>
      </c>
      <c r="K41" s="14">
        <v>0.0</v>
      </c>
      <c r="L41" s="14">
        <v>4.0</v>
      </c>
      <c r="M41" s="14">
        <v>4.0</v>
      </c>
      <c r="N41" s="14">
        <v>219.0</v>
      </c>
      <c r="O41" s="20">
        <v>2.1131960000000003</v>
      </c>
      <c r="P41" s="20">
        <v>29.9699392305998</v>
      </c>
      <c r="Q41" s="15"/>
      <c r="R41" s="20">
        <v>2.1131960000000003</v>
      </c>
      <c r="U41" s="14">
        <f t="array" ref="U41">XLOOKUP(E41, 'Conference Match'!$A$2:$A$25, 'Conference Match'!$C$2:$C$25)</f>
        <v>1</v>
      </c>
      <c r="V41" s="20">
        <f t="shared" si="1"/>
        <v>0.3169794</v>
      </c>
      <c r="W41" s="20">
        <f t="shared" si="2"/>
        <v>6.742449349</v>
      </c>
      <c r="Y41" s="20">
        <f>IFERROR(__xludf.DUMMYFUNCTION("iferror(PERCENTRANK.INC(FILTER($R$2:$R$425, $T$2:$T$425&lt;3.75), $R41), 0.01)"),0.709)</f>
        <v>0.709</v>
      </c>
      <c r="Z41" s="20">
        <f>IFERROR(__xludf.DUMMYFUNCTION("iferror(PERCENTRANK.INC(FILTER($R$2:$R$425, $T$2:$T$425&lt;4.25), $R41), 0.01)"),0.704)</f>
        <v>0.704</v>
      </c>
      <c r="AA41" s="20">
        <f>IFERROR(__xludf.DUMMYFUNCTION("iferror(PERCENTRANK.INC(FILTER($R$2:$R$425, $T$2:$T$425&gt;4.1), $R41), 0.01)"),0.639)</f>
        <v>0.639</v>
      </c>
    </row>
    <row r="42" ht="14.25" customHeight="1">
      <c r="A42" s="17" t="s">
        <v>1555</v>
      </c>
      <c r="B42" s="17" t="s">
        <v>505</v>
      </c>
      <c r="C42" s="18">
        <v>31.0</v>
      </c>
      <c r="D42" s="17" t="s">
        <v>38</v>
      </c>
      <c r="E42" s="17" t="s">
        <v>188</v>
      </c>
      <c r="F42" s="18">
        <v>67.0</v>
      </c>
      <c r="G42" s="18">
        <v>38.0</v>
      </c>
      <c r="H42" s="18">
        <v>20.0</v>
      </c>
      <c r="I42" s="19">
        <v>0.526</v>
      </c>
      <c r="J42" s="18">
        <v>0.0</v>
      </c>
      <c r="K42" s="18">
        <v>1.0</v>
      </c>
      <c r="L42" s="18">
        <v>4.0</v>
      </c>
      <c r="M42" s="18">
        <v>5.0</v>
      </c>
      <c r="N42" s="18">
        <v>212.0</v>
      </c>
      <c r="O42" s="22">
        <v>2.09</v>
      </c>
      <c r="P42" s="22">
        <v>29.34</v>
      </c>
      <c r="Q42" s="15"/>
      <c r="R42" s="36">
        <v>2.09</v>
      </c>
      <c r="U42" s="14">
        <f t="array" ref="U42">XLOOKUP(E42, 'Conference Match'!$A$2:$A$25, 'Conference Match'!$C$2:$C$25)</f>
        <v>0.9</v>
      </c>
      <c r="V42" s="20">
        <f t="shared" si="1"/>
        <v>0.28215</v>
      </c>
      <c r="W42" s="20">
        <f t="shared" si="2"/>
        <v>6.00159532</v>
      </c>
      <c r="Y42" s="20">
        <f>IFERROR(__xludf.DUMMYFUNCTION("iferror(PERCENTRANK.INC(FILTER($R$2:$R$425, $T$2:$T$425&lt;3.75), $R42), 0.01)"),0.696)</f>
        <v>0.696</v>
      </c>
      <c r="Z42" s="20">
        <f>IFERROR(__xludf.DUMMYFUNCTION("iferror(PERCENTRANK.INC(FILTER($R$2:$R$425, $T$2:$T$425&lt;4.25), $R42), 0.01)"),0.691)</f>
        <v>0.691</v>
      </c>
      <c r="AA42" s="20">
        <f>IFERROR(__xludf.DUMMYFUNCTION("iferror(PERCENTRANK.INC(FILTER($R$2:$R$425, $T$2:$T$425&gt;4.1), $R42), 0.01)"),0.6)</f>
        <v>0.6</v>
      </c>
    </row>
    <row r="43" ht="14.25" customHeight="1">
      <c r="A43" s="14" t="s">
        <v>1556</v>
      </c>
      <c r="B43" s="14" t="s">
        <v>265</v>
      </c>
      <c r="C43" s="14">
        <v>4.0</v>
      </c>
      <c r="D43" s="14" t="s">
        <v>38</v>
      </c>
      <c r="E43" s="14" t="s">
        <v>108</v>
      </c>
      <c r="F43" s="14">
        <v>127.0</v>
      </c>
      <c r="G43" s="14">
        <v>37.0</v>
      </c>
      <c r="H43" s="14">
        <v>22.0</v>
      </c>
      <c r="I43" s="42">
        <v>0.595</v>
      </c>
      <c r="J43" s="14">
        <v>1.0</v>
      </c>
      <c r="K43" s="14">
        <v>0.0</v>
      </c>
      <c r="L43" s="14">
        <v>2.0</v>
      </c>
      <c r="M43" s="14">
        <v>6.0</v>
      </c>
      <c r="N43" s="14">
        <v>278.0</v>
      </c>
      <c r="O43" s="20">
        <v>2.07286</v>
      </c>
      <c r="P43" s="20">
        <v>28.66333233994584</v>
      </c>
      <c r="Q43" s="15"/>
      <c r="R43" s="20">
        <v>2.07286</v>
      </c>
      <c r="U43" s="14">
        <f t="array" ref="U43">XLOOKUP(E43, 'Conference Match'!$A$2:$A$25, 'Conference Match'!$C$2:$C$25)</f>
        <v>0.95</v>
      </c>
      <c r="V43" s="20">
        <f t="shared" si="1"/>
        <v>0.29538255</v>
      </c>
      <c r="W43" s="20">
        <f t="shared" si="2"/>
        <v>6.283064079</v>
      </c>
      <c r="Y43" s="20">
        <f>IFERROR(__xludf.DUMMYFUNCTION("iferror(PERCENTRANK.INC(FILTER($R$2:$R$425, $T$2:$T$425&lt;3.75), $R43), 0.01)"),0.684)</f>
        <v>0.684</v>
      </c>
      <c r="Z43" s="20">
        <f>IFERROR(__xludf.DUMMYFUNCTION("iferror(PERCENTRANK.INC(FILTER($R$2:$R$425, $T$2:$T$425&lt;4.25), $R43), 0.01)"),0.679)</f>
        <v>0.679</v>
      </c>
      <c r="AA43" s="20">
        <f>IFERROR(__xludf.DUMMYFUNCTION("iferror(PERCENTRANK.INC(FILTER($R$2:$R$425, $T$2:$T$425&gt;4.1), $R43), 0.01)"),0.594)</f>
        <v>0.594</v>
      </c>
    </row>
    <row r="44" ht="14.25" customHeight="1">
      <c r="A44" s="14" t="s">
        <v>1557</v>
      </c>
      <c r="B44" s="14" t="s">
        <v>311</v>
      </c>
      <c r="C44" s="14">
        <v>27.0</v>
      </c>
      <c r="D44" s="14" t="s">
        <v>38</v>
      </c>
      <c r="E44" s="14" t="s">
        <v>164</v>
      </c>
      <c r="F44" s="14">
        <v>34.0</v>
      </c>
      <c r="G44" s="14">
        <v>18.0</v>
      </c>
      <c r="H44" s="14">
        <v>6.0</v>
      </c>
      <c r="I44" s="42">
        <v>0.333</v>
      </c>
      <c r="J44" s="14">
        <v>3.0</v>
      </c>
      <c r="K44" s="14">
        <v>0.0</v>
      </c>
      <c r="L44" s="14">
        <v>1.0</v>
      </c>
      <c r="M44" s="14">
        <v>2.0</v>
      </c>
      <c r="N44" s="14">
        <v>138.0</v>
      </c>
      <c r="O44" s="20">
        <v>2.0560039999999997</v>
      </c>
      <c r="P44" s="20">
        <v>28.117314744029947</v>
      </c>
      <c r="Q44" s="15"/>
      <c r="R44" s="20">
        <v>2.0560039999999997</v>
      </c>
      <c r="U44" s="14">
        <f t="array" ref="U44">XLOOKUP(E44, 'Conference Match'!$A$2:$A$25, 'Conference Match'!$C$2:$C$25)</f>
        <v>1</v>
      </c>
      <c r="V44" s="20">
        <f t="shared" si="1"/>
        <v>0.3084006</v>
      </c>
      <c r="W44" s="20">
        <f t="shared" si="2"/>
        <v>6.559970221</v>
      </c>
      <c r="Y44" s="20">
        <f>IFERROR(__xludf.DUMMYFUNCTION("iferror(PERCENTRANK.INC(FILTER($R$2:$R$425, $T$2:$T$425&lt;3.75), $R44), 0.01)"),0.671)</f>
        <v>0.671</v>
      </c>
      <c r="Z44" s="20">
        <f>IFERROR(__xludf.DUMMYFUNCTION("iferror(PERCENTRANK.INC(FILTER($R$2:$R$425, $T$2:$T$425&lt;4.25), $R44), 0.01)"),0.667)</f>
        <v>0.667</v>
      </c>
      <c r="AA44" s="20">
        <f>IFERROR(__xludf.DUMMYFUNCTION("iferror(PERCENTRANK.INC(FILTER($R$2:$R$425, $T$2:$T$425&gt;4.1), $R44), 0.01)"),0.588)</f>
        <v>0.588</v>
      </c>
    </row>
    <row r="45" ht="14.25" customHeight="1">
      <c r="A45" s="14" t="s">
        <v>1558</v>
      </c>
      <c r="B45" s="14" t="s">
        <v>369</v>
      </c>
      <c r="C45" s="14">
        <v>10.0</v>
      </c>
      <c r="D45" s="14" t="s">
        <v>38</v>
      </c>
      <c r="E45" s="14" t="s">
        <v>130</v>
      </c>
      <c r="F45" s="14">
        <v>42.0</v>
      </c>
      <c r="G45" s="14">
        <v>40.0</v>
      </c>
      <c r="H45" s="14">
        <v>27.0</v>
      </c>
      <c r="I45" s="42">
        <v>0.675</v>
      </c>
      <c r="J45" s="14">
        <v>3.0</v>
      </c>
      <c r="K45" s="14">
        <v>0.0</v>
      </c>
      <c r="L45" s="14">
        <v>0.0</v>
      </c>
      <c r="M45" s="14">
        <v>3.0</v>
      </c>
      <c r="N45" s="14">
        <v>177.0</v>
      </c>
      <c r="O45" s="20">
        <v>2.0319</v>
      </c>
      <c r="P45" s="20">
        <v>27.336512173315878</v>
      </c>
      <c r="Q45" s="15"/>
      <c r="R45" s="20">
        <v>2.0319</v>
      </c>
      <c r="U45" s="14">
        <f t="array" ref="U45">XLOOKUP(E45, 'Conference Match'!$A$2:$A$25, 'Conference Match'!$C$2:$C$25)</f>
        <v>1</v>
      </c>
      <c r="V45" s="20">
        <f t="shared" si="1"/>
        <v>0.304785</v>
      </c>
      <c r="W45" s="20">
        <f t="shared" si="2"/>
        <v>6.483063015</v>
      </c>
      <c r="Y45" s="20">
        <f>IFERROR(__xludf.DUMMYFUNCTION("iferror(PERCENTRANK.INC(FILTER($R$2:$R$425, $T$2:$T$425&lt;3.75), $R45), 0.01)"),0.658)</f>
        <v>0.658</v>
      </c>
      <c r="Z45" s="20">
        <f>IFERROR(__xludf.DUMMYFUNCTION("iferror(PERCENTRANK.INC(FILTER($R$2:$R$425, $T$2:$T$425&lt;4.25), $R45), 0.01)"),0.654)</f>
        <v>0.654</v>
      </c>
      <c r="AA45" s="20">
        <f>IFERROR(__xludf.DUMMYFUNCTION("iferror(PERCENTRANK.INC(FILTER($R$2:$R$425, $T$2:$T$425&gt;4.1), $R45), 0.01)"),0.58)</f>
        <v>0.58</v>
      </c>
    </row>
    <row r="46" ht="14.25" customHeight="1">
      <c r="A46" s="14" t="s">
        <v>1559</v>
      </c>
      <c r="B46" s="14" t="s">
        <v>529</v>
      </c>
      <c r="C46" s="14">
        <v>8.0</v>
      </c>
      <c r="D46" s="14" t="s">
        <v>38</v>
      </c>
      <c r="E46" s="14" t="s">
        <v>125</v>
      </c>
      <c r="F46" s="14">
        <v>93.0</v>
      </c>
      <c r="G46" s="14">
        <v>40.0</v>
      </c>
      <c r="H46" s="14">
        <v>22.0</v>
      </c>
      <c r="I46" s="42">
        <v>0.55</v>
      </c>
      <c r="J46" s="14">
        <v>0.0</v>
      </c>
      <c r="K46" s="14">
        <v>1.0</v>
      </c>
      <c r="L46" s="14">
        <v>4.0</v>
      </c>
      <c r="M46" s="14">
        <v>4.0</v>
      </c>
      <c r="N46" s="14">
        <v>263.0</v>
      </c>
      <c r="O46" s="20">
        <v>2.0134</v>
      </c>
      <c r="P46" s="20">
        <v>26.737240369540142</v>
      </c>
      <c r="Q46" s="15"/>
      <c r="R46" s="20">
        <v>2.0134</v>
      </c>
      <c r="U46" s="14">
        <f t="array" ref="U46">XLOOKUP(E46, 'Conference Match'!$A$2:$A$25, 'Conference Match'!$C$2:$C$25)</f>
        <v>0.95</v>
      </c>
      <c r="V46" s="20">
        <f t="shared" si="1"/>
        <v>0.2869095</v>
      </c>
      <c r="W46" s="20">
        <f t="shared" si="2"/>
        <v>6.102834353</v>
      </c>
      <c r="Y46" s="20">
        <f>IFERROR(__xludf.DUMMYFUNCTION("iferror(PERCENTRANK.INC(FILTER($R$2:$R$425, $T$2:$T$425&lt;3.75), $R46), 0.01)"),0.646)</f>
        <v>0.646</v>
      </c>
      <c r="Z46" s="20">
        <f>IFERROR(__xludf.DUMMYFUNCTION("iferror(PERCENTRANK.INC(FILTER($R$2:$R$425, $T$2:$T$425&lt;4.25), $R46), 0.01)"),0.642)</f>
        <v>0.642</v>
      </c>
      <c r="AA46" s="20">
        <f>IFERROR(__xludf.DUMMYFUNCTION("iferror(PERCENTRANK.INC(FILTER($R$2:$R$425, $T$2:$T$425&gt;4.1), $R46), 0.01)"),0.574)</f>
        <v>0.574</v>
      </c>
    </row>
    <row r="47" ht="14.25" customHeight="1">
      <c r="A47" s="17" t="s">
        <v>1560</v>
      </c>
      <c r="B47" s="17" t="s">
        <v>600</v>
      </c>
      <c r="C47" s="18">
        <v>3.0</v>
      </c>
      <c r="D47" s="17" t="s">
        <v>38</v>
      </c>
      <c r="E47" s="17" t="s">
        <v>169</v>
      </c>
      <c r="F47" s="18">
        <v>98.0</v>
      </c>
      <c r="G47" s="18">
        <v>36.0</v>
      </c>
      <c r="H47" s="18">
        <v>21.0</v>
      </c>
      <c r="I47" s="19">
        <v>0.583</v>
      </c>
      <c r="J47" s="18">
        <v>1.0</v>
      </c>
      <c r="K47" s="18">
        <v>0.0</v>
      </c>
      <c r="L47" s="18">
        <v>3.0</v>
      </c>
      <c r="M47" s="18">
        <v>4.0</v>
      </c>
      <c r="N47" s="18">
        <v>255.0</v>
      </c>
      <c r="O47" s="22">
        <v>2.01</v>
      </c>
      <c r="P47" s="22">
        <v>26.72</v>
      </c>
      <c r="Q47" s="15"/>
      <c r="R47" s="36">
        <v>2.01</v>
      </c>
      <c r="U47" s="14">
        <f t="array" ref="U47">XLOOKUP(E47, 'Conference Match'!$A$2:$A$25, 'Conference Match'!$C$2:$C$25)</f>
        <v>0.9</v>
      </c>
      <c r="V47" s="20">
        <f t="shared" si="1"/>
        <v>0.27135</v>
      </c>
      <c r="W47" s="20">
        <f t="shared" si="2"/>
        <v>5.771869184</v>
      </c>
      <c r="Y47" s="20">
        <f>IFERROR(__xludf.DUMMYFUNCTION("iferror(PERCENTRANK.INC(FILTER($R$2:$R$425, $T$2:$T$425&lt;3.75), $R47), 0.01)"),0.633)</f>
        <v>0.633</v>
      </c>
      <c r="Z47" s="20">
        <f>IFERROR(__xludf.DUMMYFUNCTION("iferror(PERCENTRANK.INC(FILTER($R$2:$R$425, $T$2:$T$425&lt;4.25), $R47), 0.01)"),0.63)</f>
        <v>0.63</v>
      </c>
      <c r="AA47" s="20">
        <f>IFERROR(__xludf.DUMMYFUNCTION("iferror(PERCENTRANK.INC(FILTER($R$2:$R$425, $T$2:$T$425&gt;4.1), $R47), 0.01)"),0.573)</f>
        <v>0.573</v>
      </c>
    </row>
    <row r="48" ht="14.25" customHeight="1">
      <c r="A48" s="14" t="s">
        <v>1561</v>
      </c>
      <c r="B48" s="14" t="s">
        <v>351</v>
      </c>
      <c r="C48" s="14">
        <v>14.0</v>
      </c>
      <c r="D48" s="14" t="s">
        <v>38</v>
      </c>
      <c r="E48" s="14" t="s">
        <v>130</v>
      </c>
      <c r="F48" s="14">
        <v>28.0</v>
      </c>
      <c r="G48" s="14">
        <v>19.0</v>
      </c>
      <c r="H48" s="14">
        <v>10.0</v>
      </c>
      <c r="I48" s="42">
        <v>0.526</v>
      </c>
      <c r="J48" s="14">
        <v>0.0</v>
      </c>
      <c r="K48" s="14">
        <v>0.0</v>
      </c>
      <c r="L48" s="14">
        <v>4.0</v>
      </c>
      <c r="M48" s="14">
        <v>5.0</v>
      </c>
      <c r="N48" s="14">
        <v>83.0</v>
      </c>
      <c r="O48" s="20">
        <v>1.993688</v>
      </c>
      <c r="P48" s="20">
        <v>26.09870816434948</v>
      </c>
      <c r="Q48" s="15"/>
      <c r="R48" s="20">
        <v>1.993688</v>
      </c>
      <c r="U48" s="14">
        <f t="array" ref="U48">XLOOKUP(E48, 'Conference Match'!$A$2:$A$25, 'Conference Match'!$C$2:$C$25)</f>
        <v>1</v>
      </c>
      <c r="V48" s="20">
        <f t="shared" si="1"/>
        <v>0.2990532</v>
      </c>
      <c r="W48" s="20">
        <f t="shared" si="2"/>
        <v>6.361142249</v>
      </c>
      <c r="Y48" s="20">
        <f>IFERROR(__xludf.DUMMYFUNCTION("iferror(PERCENTRANK.INC(FILTER($R$2:$R$425, $T$2:$T$425&lt;3.75), $R48), 0.01)"),0.62)</f>
        <v>0.62</v>
      </c>
      <c r="Z48" s="20">
        <f>IFERROR(__xludf.DUMMYFUNCTION("iferror(PERCENTRANK.INC(FILTER($R$2:$R$425, $T$2:$T$425&lt;4.25), $R48), 0.01)"),0.617)</f>
        <v>0.617</v>
      </c>
      <c r="AA48" s="20">
        <f>IFERROR(__xludf.DUMMYFUNCTION("iferror(PERCENTRANK.INC(FILTER($R$2:$R$425, $T$2:$T$425&gt;4.1), $R48), 0.01)"),0.567)</f>
        <v>0.567</v>
      </c>
    </row>
    <row r="49" ht="14.25" customHeight="1">
      <c r="A49" s="14" t="s">
        <v>1562</v>
      </c>
      <c r="B49" s="14" t="s">
        <v>239</v>
      </c>
      <c r="C49" s="14">
        <v>2.0</v>
      </c>
      <c r="D49" s="14" t="s">
        <v>38</v>
      </c>
      <c r="E49" s="14" t="s">
        <v>164</v>
      </c>
      <c r="F49" s="14">
        <v>10.0</v>
      </c>
      <c r="G49" s="14">
        <v>18.0</v>
      </c>
      <c r="H49" s="14">
        <v>11.0</v>
      </c>
      <c r="I49" s="42">
        <v>0.611</v>
      </c>
      <c r="J49" s="14">
        <v>1.0</v>
      </c>
      <c r="K49" s="14">
        <v>1.0</v>
      </c>
      <c r="L49" s="14">
        <v>2.0</v>
      </c>
      <c r="M49" s="14">
        <v>3.0</v>
      </c>
      <c r="N49" s="14">
        <v>135.0</v>
      </c>
      <c r="O49" s="20">
        <v>1.9326679999999998</v>
      </c>
      <c r="P49" s="20">
        <v>24.12208300400378</v>
      </c>
      <c r="Q49" s="15"/>
      <c r="R49" s="20">
        <v>1.9326679999999998</v>
      </c>
      <c r="U49" s="14">
        <f t="array" ref="U49">XLOOKUP(E49, 'Conference Match'!$A$2:$A$25, 'Conference Match'!$C$2:$C$25)</f>
        <v>1</v>
      </c>
      <c r="V49" s="20">
        <f t="shared" si="1"/>
        <v>0.2899002</v>
      </c>
      <c r="W49" s="20">
        <f t="shared" si="2"/>
        <v>6.166449349</v>
      </c>
      <c r="Y49" s="20">
        <f>IFERROR(__xludf.DUMMYFUNCTION("iferror(PERCENTRANK.INC(FILTER($R$2:$R$425, $T$2:$T$425&lt;3.75), $R49), 0.01)"),0.608)</f>
        <v>0.608</v>
      </c>
      <c r="Z49" s="20">
        <f>IFERROR(__xludf.DUMMYFUNCTION("iferror(PERCENTRANK.INC(FILTER($R$2:$R$425, $T$2:$T$425&lt;4.25), $R49), 0.01)"),0.605)</f>
        <v>0.605</v>
      </c>
      <c r="AA49" s="20">
        <f>IFERROR(__xludf.DUMMYFUNCTION("iferror(PERCENTRANK.INC(FILTER($R$2:$R$425, $T$2:$T$425&gt;4.1), $R49), 0.01)"),0.547)</f>
        <v>0.547</v>
      </c>
    </row>
    <row r="50" ht="14.25" customHeight="1">
      <c r="A50" s="14" t="s">
        <v>1563</v>
      </c>
      <c r="B50" s="14" t="s">
        <v>307</v>
      </c>
      <c r="C50" s="14">
        <v>37.0</v>
      </c>
      <c r="D50" s="14" t="s">
        <v>38</v>
      </c>
      <c r="E50" s="14" t="s">
        <v>164</v>
      </c>
      <c r="F50" s="14">
        <v>111.0</v>
      </c>
      <c r="G50" s="14">
        <v>32.0</v>
      </c>
      <c r="H50" s="14">
        <v>21.0</v>
      </c>
      <c r="I50" s="42">
        <v>0.656</v>
      </c>
      <c r="J50" s="14">
        <v>1.0</v>
      </c>
      <c r="K50" s="14">
        <v>0.0</v>
      </c>
      <c r="L50" s="14">
        <v>3.0</v>
      </c>
      <c r="M50" s="14">
        <v>3.0</v>
      </c>
      <c r="N50" s="14">
        <v>258.0</v>
      </c>
      <c r="O50" s="20">
        <v>1.9321279999999998</v>
      </c>
      <c r="P50" s="20">
        <v>24.104590745947622</v>
      </c>
      <c r="Q50" s="15"/>
      <c r="R50" s="20">
        <v>1.9321279999999998</v>
      </c>
      <c r="U50" s="14">
        <f t="array" ref="U50">XLOOKUP(E50, 'Conference Match'!$A$2:$A$25, 'Conference Match'!$C$2:$C$25)</f>
        <v>1</v>
      </c>
      <c r="V50" s="20">
        <f t="shared" si="1"/>
        <v>0.2898192</v>
      </c>
      <c r="W50" s="20">
        <f t="shared" si="2"/>
        <v>6.164726403</v>
      </c>
      <c r="Y50" s="20">
        <f>IFERROR(__xludf.DUMMYFUNCTION("iferror(PERCENTRANK.INC(FILTER($R$2:$R$425, $T$2:$T$425&lt;3.75), $R50), 0.01)"),0.595)</f>
        <v>0.595</v>
      </c>
      <c r="Z50" s="20">
        <f>IFERROR(__xludf.DUMMYFUNCTION("iferror(PERCENTRANK.INC(FILTER($R$2:$R$425, $T$2:$T$425&lt;4.25), $R50), 0.01)"),0.593)</f>
        <v>0.593</v>
      </c>
      <c r="AA50" s="20">
        <f>IFERROR(__xludf.DUMMYFUNCTION("iferror(PERCENTRANK.INC(FILTER($R$2:$R$425, $T$2:$T$425&gt;4.1), $R50), 0.01)"),0.546)</f>
        <v>0.546</v>
      </c>
    </row>
    <row r="51" ht="14.25" customHeight="1">
      <c r="A51" s="14" t="s">
        <v>1564</v>
      </c>
      <c r="B51" s="14" t="s">
        <v>345</v>
      </c>
      <c r="C51" s="14">
        <v>25.0</v>
      </c>
      <c r="D51" s="14" t="s">
        <v>38</v>
      </c>
      <c r="E51" s="14" t="s">
        <v>120</v>
      </c>
      <c r="F51" s="14">
        <v>100.0</v>
      </c>
      <c r="G51" s="14">
        <v>35.0</v>
      </c>
      <c r="H51" s="14">
        <v>22.0</v>
      </c>
      <c r="I51" s="42">
        <v>0.629</v>
      </c>
      <c r="J51" s="14">
        <v>1.0</v>
      </c>
      <c r="K51" s="14">
        <v>0.0</v>
      </c>
      <c r="L51" s="14">
        <v>2.0</v>
      </c>
      <c r="M51" s="14">
        <v>4.0</v>
      </c>
      <c r="N51" s="14">
        <v>236.0</v>
      </c>
      <c r="O51" s="20">
        <v>1.9124519999999998</v>
      </c>
      <c r="P51" s="20">
        <v>23.46722469129403</v>
      </c>
      <c r="Q51" s="15"/>
      <c r="R51" s="20">
        <v>1.9124519999999998</v>
      </c>
      <c r="U51" s="14">
        <f t="array" ref="U51">XLOOKUP(E51, 'Conference Match'!$A$2:$A$25, 'Conference Match'!$C$2:$C$25)</f>
        <v>0.95</v>
      </c>
      <c r="V51" s="20">
        <f t="shared" si="1"/>
        <v>0.27252441</v>
      </c>
      <c r="W51" s="20">
        <f t="shared" si="2"/>
        <v>5.796849987</v>
      </c>
      <c r="Y51" s="20">
        <f>IFERROR(__xludf.DUMMYFUNCTION("iferror(PERCENTRANK.INC(FILTER($R$2:$R$425, $T$2:$T$425&lt;3.75), $R51), 0.01)"),0.582)</f>
        <v>0.582</v>
      </c>
      <c r="Z51" s="20">
        <f>IFERROR(__xludf.DUMMYFUNCTION("iferror(PERCENTRANK.INC(FILTER($R$2:$R$425, $T$2:$T$425&lt;4.25), $R51), 0.01)"),0.58)</f>
        <v>0.58</v>
      </c>
      <c r="AA51" s="20">
        <f>IFERROR(__xludf.DUMMYFUNCTION("iferror(PERCENTRANK.INC(FILTER($R$2:$R$425, $T$2:$T$425&gt;4.1), $R51), 0.01)"),0.54)</f>
        <v>0.54</v>
      </c>
    </row>
    <row r="52" ht="14.25" customHeight="1">
      <c r="A52" s="14" t="s">
        <v>1565</v>
      </c>
      <c r="B52" s="14" t="s">
        <v>930</v>
      </c>
      <c r="C52" s="14">
        <v>16.0</v>
      </c>
      <c r="D52" s="14" t="s">
        <v>38</v>
      </c>
      <c r="E52" s="14" t="s">
        <v>164</v>
      </c>
      <c r="F52" s="14">
        <v>15.0</v>
      </c>
      <c r="G52" s="14">
        <v>32.0</v>
      </c>
      <c r="H52" s="14">
        <v>21.0</v>
      </c>
      <c r="I52" s="42">
        <v>0.656</v>
      </c>
      <c r="J52" s="14">
        <v>1.0</v>
      </c>
      <c r="K52" s="14">
        <v>1.0</v>
      </c>
      <c r="L52" s="14">
        <v>2.0</v>
      </c>
      <c r="M52" s="14">
        <v>2.0</v>
      </c>
      <c r="N52" s="14">
        <v>211.0</v>
      </c>
      <c r="O52" s="20">
        <v>1.8521279999999998</v>
      </c>
      <c r="P52" s="20">
        <v>21.513145107998486</v>
      </c>
      <c r="Q52" s="15"/>
      <c r="R52" s="20">
        <v>1.8521279999999998</v>
      </c>
      <c r="U52" s="14">
        <f t="array" ref="U52">XLOOKUP(E52, 'Conference Match'!$A$2:$A$25, 'Conference Match'!$C$2:$C$25)</f>
        <v>1</v>
      </c>
      <c r="V52" s="20">
        <f t="shared" si="1"/>
        <v>0.2778192</v>
      </c>
      <c r="W52" s="20">
        <f t="shared" si="2"/>
        <v>5.90947514</v>
      </c>
      <c r="Y52" s="20">
        <f>IFERROR(__xludf.DUMMYFUNCTION("iferror(PERCENTRANK.INC(FILTER($R$2:$R$425, $T$2:$T$425&lt;3.75), $R52), 0.01)"),0.57)</f>
        <v>0.57</v>
      </c>
      <c r="Z52" s="20">
        <f>IFERROR(__xludf.DUMMYFUNCTION("iferror(PERCENTRANK.INC(FILTER($R$2:$R$425, $T$2:$T$425&lt;4.25), $R52), 0.01)"),0.568)</f>
        <v>0.568</v>
      </c>
      <c r="AA52" s="20">
        <f>IFERROR(__xludf.DUMMYFUNCTION("iferror(PERCENTRANK.INC(FILTER($R$2:$R$425, $T$2:$T$425&gt;4.1), $R52), 0.01)"),0.449)</f>
        <v>0.449</v>
      </c>
    </row>
    <row r="53" ht="14.25" customHeight="1">
      <c r="A53" s="14" t="s">
        <v>1566</v>
      </c>
      <c r="B53" s="14" t="s">
        <v>333</v>
      </c>
      <c r="C53" s="14">
        <v>16.0</v>
      </c>
      <c r="D53" s="14" t="s">
        <v>38</v>
      </c>
      <c r="E53" s="14" t="s">
        <v>149</v>
      </c>
      <c r="F53" s="14">
        <v>25.0</v>
      </c>
      <c r="G53" s="14">
        <v>12.0</v>
      </c>
      <c r="H53" s="14">
        <v>6.0</v>
      </c>
      <c r="I53" s="42">
        <v>0.5</v>
      </c>
      <c r="J53" s="14">
        <v>0.0</v>
      </c>
      <c r="K53" s="14">
        <v>1.0</v>
      </c>
      <c r="L53" s="14">
        <v>3.0</v>
      </c>
      <c r="M53" s="14">
        <v>3.0</v>
      </c>
      <c r="N53" s="14">
        <v>63.0</v>
      </c>
      <c r="O53" s="20">
        <v>1.8339999999999999</v>
      </c>
      <c r="P53" s="20">
        <v>20.92592352643922</v>
      </c>
      <c r="Q53" s="15"/>
      <c r="R53" s="20">
        <v>1.8339999999999999</v>
      </c>
      <c r="U53" s="14">
        <f t="array" ref="U53">XLOOKUP(E53, 'Conference Match'!$A$2:$A$25, 'Conference Match'!$C$2:$C$25)</f>
        <v>0.95</v>
      </c>
      <c r="V53" s="20">
        <f t="shared" si="1"/>
        <v>0.261345</v>
      </c>
      <c r="W53" s="20">
        <f t="shared" si="2"/>
        <v>5.559053443</v>
      </c>
      <c r="Y53" s="20">
        <f>IFERROR(__xludf.DUMMYFUNCTION("iferror(PERCENTRANK.INC(FILTER($R$2:$R$425, $T$2:$T$425&lt;3.75), $R53), 0.01)"),0.557)</f>
        <v>0.557</v>
      </c>
      <c r="Z53" s="20">
        <f>IFERROR(__xludf.DUMMYFUNCTION("iferror(PERCENTRANK.INC(FILTER($R$2:$R$425, $T$2:$T$425&lt;4.25), $R53), 0.01)"),0.556)</f>
        <v>0.556</v>
      </c>
      <c r="AA53" s="20">
        <f>IFERROR(__xludf.DUMMYFUNCTION("iferror(PERCENTRANK.INC(FILTER($R$2:$R$425, $T$2:$T$425&gt;4.1), $R53), 0.01)"),0.44)</f>
        <v>0.44</v>
      </c>
    </row>
    <row r="54" ht="14.25" customHeight="1">
      <c r="A54" s="14" t="s">
        <v>1567</v>
      </c>
      <c r="B54" s="14" t="s">
        <v>218</v>
      </c>
      <c r="C54" s="14">
        <v>14.0</v>
      </c>
      <c r="D54" s="14" t="s">
        <v>38</v>
      </c>
      <c r="E54" s="14" t="s">
        <v>219</v>
      </c>
      <c r="F54" s="14">
        <v>59.0</v>
      </c>
      <c r="G54" s="14">
        <v>27.0</v>
      </c>
      <c r="H54" s="14">
        <v>19.0</v>
      </c>
      <c r="I54" s="42">
        <v>0.704</v>
      </c>
      <c r="J54" s="14">
        <v>1.0</v>
      </c>
      <c r="K54" s="14">
        <v>0.0</v>
      </c>
      <c r="L54" s="14">
        <v>2.0</v>
      </c>
      <c r="M54" s="14">
        <v>3.0</v>
      </c>
      <c r="N54" s="14">
        <v>192.0</v>
      </c>
      <c r="O54" s="20">
        <v>1.831552</v>
      </c>
      <c r="P54" s="20">
        <v>20.84662528991798</v>
      </c>
      <c r="Q54" s="15"/>
      <c r="R54" s="20">
        <v>1.831552</v>
      </c>
      <c r="U54" s="14">
        <f t="array" ref="U54">XLOOKUP(E54, 'Conference Match'!$A$2:$A$25, 'Conference Match'!$C$2:$C$25)</f>
        <v>1</v>
      </c>
      <c r="V54" s="20">
        <f t="shared" si="1"/>
        <v>0.2747328</v>
      </c>
      <c r="W54" s="20">
        <f t="shared" si="2"/>
        <v>5.843824515</v>
      </c>
      <c r="Y54" s="20">
        <f>IFERROR(__xludf.DUMMYFUNCTION("iferror(PERCENTRANK.INC(FILTER($R$2:$R$425, $T$2:$T$425&lt;3.75), $R54), 0.01)"),0.544)</f>
        <v>0.544</v>
      </c>
      <c r="Z54" s="20">
        <f>IFERROR(__xludf.DUMMYFUNCTION("iferror(PERCENTRANK.INC(FILTER($R$2:$R$425, $T$2:$T$425&lt;4.25), $R54), 0.01)"),0.543)</f>
        <v>0.543</v>
      </c>
      <c r="AA54" s="20">
        <f>IFERROR(__xludf.DUMMYFUNCTION("iferror(PERCENTRANK.INC(FILTER($R$2:$R$425, $T$2:$T$425&gt;4.1), $R54), 0.01)"),0.439)</f>
        <v>0.439</v>
      </c>
    </row>
    <row r="55" ht="14.25" customHeight="1">
      <c r="A55" s="14" t="s">
        <v>1568</v>
      </c>
      <c r="B55" s="14" t="s">
        <v>449</v>
      </c>
      <c r="C55" s="14">
        <v>5.0</v>
      </c>
      <c r="D55" s="14" t="s">
        <v>38</v>
      </c>
      <c r="E55" s="14" t="s">
        <v>102</v>
      </c>
      <c r="F55" s="14">
        <v>26.0</v>
      </c>
      <c r="G55" s="14">
        <v>20.0</v>
      </c>
      <c r="H55" s="14">
        <v>9.0</v>
      </c>
      <c r="I55" s="42">
        <v>0.45</v>
      </c>
      <c r="J55" s="14">
        <v>0.0</v>
      </c>
      <c r="K55" s="14">
        <v>0.0</v>
      </c>
      <c r="L55" s="14">
        <v>3.0</v>
      </c>
      <c r="M55" s="14">
        <v>4.0</v>
      </c>
      <c r="N55" s="14">
        <v>99.0</v>
      </c>
      <c r="O55" s="20">
        <v>1.8145999999999998</v>
      </c>
      <c r="P55" s="20">
        <v>20.29749795923655</v>
      </c>
      <c r="Q55" s="15"/>
      <c r="R55" s="20">
        <v>1.8145999999999998</v>
      </c>
      <c r="U55" s="14">
        <f t="array" ref="U55">XLOOKUP(E55, 'Conference Match'!$A$2:$A$25, 'Conference Match'!$C$2:$C$25)</f>
        <v>1</v>
      </c>
      <c r="V55" s="20">
        <f t="shared" si="1"/>
        <v>0.27219</v>
      </c>
      <c r="W55" s="20">
        <f t="shared" si="2"/>
        <v>5.789736772</v>
      </c>
      <c r="Y55" s="20">
        <f>IFERROR(__xludf.DUMMYFUNCTION("iferror(PERCENTRANK.INC(FILTER($R$2:$R$425, $T$2:$T$425&lt;3.75), $R55), 0.01)"),0.532)</f>
        <v>0.532</v>
      </c>
      <c r="Z55" s="20">
        <f>IFERROR(__xludf.DUMMYFUNCTION("iferror(PERCENTRANK.INC(FILTER($R$2:$R$425, $T$2:$T$425&lt;4.25), $R55), 0.01)"),0.519)</f>
        <v>0.519</v>
      </c>
      <c r="AA55" s="20">
        <f>IFERROR(__xludf.DUMMYFUNCTION("iferror(PERCENTRANK.INC(FILTER($R$2:$R$425, $T$2:$T$425&gt;4.1), $R55), 0.01)"),0.431)</f>
        <v>0.431</v>
      </c>
    </row>
    <row r="56" ht="14.25" customHeight="1">
      <c r="A56" s="14" t="s">
        <v>1569</v>
      </c>
      <c r="B56" s="14" t="s">
        <v>351</v>
      </c>
      <c r="C56" s="14">
        <v>10.0</v>
      </c>
      <c r="D56" s="14" t="s">
        <v>38</v>
      </c>
      <c r="E56" s="14" t="s">
        <v>130</v>
      </c>
      <c r="F56" s="14">
        <v>33.0</v>
      </c>
      <c r="G56" s="14">
        <v>11.0</v>
      </c>
      <c r="H56" s="14">
        <v>5.0</v>
      </c>
      <c r="I56" s="42">
        <v>0.455</v>
      </c>
      <c r="J56" s="14">
        <v>0.0</v>
      </c>
      <c r="K56" s="14">
        <v>0.0</v>
      </c>
      <c r="L56" s="14">
        <v>3.0</v>
      </c>
      <c r="M56" s="14">
        <v>4.0</v>
      </c>
      <c r="N56" s="14">
        <v>54.0</v>
      </c>
      <c r="O56" s="20">
        <v>1.81454</v>
      </c>
      <c r="P56" s="20">
        <v>20.2955543750081</v>
      </c>
      <c r="Q56" s="15"/>
      <c r="R56" s="20">
        <v>1.81454</v>
      </c>
      <c r="U56" s="14">
        <f t="array" ref="U56">XLOOKUP(E56, 'Conference Match'!$A$2:$A$25, 'Conference Match'!$C$2:$C$25)</f>
        <v>1</v>
      </c>
      <c r="V56" s="20">
        <f t="shared" si="1"/>
        <v>0.272181</v>
      </c>
      <c r="W56" s="20">
        <f t="shared" si="2"/>
        <v>5.789545334</v>
      </c>
      <c r="Y56" s="20">
        <f>IFERROR(__xludf.DUMMYFUNCTION("iferror(PERCENTRANK.INC(FILTER($R$2:$R$425, $T$2:$T$425&lt;3.75), $R56), 0.01)"),0.519)</f>
        <v>0.519</v>
      </c>
      <c r="Z56" s="20">
        <f>IFERROR(__xludf.DUMMYFUNCTION("iferror(PERCENTRANK.INC(FILTER($R$2:$R$425, $T$2:$T$425&lt;4.25), $R56), 0.01)"),0.506)</f>
        <v>0.506</v>
      </c>
      <c r="AA56" s="20">
        <f>IFERROR(__xludf.DUMMYFUNCTION("iferror(PERCENTRANK.INC(FILTER($R$2:$R$425, $T$2:$T$425&gt;4.1), $R56), 0.01)"),0.431)</f>
        <v>0.431</v>
      </c>
    </row>
    <row r="57" ht="14.25" customHeight="1">
      <c r="A57" s="14" t="s">
        <v>1570</v>
      </c>
      <c r="B57" s="14" t="s">
        <v>218</v>
      </c>
      <c r="C57" s="14">
        <v>24.0</v>
      </c>
      <c r="D57" s="14" t="s">
        <v>38</v>
      </c>
      <c r="E57" s="14" t="s">
        <v>219</v>
      </c>
      <c r="F57" s="14">
        <v>8.0</v>
      </c>
      <c r="G57" s="14">
        <v>22.0</v>
      </c>
      <c r="H57" s="14">
        <v>12.0</v>
      </c>
      <c r="I57" s="42">
        <v>0.545</v>
      </c>
      <c r="J57" s="14">
        <v>0.0</v>
      </c>
      <c r="K57" s="14">
        <v>0.0</v>
      </c>
      <c r="L57" s="14">
        <v>3.0</v>
      </c>
      <c r="M57" s="14">
        <v>4.0</v>
      </c>
      <c r="N57" s="14">
        <v>157.0</v>
      </c>
      <c r="O57" s="20">
        <v>1.81346</v>
      </c>
      <c r="P57" s="20">
        <v>20.26056985889579</v>
      </c>
      <c r="Q57" s="15"/>
      <c r="R57" s="20">
        <v>1.81346</v>
      </c>
      <c r="U57" s="14">
        <f t="array" ref="U57">XLOOKUP(E57, 'Conference Match'!$A$2:$A$25, 'Conference Match'!$C$2:$C$25)</f>
        <v>1</v>
      </c>
      <c r="V57" s="20">
        <f t="shared" si="1"/>
        <v>0.272019</v>
      </c>
      <c r="W57" s="20">
        <f t="shared" si="2"/>
        <v>5.786099442</v>
      </c>
      <c r="Y57" s="20">
        <f>IFERROR(__xludf.DUMMYFUNCTION("iferror(PERCENTRANK.INC(FILTER($R$2:$R$425, $T$2:$T$425&lt;3.75), $R57), 0.01)"),0.506)</f>
        <v>0.506</v>
      </c>
      <c r="Z57" s="20">
        <f>IFERROR(__xludf.DUMMYFUNCTION("iferror(PERCENTRANK.INC(FILTER($R$2:$R$425, $T$2:$T$425&lt;4.25), $R57), 0.01)"),0.494)</f>
        <v>0.494</v>
      </c>
      <c r="AA57" s="20">
        <f>IFERROR(__xludf.DUMMYFUNCTION("iferror(PERCENTRANK.INC(FILTER($R$2:$R$425, $T$2:$T$425&gt;4.1), $R57), 0.01)"),0.43)</f>
        <v>0.43</v>
      </c>
    </row>
    <row r="58" ht="14.25" customHeight="1">
      <c r="A58" s="14" t="s">
        <v>1571</v>
      </c>
      <c r="B58" s="14" t="s">
        <v>930</v>
      </c>
      <c r="C58" s="14">
        <v>6.0</v>
      </c>
      <c r="D58" s="14" t="s">
        <v>38</v>
      </c>
      <c r="E58" s="14" t="s">
        <v>164</v>
      </c>
      <c r="F58" s="14">
        <v>23.0</v>
      </c>
      <c r="G58" s="14">
        <v>38.0</v>
      </c>
      <c r="H58" s="14">
        <v>22.0</v>
      </c>
      <c r="I58" s="42">
        <v>0.579</v>
      </c>
      <c r="J58" s="14">
        <v>0.0</v>
      </c>
      <c r="K58" s="14">
        <v>0.0</v>
      </c>
      <c r="L58" s="14">
        <v>2.0</v>
      </c>
      <c r="M58" s="14">
        <v>5.0</v>
      </c>
      <c r="N58" s="14">
        <v>203.0</v>
      </c>
      <c r="O58" s="20">
        <v>1.793052</v>
      </c>
      <c r="P58" s="20">
        <v>19.599492076654965</v>
      </c>
      <c r="Q58" s="15"/>
      <c r="R58" s="20">
        <v>1.793052</v>
      </c>
      <c r="U58" s="14">
        <f t="array" ref="U58">XLOOKUP(E58, 'Conference Match'!$A$2:$A$25, 'Conference Match'!$C$2:$C$25)</f>
        <v>1</v>
      </c>
      <c r="V58" s="20">
        <f t="shared" si="1"/>
        <v>0.2689578</v>
      </c>
      <c r="W58" s="20">
        <f t="shared" si="2"/>
        <v>5.720984844</v>
      </c>
      <c r="Y58" s="20">
        <f>IFERROR(__xludf.DUMMYFUNCTION("iferror(PERCENTRANK.INC(FILTER($R$2:$R$425, $T$2:$T$425&lt;3.75), $R58), 0.01)"),0.494)</f>
        <v>0.494</v>
      </c>
      <c r="Z58" s="20">
        <f>IFERROR(__xludf.DUMMYFUNCTION("iferror(PERCENTRANK.INC(FILTER($R$2:$R$425, $T$2:$T$425&lt;4.25), $R58), 0.01)"),0.481)</f>
        <v>0.481</v>
      </c>
      <c r="AA58" s="20">
        <f>IFERROR(__xludf.DUMMYFUNCTION("iferror(PERCENTRANK.INC(FILTER($R$2:$R$425, $T$2:$T$425&gt;4.1), $R58), 0.01)"),0.421)</f>
        <v>0.421</v>
      </c>
    </row>
    <row r="59" ht="14.25" customHeight="1">
      <c r="A59" s="14" t="s">
        <v>1572</v>
      </c>
      <c r="B59" s="14" t="s">
        <v>449</v>
      </c>
      <c r="C59" s="14">
        <v>4.0</v>
      </c>
      <c r="D59" s="14" t="s">
        <v>38</v>
      </c>
      <c r="E59" s="14" t="s">
        <v>102</v>
      </c>
      <c r="F59" s="14">
        <v>14.0</v>
      </c>
      <c r="G59" s="14">
        <v>21.0</v>
      </c>
      <c r="H59" s="14">
        <v>13.0</v>
      </c>
      <c r="I59" s="42">
        <v>0.619</v>
      </c>
      <c r="J59" s="14">
        <v>2.0</v>
      </c>
      <c r="K59" s="14">
        <v>0.0</v>
      </c>
      <c r="L59" s="14">
        <v>1.0</v>
      </c>
      <c r="M59" s="14">
        <v>1.0</v>
      </c>
      <c r="N59" s="14">
        <v>198.0</v>
      </c>
      <c r="O59" s="20">
        <v>1.772572</v>
      </c>
      <c r="P59" s="20">
        <v>18.936081993339986</v>
      </c>
      <c r="Q59" s="15"/>
      <c r="R59" s="20">
        <v>1.772572</v>
      </c>
      <c r="U59" s="14">
        <f t="array" ref="U59">XLOOKUP(E59, 'Conference Match'!$A$2:$A$25, 'Conference Match'!$C$2:$C$25)</f>
        <v>1</v>
      </c>
      <c r="V59" s="20">
        <f t="shared" si="1"/>
        <v>0.2658858</v>
      </c>
      <c r="W59" s="20">
        <f t="shared" si="2"/>
        <v>5.655640521</v>
      </c>
      <c r="Y59" s="20">
        <f>IFERROR(__xludf.DUMMYFUNCTION("iferror(PERCENTRANK.INC(FILTER($R$2:$R$425, $T$2:$T$425&lt;3.75), $R59), 0.01)"),0.481)</f>
        <v>0.481</v>
      </c>
      <c r="Z59" s="20">
        <f>IFERROR(__xludf.DUMMYFUNCTION("iferror(PERCENTRANK.INC(FILTER($R$2:$R$425, $T$2:$T$425&lt;4.25), $R59), 0.01)"),0.469)</f>
        <v>0.469</v>
      </c>
      <c r="AA59" s="20">
        <f>IFERROR(__xludf.DUMMYFUNCTION("iferror(PERCENTRANK.INC(FILTER($R$2:$R$425, $T$2:$T$425&gt;4.1), $R59), 0.01)"),0.411)</f>
        <v>0.411</v>
      </c>
    </row>
    <row r="60" ht="14.25" customHeight="1">
      <c r="A60" s="14" t="s">
        <v>1573</v>
      </c>
      <c r="B60" s="14" t="s">
        <v>333</v>
      </c>
      <c r="C60" s="14">
        <v>17.0</v>
      </c>
      <c r="D60" s="14" t="s">
        <v>38</v>
      </c>
      <c r="E60" s="14" t="s">
        <v>149</v>
      </c>
      <c r="F60" s="14">
        <v>52.0</v>
      </c>
      <c r="G60" s="14">
        <v>25.0</v>
      </c>
      <c r="H60" s="14">
        <v>13.0</v>
      </c>
      <c r="I60" s="42">
        <v>0.52</v>
      </c>
      <c r="J60" s="14">
        <v>1.0</v>
      </c>
      <c r="K60" s="14">
        <v>0.0</v>
      </c>
      <c r="L60" s="14">
        <v>2.0</v>
      </c>
      <c r="M60" s="14">
        <v>2.0</v>
      </c>
      <c r="N60" s="14">
        <v>122.0</v>
      </c>
      <c r="O60" s="20">
        <v>1.75376</v>
      </c>
      <c r="P60" s="20">
        <v>18.326703551576248</v>
      </c>
      <c r="Q60" s="15"/>
      <c r="R60" s="20">
        <v>1.75376</v>
      </c>
      <c r="U60" s="14">
        <f t="array" ref="U60">XLOOKUP(E60, 'Conference Match'!$A$2:$A$25, 'Conference Match'!$C$2:$C$25)</f>
        <v>0.95</v>
      </c>
      <c r="V60" s="20">
        <f t="shared" si="1"/>
        <v>0.2499108</v>
      </c>
      <c r="W60" s="20">
        <f t="shared" si="2"/>
        <v>5.315837277</v>
      </c>
      <c r="Y60" s="20">
        <f>IFERROR(__xludf.DUMMYFUNCTION("iferror(PERCENTRANK.INC(FILTER($R$2:$R$425, $T$2:$T$425&lt;3.75), $R60), 0.01)"),0.468)</f>
        <v>0.468</v>
      </c>
      <c r="Z60" s="20">
        <f>IFERROR(__xludf.DUMMYFUNCTION("iferror(PERCENTRANK.INC(FILTER($R$2:$R$425, $T$2:$T$425&lt;4.25), $R60), 0.01)"),0.457)</f>
        <v>0.457</v>
      </c>
      <c r="AA60" s="20">
        <f>IFERROR(__xludf.DUMMYFUNCTION("iferror(PERCENTRANK.INC(FILTER($R$2:$R$425, $T$2:$T$425&gt;4.1), $R60), 0.01)"),0.402)</f>
        <v>0.402</v>
      </c>
    </row>
    <row r="61" ht="14.25" customHeight="1">
      <c r="A61" s="14" t="s">
        <v>1574</v>
      </c>
      <c r="B61" s="14" t="s">
        <v>351</v>
      </c>
      <c r="C61" s="14">
        <v>3.0</v>
      </c>
      <c r="D61" s="14" t="s">
        <v>38</v>
      </c>
      <c r="E61" s="14" t="s">
        <v>130</v>
      </c>
      <c r="F61" s="14">
        <v>64.0</v>
      </c>
      <c r="G61" s="14">
        <v>34.0</v>
      </c>
      <c r="H61" s="14">
        <v>20.0</v>
      </c>
      <c r="I61" s="42">
        <v>0.588</v>
      </c>
      <c r="J61" s="14">
        <v>1.0</v>
      </c>
      <c r="K61" s="14">
        <v>1.0</v>
      </c>
      <c r="L61" s="14">
        <v>1.0</v>
      </c>
      <c r="M61" s="14">
        <v>2.0</v>
      </c>
      <c r="N61" s="14">
        <v>155.0</v>
      </c>
      <c r="O61" s="20">
        <v>1.752944</v>
      </c>
      <c r="P61" s="20">
        <v>18.300270806069168</v>
      </c>
      <c r="Q61" s="15"/>
      <c r="R61" s="20">
        <v>1.752944</v>
      </c>
      <c r="U61" s="14">
        <f t="array" ref="U61">XLOOKUP(E61, 'Conference Match'!$A$2:$A$25, 'Conference Match'!$C$2:$C$25)</f>
        <v>1</v>
      </c>
      <c r="V61" s="20">
        <f t="shared" si="1"/>
        <v>0.2629416</v>
      </c>
      <c r="W61" s="20">
        <f t="shared" si="2"/>
        <v>5.593014624</v>
      </c>
      <c r="Y61" s="20">
        <f>IFERROR(__xludf.DUMMYFUNCTION("iferror(PERCENTRANK.INC(FILTER($R$2:$R$425, $T$2:$T$425&lt;3.75), $R61), 0.01)"),0.456)</f>
        <v>0.456</v>
      </c>
      <c r="Z61" s="20">
        <f>IFERROR(__xludf.DUMMYFUNCTION("iferror(PERCENTRANK.INC(FILTER($R$2:$R$425, $T$2:$T$425&lt;4.25), $R61), 0.01)"),0.444)</f>
        <v>0.444</v>
      </c>
      <c r="AA61" s="20">
        <f>IFERROR(__xludf.DUMMYFUNCTION("iferror(PERCENTRANK.INC(FILTER($R$2:$R$425, $T$2:$T$425&gt;4.1), $R61), 0.01)"),0.401)</f>
        <v>0.401</v>
      </c>
    </row>
    <row r="62" ht="14.25" customHeight="1">
      <c r="A62" s="14" t="s">
        <v>1575</v>
      </c>
      <c r="B62" s="14" t="s">
        <v>161</v>
      </c>
      <c r="C62" s="14">
        <v>22.0</v>
      </c>
      <c r="D62" s="14" t="s">
        <v>38</v>
      </c>
      <c r="E62" s="14" t="s">
        <v>130</v>
      </c>
      <c r="F62" s="14">
        <v>36.0</v>
      </c>
      <c r="G62" s="14">
        <v>15.0</v>
      </c>
      <c r="H62" s="14">
        <v>9.0</v>
      </c>
      <c r="I62" s="42">
        <v>0.6</v>
      </c>
      <c r="J62" s="14">
        <v>2.0</v>
      </c>
      <c r="K62" s="14">
        <v>0.0</v>
      </c>
      <c r="L62" s="14">
        <v>0.0</v>
      </c>
      <c r="M62" s="14">
        <v>1.0</v>
      </c>
      <c r="N62" s="14">
        <v>71.0</v>
      </c>
      <c r="O62" s="20">
        <v>1.6728</v>
      </c>
      <c r="P62" s="20">
        <v>15.70416056597173</v>
      </c>
      <c r="Q62" s="15"/>
      <c r="R62" s="20">
        <v>1.6728</v>
      </c>
      <c r="U62" s="14">
        <f t="array" ref="U62">XLOOKUP(E62, 'Conference Match'!$A$2:$A$25, 'Conference Match'!$C$2:$C$25)</f>
        <v>1</v>
      </c>
      <c r="V62" s="20">
        <f t="shared" si="1"/>
        <v>0.25092</v>
      </c>
      <c r="W62" s="20">
        <f t="shared" si="2"/>
        <v>5.337303909</v>
      </c>
      <c r="Y62" s="20">
        <f>IFERROR(__xludf.DUMMYFUNCTION("iferror(PERCENTRANK.INC(FILTER($R$2:$R$425, $T$2:$T$425&lt;3.75), $R62), 0.01)"),0.443)</f>
        <v>0.443</v>
      </c>
      <c r="Z62" s="20">
        <f>IFERROR(__xludf.DUMMYFUNCTION("iferror(PERCENTRANK.INC(FILTER($R$2:$R$425, $T$2:$T$425&lt;4.25), $R62), 0.01)"),0.432)</f>
        <v>0.432</v>
      </c>
      <c r="AA62" s="20">
        <f>IFERROR(__xludf.DUMMYFUNCTION("iferror(PERCENTRANK.INC(FILTER($R$2:$R$425, $T$2:$T$425&gt;4.1), $R62), 0.01)"),0.349)</f>
        <v>0.349</v>
      </c>
    </row>
    <row r="63" ht="14.25" customHeight="1">
      <c r="A63" s="14" t="s">
        <v>1576</v>
      </c>
      <c r="B63" s="14" t="s">
        <v>161</v>
      </c>
      <c r="C63" s="14">
        <v>21.0</v>
      </c>
      <c r="D63" s="14" t="s">
        <v>38</v>
      </c>
      <c r="E63" s="14" t="s">
        <v>130</v>
      </c>
      <c r="F63" s="14">
        <v>97.0</v>
      </c>
      <c r="G63" s="14">
        <v>31.0</v>
      </c>
      <c r="H63" s="14">
        <v>21.0</v>
      </c>
      <c r="I63" s="42">
        <v>0.677</v>
      </c>
      <c r="J63" s="14">
        <v>1.0</v>
      </c>
      <c r="K63" s="14">
        <v>0.0</v>
      </c>
      <c r="L63" s="14">
        <v>1.0</v>
      </c>
      <c r="M63" s="14">
        <v>2.0</v>
      </c>
      <c r="N63" s="14">
        <v>213.0</v>
      </c>
      <c r="O63" s="20">
        <v>1.6518759999999997</v>
      </c>
      <c r="P63" s="20">
        <v>15.026367959366121</v>
      </c>
      <c r="Q63" s="15"/>
      <c r="R63" s="20">
        <v>1.6518759999999997</v>
      </c>
      <c r="U63" s="14">
        <f t="array" ref="U63">XLOOKUP(E63, 'Conference Match'!$A$2:$A$25, 'Conference Match'!$C$2:$C$25)</f>
        <v>1</v>
      </c>
      <c r="V63" s="20">
        <f t="shared" si="1"/>
        <v>0.2477814</v>
      </c>
      <c r="W63" s="20">
        <f t="shared" si="2"/>
        <v>5.270542941</v>
      </c>
      <c r="Y63" s="20">
        <f>IFERROR(__xludf.DUMMYFUNCTION("iferror(PERCENTRANK.INC(FILTER($R$2:$R$425, $T$2:$T$425&lt;3.75), $R63), 0.01)"),0.43)</f>
        <v>0.43</v>
      </c>
      <c r="Z63" s="20">
        <f>IFERROR(__xludf.DUMMYFUNCTION("iferror(PERCENTRANK.INC(FILTER($R$2:$R$425, $T$2:$T$425&lt;4.25), $R63), 0.01)"),0.42)</f>
        <v>0.42</v>
      </c>
      <c r="AA63" s="20">
        <f>IFERROR(__xludf.DUMMYFUNCTION("iferror(PERCENTRANK.INC(FILTER($R$2:$R$425, $T$2:$T$425&gt;4.1), $R63), 0.01)"),0.335)</f>
        <v>0.335</v>
      </c>
    </row>
    <row r="64" ht="14.25" customHeight="1">
      <c r="A64" s="14" t="s">
        <v>1577</v>
      </c>
      <c r="B64" s="14" t="s">
        <v>351</v>
      </c>
      <c r="C64" s="14">
        <v>30.0</v>
      </c>
      <c r="D64" s="14" t="s">
        <v>38</v>
      </c>
      <c r="E64" s="14" t="s">
        <v>130</v>
      </c>
      <c r="F64" s="14">
        <v>7.0</v>
      </c>
      <c r="G64" s="14">
        <v>34.0</v>
      </c>
      <c r="H64" s="14">
        <v>25.0</v>
      </c>
      <c r="I64" s="42">
        <v>0.735</v>
      </c>
      <c r="J64" s="14">
        <v>0.0</v>
      </c>
      <c r="K64" s="14">
        <v>1.0</v>
      </c>
      <c r="L64" s="14">
        <v>2.0</v>
      </c>
      <c r="M64" s="14">
        <v>2.0</v>
      </c>
      <c r="N64" s="14">
        <v>170.0</v>
      </c>
      <c r="O64" s="20">
        <v>1.6511799999999999</v>
      </c>
      <c r="P64" s="20">
        <v>15.00382238231597</v>
      </c>
      <c r="Q64" s="15"/>
      <c r="R64" s="20">
        <v>1.6511799999999999</v>
      </c>
      <c r="U64" s="14">
        <f t="array" ref="U64">XLOOKUP(E64, 'Conference Match'!$A$2:$A$25, 'Conference Match'!$C$2:$C$25)</f>
        <v>1</v>
      </c>
      <c r="V64" s="20">
        <f t="shared" si="1"/>
        <v>0.247677</v>
      </c>
      <c r="W64" s="20">
        <f t="shared" si="2"/>
        <v>5.268322255</v>
      </c>
      <c r="Y64" s="20">
        <f>IFERROR(__xludf.DUMMYFUNCTION("iferror(PERCENTRANK.INC(FILTER($R$2:$R$425, $T$2:$T$425&lt;3.75), $R64), 0.01)"),0.418)</f>
        <v>0.418</v>
      </c>
      <c r="Z64" s="20">
        <f>IFERROR(__xludf.DUMMYFUNCTION("iferror(PERCENTRANK.INC(FILTER($R$2:$R$425, $T$2:$T$425&lt;4.25), $R64), 0.01)"),0.407)</f>
        <v>0.407</v>
      </c>
      <c r="AA64" s="20">
        <f>IFERROR(__xludf.DUMMYFUNCTION("iferror(PERCENTRANK.INC(FILTER($R$2:$R$425, $T$2:$T$425&gt;4.1), $R64), 0.01)"),0.334)</f>
        <v>0.334</v>
      </c>
    </row>
    <row r="65" ht="14.25" customHeight="1">
      <c r="A65" s="14" t="s">
        <v>1578</v>
      </c>
      <c r="B65" s="14" t="s">
        <v>349</v>
      </c>
      <c r="C65" s="14">
        <v>4.0</v>
      </c>
      <c r="D65" s="14" t="s">
        <v>38</v>
      </c>
      <c r="E65" s="14" t="s">
        <v>164</v>
      </c>
      <c r="F65" s="14">
        <v>77.0</v>
      </c>
      <c r="G65" s="14">
        <v>32.0</v>
      </c>
      <c r="H65" s="14">
        <v>21.0</v>
      </c>
      <c r="I65" s="42">
        <v>0.656</v>
      </c>
      <c r="J65" s="14">
        <v>0.0</v>
      </c>
      <c r="K65" s="14">
        <v>0.0</v>
      </c>
      <c r="L65" s="14">
        <v>2.0</v>
      </c>
      <c r="M65" s="14">
        <v>3.0</v>
      </c>
      <c r="N65" s="14">
        <v>211.0</v>
      </c>
      <c r="O65" s="20">
        <v>1.6321279999999998</v>
      </c>
      <c r="P65" s="20">
        <v>14.386669603638383</v>
      </c>
      <c r="Q65" s="15"/>
      <c r="R65" s="20">
        <v>1.6321279999999998</v>
      </c>
      <c r="U65" s="14">
        <f t="array" ref="U65">XLOOKUP(E65, 'Conference Match'!$A$2:$A$25, 'Conference Match'!$C$2:$C$25)</f>
        <v>1</v>
      </c>
      <c r="V65" s="20">
        <f t="shared" si="1"/>
        <v>0.2448192</v>
      </c>
      <c r="W65" s="20">
        <f t="shared" si="2"/>
        <v>5.207534166</v>
      </c>
      <c r="Y65" s="20">
        <f>IFERROR(__xludf.DUMMYFUNCTION("iferror(PERCENTRANK.INC(FILTER($R$2:$R$425, $T$2:$T$425&lt;3.75), $R65), 0.01)"),0.405)</f>
        <v>0.405</v>
      </c>
      <c r="Z65" s="20">
        <f>IFERROR(__xludf.DUMMYFUNCTION("iferror(PERCENTRANK.INC(FILTER($R$2:$R$425, $T$2:$T$425&lt;4.25), $R65), 0.01)"),0.395)</f>
        <v>0.395</v>
      </c>
      <c r="AA65" s="20">
        <f>IFERROR(__xludf.DUMMYFUNCTION("iferror(PERCENTRANK.INC(FILTER($R$2:$R$425, $T$2:$T$425&gt;4.1), $R65), 0.01)"),0.242)</f>
        <v>0.242</v>
      </c>
    </row>
    <row r="66" ht="14.25" customHeight="1">
      <c r="A66" s="14" t="s">
        <v>1579</v>
      </c>
      <c r="B66" s="14" t="s">
        <v>930</v>
      </c>
      <c r="C66" s="14">
        <v>1.0</v>
      </c>
      <c r="D66" s="14" t="s">
        <v>38</v>
      </c>
      <c r="E66" s="14" t="s">
        <v>164</v>
      </c>
      <c r="F66" s="14">
        <v>24.0</v>
      </c>
      <c r="G66" s="14">
        <v>25.0</v>
      </c>
      <c r="H66" s="14">
        <v>17.0</v>
      </c>
      <c r="I66" s="42">
        <v>0.68</v>
      </c>
      <c r="J66" s="14">
        <v>0.0</v>
      </c>
      <c r="K66" s="14">
        <v>0.0</v>
      </c>
      <c r="L66" s="14">
        <v>2.0</v>
      </c>
      <c r="M66" s="14">
        <v>3.0</v>
      </c>
      <c r="N66" s="14">
        <v>121.0</v>
      </c>
      <c r="O66" s="20">
        <v>1.6318399999999997</v>
      </c>
      <c r="P66" s="20">
        <v>14.377340399341765</v>
      </c>
      <c r="Q66" s="15"/>
      <c r="R66" s="20">
        <v>1.6318399999999997</v>
      </c>
      <c r="U66" s="14">
        <f t="array" ref="U66">XLOOKUP(E66, 'Conference Match'!$A$2:$A$25, 'Conference Match'!$C$2:$C$25)</f>
        <v>1</v>
      </c>
      <c r="V66" s="20">
        <f t="shared" si="1"/>
        <v>0.244776</v>
      </c>
      <c r="W66" s="20">
        <f t="shared" si="2"/>
        <v>5.206615262</v>
      </c>
      <c r="Y66" s="20">
        <f>IFERROR(__xludf.DUMMYFUNCTION("iferror(PERCENTRANK.INC(FILTER($R$2:$R$425, $T$2:$T$425&lt;3.75), $R66), 0.01)"),0.392)</f>
        <v>0.392</v>
      </c>
      <c r="Z66" s="20">
        <f>IFERROR(__xludf.DUMMYFUNCTION("iferror(PERCENTRANK.INC(FILTER($R$2:$R$425, $T$2:$T$425&lt;4.25), $R66), 0.01)"),0.383)</f>
        <v>0.383</v>
      </c>
      <c r="AA66" s="20">
        <f>IFERROR(__xludf.DUMMYFUNCTION("iferror(PERCENTRANK.INC(FILTER($R$2:$R$425, $T$2:$T$425&gt;4.1), $R66), 0.01)"),0.236)</f>
        <v>0.236</v>
      </c>
    </row>
    <row r="67" ht="14.25" customHeight="1">
      <c r="A67" s="14" t="s">
        <v>1580</v>
      </c>
      <c r="B67" s="14" t="s">
        <v>855</v>
      </c>
      <c r="C67" s="14">
        <v>3.0</v>
      </c>
      <c r="D67" s="14" t="s">
        <v>38</v>
      </c>
      <c r="E67" s="14" t="s">
        <v>179</v>
      </c>
      <c r="F67" s="14">
        <v>62.0</v>
      </c>
      <c r="G67" s="14">
        <v>21.0</v>
      </c>
      <c r="H67" s="14">
        <v>9.0</v>
      </c>
      <c r="I67" s="42">
        <v>0.429</v>
      </c>
      <c r="J67" s="14">
        <v>2.0</v>
      </c>
      <c r="K67" s="14">
        <v>0.0</v>
      </c>
      <c r="L67" s="14">
        <v>0.0</v>
      </c>
      <c r="M67" s="14">
        <v>0.0</v>
      </c>
      <c r="N67" s="14">
        <v>176.0</v>
      </c>
      <c r="O67" s="20">
        <v>1.594852</v>
      </c>
      <c r="P67" s="20">
        <v>13.179185508635992</v>
      </c>
      <c r="Q67" s="15"/>
      <c r="R67" s="20">
        <v>1.594852</v>
      </c>
      <c r="U67" s="14">
        <f t="array" ref="U67">XLOOKUP(E67, 'Conference Match'!$A$2:$A$25, 'Conference Match'!$C$2:$C$25)</f>
        <v>1</v>
      </c>
      <c r="V67" s="20">
        <f t="shared" si="1"/>
        <v>0.2392278</v>
      </c>
      <c r="W67" s="20">
        <f t="shared" si="2"/>
        <v>5.08859984</v>
      </c>
      <c r="Y67" s="20">
        <f>IFERROR(__xludf.DUMMYFUNCTION("iferror(PERCENTRANK.INC(FILTER($R$2:$R$425, $T$2:$T$425&lt;3.75), $R67), 0.01)"),0.38)</f>
        <v>0.38</v>
      </c>
      <c r="Z67" s="20">
        <f>IFERROR(__xludf.DUMMYFUNCTION("iferror(PERCENTRANK.INC(FILTER($R$2:$R$425, $T$2:$T$425&lt;4.25), $R67), 0.01)"),0.37)</f>
        <v>0.37</v>
      </c>
      <c r="AA67" s="20">
        <f>IFERROR(__xludf.DUMMYFUNCTION("iferror(PERCENTRANK.INC(FILTER($R$2:$R$425, $T$2:$T$425&gt;4.1), $R67), 0.01)"),0.124)</f>
        <v>0.124</v>
      </c>
    </row>
    <row r="68" ht="14.25" customHeight="1">
      <c r="A68" s="14" t="s">
        <v>1581</v>
      </c>
      <c r="B68" s="14" t="s">
        <v>311</v>
      </c>
      <c r="C68" s="14">
        <v>2.0</v>
      </c>
      <c r="D68" s="14" t="s">
        <v>38</v>
      </c>
      <c r="E68" s="14" t="s">
        <v>164</v>
      </c>
      <c r="F68" s="14">
        <v>21.0</v>
      </c>
      <c r="G68" s="14">
        <v>16.0</v>
      </c>
      <c r="H68" s="14">
        <v>7.0</v>
      </c>
      <c r="I68" s="42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1"/>
        <v>0.2362116</v>
      </c>
      <c r="W68" s="20">
        <f t="shared" si="2"/>
        <v>5.024442436</v>
      </c>
      <c r="Y68" s="20">
        <f>IFERROR(__xludf.DUMMYFUNCTION("iferror(PERCENTRANK.INC(FILTER($R$2:$R$425, $T$2:$T$425&lt;3.75), $R68), 0.01)"),0.367)</f>
        <v>0.367</v>
      </c>
      <c r="Z68" s="20">
        <f>IFERROR(__xludf.DUMMYFUNCTION("iferror(PERCENTRANK.INC(FILTER($R$2:$R$425, $T$2:$T$425&lt;4.25), $R68), 0.01)"),0.358)</f>
        <v>0.358</v>
      </c>
      <c r="AA68" s="20">
        <f>IFERROR(__xludf.DUMMYFUNCTION("iferror(PERCENTRANK.INC(FILTER($R$2:$R$425, $T$2:$T$425&gt;4.1), $R68), 0.01)"),0.119)</f>
        <v>0.119</v>
      </c>
    </row>
    <row r="69" ht="14.25" customHeight="1">
      <c r="A69" s="14" t="s">
        <v>1582</v>
      </c>
      <c r="B69" s="14" t="s">
        <v>412</v>
      </c>
      <c r="C69" s="14">
        <v>3.0</v>
      </c>
      <c r="D69" s="14" t="s">
        <v>38</v>
      </c>
      <c r="E69" s="14" t="s">
        <v>149</v>
      </c>
      <c r="F69" s="14">
        <v>34.0</v>
      </c>
      <c r="G69" s="14">
        <v>17.0</v>
      </c>
      <c r="H69" s="14">
        <v>11.0</v>
      </c>
      <c r="I69" s="42">
        <v>0.647</v>
      </c>
      <c r="J69" s="14">
        <v>1.0</v>
      </c>
      <c r="K69" s="14">
        <v>0.0</v>
      </c>
      <c r="L69" s="14">
        <v>1.0</v>
      </c>
      <c r="M69" s="14">
        <v>1.0</v>
      </c>
      <c r="N69" s="14">
        <v>85.0</v>
      </c>
      <c r="O69" s="20">
        <v>1.5722359999999997</v>
      </c>
      <c r="P69" s="20">
        <v>12.446583826787766</v>
      </c>
      <c r="Q69" s="15"/>
      <c r="R69" s="20">
        <v>1.5722359999999997</v>
      </c>
      <c r="U69" s="14">
        <f t="array" ref="U69">XLOOKUP(E69, 'Conference Match'!$A$2:$A$25, 'Conference Match'!$C$2:$C$25)</f>
        <v>0.95</v>
      </c>
      <c r="V69" s="20">
        <f t="shared" si="1"/>
        <v>0.22404363</v>
      </c>
      <c r="W69" s="20">
        <f t="shared" si="2"/>
        <v>4.765618293</v>
      </c>
      <c r="Y69" s="20">
        <f>IFERROR(__xludf.DUMMYFUNCTION("iferror(PERCENTRANK.INC(FILTER($R$2:$R$425, $T$2:$T$425&lt;3.75), $R69), 0.01)"),0.354)</f>
        <v>0.354</v>
      </c>
      <c r="Z69" s="20">
        <f>IFERROR(__xludf.DUMMYFUNCTION("iferror(PERCENTRANK.INC(FILTER($R$2:$R$425, $T$2:$T$425&lt;4.25), $R69), 0.01)"),0.346)</f>
        <v>0.346</v>
      </c>
      <c r="AA69" s="20">
        <f>IFERROR(__xludf.DUMMYFUNCTION("iferror(PERCENTRANK.INC(FILTER($R$2:$R$425, $T$2:$T$425&gt;4.1), $R69), 0.01)"),0.119)</f>
        <v>0.119</v>
      </c>
    </row>
    <row r="70" ht="14.25" customHeight="1">
      <c r="A70" s="14" t="s">
        <v>1583</v>
      </c>
      <c r="B70" s="14" t="s">
        <v>161</v>
      </c>
      <c r="C70" s="14">
        <v>5.0</v>
      </c>
      <c r="D70" s="14" t="s">
        <v>38</v>
      </c>
      <c r="E70" s="14" t="s">
        <v>130</v>
      </c>
      <c r="F70" s="14">
        <v>89.0</v>
      </c>
      <c r="G70" s="14">
        <v>26.0</v>
      </c>
      <c r="H70" s="14">
        <v>10.0</v>
      </c>
      <c r="I70" s="42">
        <v>0.385</v>
      </c>
      <c r="J70" s="14">
        <v>0.0</v>
      </c>
      <c r="K70" s="14">
        <v>0.0</v>
      </c>
      <c r="L70" s="14">
        <v>2.0</v>
      </c>
      <c r="M70" s="14">
        <v>2.0</v>
      </c>
      <c r="N70" s="14">
        <v>192.0</v>
      </c>
      <c r="O70" s="20">
        <v>1.5553799999999998</v>
      </c>
      <c r="P70" s="20">
        <v>11.900566230871886</v>
      </c>
      <c r="Q70" s="15"/>
      <c r="R70" s="20">
        <v>1.5553799999999998</v>
      </c>
      <c r="U70" s="14">
        <f t="array" ref="U70">XLOOKUP(E70, 'Conference Match'!$A$2:$A$25, 'Conference Match'!$C$2:$C$25)</f>
        <v>1</v>
      </c>
      <c r="V70" s="20">
        <f t="shared" si="1"/>
        <v>0.233307</v>
      </c>
      <c r="W70" s="20">
        <f t="shared" si="2"/>
        <v>4.962658867</v>
      </c>
      <c r="Y70" s="20">
        <f>IFERROR(__xludf.DUMMYFUNCTION("iferror(PERCENTRANK.INC(FILTER($R$2:$R$425, $T$2:$T$425&lt;3.75), $R70), 0.01)"),0.342)</f>
        <v>0.342</v>
      </c>
      <c r="Z70" s="20">
        <f>IFERROR(__xludf.DUMMYFUNCTION("iferror(PERCENTRANK.INC(FILTER($R$2:$R$425, $T$2:$T$425&lt;4.25), $R70), 0.01)"),0.333)</f>
        <v>0.333</v>
      </c>
      <c r="AA70" s="20">
        <f>IFERROR(__xludf.DUMMYFUNCTION("iferror(PERCENTRANK.INC(FILTER($R$2:$R$425, $T$2:$T$425&gt;4.1), $R70), 0.01)"),0.114)</f>
        <v>0.114</v>
      </c>
    </row>
    <row r="71" ht="14.25" customHeight="1">
      <c r="A71" s="14" t="s">
        <v>1584</v>
      </c>
      <c r="B71" s="14" t="s">
        <v>419</v>
      </c>
      <c r="C71" s="14">
        <v>3.0</v>
      </c>
      <c r="D71" s="14" t="s">
        <v>38</v>
      </c>
      <c r="E71" s="14" t="s">
        <v>164</v>
      </c>
      <c r="F71" s="14">
        <v>47.0</v>
      </c>
      <c r="G71" s="14">
        <v>12.0</v>
      </c>
      <c r="H71" s="14">
        <v>6.0</v>
      </c>
      <c r="I71" s="42">
        <v>0.5</v>
      </c>
      <c r="J71" s="14">
        <v>0.0</v>
      </c>
      <c r="K71" s="14">
        <v>0.0</v>
      </c>
      <c r="L71" s="14">
        <v>2.0</v>
      </c>
      <c r="M71" s="14">
        <v>2.0</v>
      </c>
      <c r="N71" s="14">
        <v>93.0</v>
      </c>
      <c r="O71" s="20">
        <v>1.5539999999999998</v>
      </c>
      <c r="P71" s="20">
        <v>11.855863793617264</v>
      </c>
      <c r="Q71" s="15"/>
      <c r="R71" s="20">
        <v>1.5539999999999998</v>
      </c>
      <c r="U71" s="14">
        <f t="array" ref="U71">XLOOKUP(E71, 'Conference Match'!$A$2:$A$25, 'Conference Match'!$C$2:$C$25)</f>
        <v>1</v>
      </c>
      <c r="V71" s="20">
        <f t="shared" si="1"/>
        <v>0.2331</v>
      </c>
      <c r="W71" s="20">
        <f t="shared" si="2"/>
        <v>4.958255783</v>
      </c>
      <c r="Y71" s="20">
        <f>IFERROR(__xludf.DUMMYFUNCTION("iferror(PERCENTRANK.INC(FILTER($R$2:$R$425, $T$2:$T$425&lt;3.75), $R71), 0.01)"),0.329)</f>
        <v>0.329</v>
      </c>
      <c r="Z71" s="20">
        <f>IFERROR(__xludf.DUMMYFUNCTION("iferror(PERCENTRANK.INC(FILTER($R$2:$R$425, $T$2:$T$425&lt;4.25), $R71), 0.01)"),0.321)</f>
        <v>0.321</v>
      </c>
      <c r="AA71" s="20">
        <f>IFERROR(__xludf.DUMMYFUNCTION("iferror(PERCENTRANK.INC(FILTER($R$2:$R$425, $T$2:$T$425&gt;4.1), $R71), 0.01)"),0.114)</f>
        <v>0.114</v>
      </c>
    </row>
    <row r="72" ht="14.25" customHeight="1">
      <c r="A72" s="14" t="s">
        <v>1585</v>
      </c>
      <c r="B72" s="14" t="s">
        <v>351</v>
      </c>
      <c r="C72" s="14">
        <v>7.0</v>
      </c>
      <c r="D72" s="14" t="s">
        <v>38</v>
      </c>
      <c r="E72" s="14" t="s">
        <v>130</v>
      </c>
      <c r="F72" s="14">
        <v>25.0</v>
      </c>
      <c r="G72" s="14">
        <v>25.0</v>
      </c>
      <c r="H72" s="14">
        <v>15.0</v>
      </c>
      <c r="I72" s="42">
        <v>0.6</v>
      </c>
      <c r="J72" s="14">
        <v>0.0</v>
      </c>
      <c r="K72" s="14">
        <v>0.0</v>
      </c>
      <c r="L72" s="14">
        <v>2.0</v>
      </c>
      <c r="M72" s="14">
        <v>2.0</v>
      </c>
      <c r="N72" s="14">
        <v>289.0</v>
      </c>
      <c r="O72" s="20">
        <v>1.5528</v>
      </c>
      <c r="P72" s="20">
        <v>11.816992109048032</v>
      </c>
      <c r="Q72" s="15"/>
      <c r="R72" s="20">
        <v>1.5528</v>
      </c>
      <c r="U72" s="14">
        <f t="array" ref="U72">XLOOKUP(E72, 'Conference Match'!$A$2:$A$25, 'Conference Match'!$C$2:$C$25)</f>
        <v>1</v>
      </c>
      <c r="V72" s="20">
        <f t="shared" si="1"/>
        <v>0.23292</v>
      </c>
      <c r="W72" s="20">
        <f t="shared" si="2"/>
        <v>4.954427014</v>
      </c>
      <c r="Y72" s="20">
        <f>IFERROR(__xludf.DUMMYFUNCTION("iferror(PERCENTRANK.INC(FILTER($R$2:$R$425, $T$2:$T$425&lt;3.75), $R72), 0.01)"),0.316)</f>
        <v>0.316</v>
      </c>
      <c r="Z72" s="20">
        <f>IFERROR(__xludf.DUMMYFUNCTION("iferror(PERCENTRANK.INC(FILTER($R$2:$R$425, $T$2:$T$425&lt;4.25), $R72), 0.01)"),0.309)</f>
        <v>0.309</v>
      </c>
      <c r="AA72" s="20">
        <f>IFERROR(__xludf.DUMMYFUNCTION("iferror(PERCENTRANK.INC(FILTER($R$2:$R$425, $T$2:$T$425&gt;4.1), $R72), 0.01)"),0.114)</f>
        <v>0.114</v>
      </c>
    </row>
    <row r="73" ht="14.25" customHeight="1">
      <c r="A73" s="14" t="s">
        <v>1586</v>
      </c>
      <c r="B73" s="14" t="s">
        <v>412</v>
      </c>
      <c r="C73" s="14">
        <v>9.0</v>
      </c>
      <c r="D73" s="14" t="s">
        <v>38</v>
      </c>
      <c r="E73" s="14" t="s">
        <v>149</v>
      </c>
      <c r="F73" s="14">
        <v>47.0</v>
      </c>
      <c r="G73" s="14">
        <v>23.0</v>
      </c>
      <c r="H73" s="14">
        <v>8.0</v>
      </c>
      <c r="I73" s="42">
        <v>0.348</v>
      </c>
      <c r="J73" s="14">
        <v>0.0</v>
      </c>
      <c r="K73" s="14">
        <v>0.0</v>
      </c>
      <c r="L73" s="14">
        <v>0.0</v>
      </c>
      <c r="M73" s="14">
        <v>4.0</v>
      </c>
      <c r="N73" s="14">
        <v>161.0</v>
      </c>
      <c r="O73" s="20">
        <v>1.515824</v>
      </c>
      <c r="P73" s="20">
        <v>10.619225935187947</v>
      </c>
      <c r="Q73" s="15"/>
      <c r="R73" s="20">
        <v>1.515824</v>
      </c>
      <c r="U73" s="14">
        <f t="array" ref="U73">XLOOKUP(E73, 'Conference Match'!$A$2:$A$25, 'Conference Match'!$C$2:$C$25)</f>
        <v>0.95</v>
      </c>
      <c r="V73" s="20">
        <f t="shared" si="1"/>
        <v>0.21600492</v>
      </c>
      <c r="W73" s="20">
        <f t="shared" si="2"/>
        <v>4.594627386</v>
      </c>
      <c r="Y73" s="20">
        <f>IFERROR(__xludf.DUMMYFUNCTION("iferror(PERCENTRANK.INC(FILTER($R$2:$R$425, $T$2:$T$425&lt;3.75), $R73), 0.01)"),0.304)</f>
        <v>0.304</v>
      </c>
      <c r="Z73" s="20">
        <f>IFERROR(__xludf.DUMMYFUNCTION("iferror(PERCENTRANK.INC(FILTER($R$2:$R$425, $T$2:$T$425&lt;4.25), $R73), 0.01)"),0.296)</f>
        <v>0.296</v>
      </c>
      <c r="AA73" s="20">
        <f>IFERROR(__xludf.DUMMYFUNCTION("iferror(PERCENTRANK.INC(FILTER($R$2:$R$425, $T$2:$T$425&gt;4.1), $R73), 0.01)"),0.104)</f>
        <v>0.104</v>
      </c>
    </row>
    <row r="74" ht="14.25" customHeight="1">
      <c r="A74" s="14" t="s">
        <v>1587</v>
      </c>
      <c r="B74" s="14" t="s">
        <v>218</v>
      </c>
      <c r="C74" s="14">
        <v>21.0</v>
      </c>
      <c r="D74" s="14" t="s">
        <v>38</v>
      </c>
      <c r="E74" s="14" t="s">
        <v>219</v>
      </c>
      <c r="F74" s="14">
        <v>5.0</v>
      </c>
      <c r="G74" s="14">
        <v>21.0</v>
      </c>
      <c r="H74" s="14">
        <v>11.0</v>
      </c>
      <c r="I74" s="42">
        <v>0.524</v>
      </c>
      <c r="J74" s="14">
        <v>1.0</v>
      </c>
      <c r="K74" s="14">
        <v>1.0</v>
      </c>
      <c r="L74" s="14">
        <v>0.0</v>
      </c>
      <c r="M74" s="14">
        <v>0.0</v>
      </c>
      <c r="N74" s="14">
        <v>54.0</v>
      </c>
      <c r="O74" s="20">
        <v>1.493712</v>
      </c>
      <c r="P74" s="20">
        <v>9.902950360858803</v>
      </c>
      <c r="Q74" s="15"/>
      <c r="R74" s="20">
        <v>1.493712</v>
      </c>
      <c r="U74" s="14">
        <f t="array" ref="U74">XLOOKUP(E74, 'Conference Match'!$A$2:$A$25, 'Conference Match'!$C$2:$C$25)</f>
        <v>1</v>
      </c>
      <c r="V74" s="20">
        <f t="shared" si="1"/>
        <v>0.2240568</v>
      </c>
      <c r="W74" s="20">
        <f t="shared" si="2"/>
        <v>4.765898431</v>
      </c>
      <c r="Y74" s="20">
        <f>IFERROR(__xludf.DUMMYFUNCTION("iferror(PERCENTRANK.INC(FILTER($R$2:$R$425, $T$2:$T$425&lt;3.75), $R74), 0.01)"),0.291)</f>
        <v>0.291</v>
      </c>
      <c r="Z74" s="20">
        <f>IFERROR(__xludf.DUMMYFUNCTION("iferror(PERCENTRANK.INC(FILTER($R$2:$R$425, $T$2:$T$425&lt;4.25), $R74), 0.01)"),0.284)</f>
        <v>0.284</v>
      </c>
      <c r="AA74" s="20">
        <f>IFERROR(__xludf.DUMMYFUNCTION("iferror(PERCENTRANK.INC(FILTER($R$2:$R$425, $T$2:$T$425&gt;4.1), $R74), 0.01)"),0.098)</f>
        <v>0.098</v>
      </c>
    </row>
    <row r="75" ht="14.25" customHeight="1">
      <c r="A75" s="14" t="s">
        <v>1588</v>
      </c>
      <c r="B75" s="14" t="s">
        <v>331</v>
      </c>
      <c r="C75" s="14">
        <v>15.0</v>
      </c>
      <c r="D75" s="14" t="s">
        <v>38</v>
      </c>
      <c r="E75" s="14" t="s">
        <v>179</v>
      </c>
      <c r="F75" s="14">
        <v>47.0</v>
      </c>
      <c r="G75" s="14">
        <v>14.0</v>
      </c>
      <c r="H75" s="14">
        <v>5.0</v>
      </c>
      <c r="I75" s="42">
        <v>0.357</v>
      </c>
      <c r="J75" s="14">
        <v>0.0</v>
      </c>
      <c r="K75" s="14">
        <v>1.0</v>
      </c>
      <c r="L75" s="14">
        <v>1.0</v>
      </c>
      <c r="M75" s="14">
        <v>1.0</v>
      </c>
      <c r="N75" s="14">
        <v>104.0</v>
      </c>
      <c r="O75" s="20">
        <v>1.4757159999999998</v>
      </c>
      <c r="P75" s="20">
        <v>9.320004664602143</v>
      </c>
      <c r="Q75" s="15"/>
      <c r="R75" s="20">
        <v>1.4757159999999998</v>
      </c>
      <c r="U75" s="14">
        <f t="array" ref="U75">XLOOKUP(E75, 'Conference Match'!$A$2:$A$25, 'Conference Match'!$C$2:$C$25)</f>
        <v>1</v>
      </c>
      <c r="V75" s="20">
        <f t="shared" si="1"/>
        <v>0.2213574</v>
      </c>
      <c r="W75" s="20">
        <f t="shared" si="2"/>
        <v>4.70847966</v>
      </c>
      <c r="Y75" s="20">
        <f>IFERROR(__xludf.DUMMYFUNCTION("iferror(PERCENTRANK.INC(FILTER($R$2:$R$425, $T$2:$T$425&lt;3.75), $R75), 0.01)"),0.278)</f>
        <v>0.278</v>
      </c>
      <c r="Z75" s="20">
        <f>IFERROR(__xludf.DUMMYFUNCTION("iferror(PERCENTRANK.INC(FILTER($R$2:$R$425, $T$2:$T$425&lt;4.25), $R75), 0.01)"),0.272)</f>
        <v>0.272</v>
      </c>
      <c r="AA75" s="20">
        <f>IFERROR(__xludf.DUMMYFUNCTION("iferror(PERCENTRANK.INC(FILTER($R$2:$R$425, $T$2:$T$425&gt;4.1), $R75), 0.01)"),0.094)</f>
        <v>0.094</v>
      </c>
    </row>
    <row r="76" ht="14.25" customHeight="1">
      <c r="A76" s="14" t="s">
        <v>1589</v>
      </c>
      <c r="B76" s="14" t="s">
        <v>529</v>
      </c>
      <c r="C76" s="14">
        <v>7.0</v>
      </c>
      <c r="D76" s="14" t="s">
        <v>38</v>
      </c>
      <c r="E76" s="14" t="s">
        <v>125</v>
      </c>
      <c r="F76" s="14">
        <v>49.0</v>
      </c>
      <c r="G76" s="14">
        <v>19.0</v>
      </c>
      <c r="H76" s="14">
        <v>11.0</v>
      </c>
      <c r="I76" s="42">
        <v>0.579</v>
      </c>
      <c r="J76" s="14">
        <v>1.0</v>
      </c>
      <c r="K76" s="14">
        <v>0.0</v>
      </c>
      <c r="L76" s="14">
        <v>0.0</v>
      </c>
      <c r="M76" s="14">
        <v>1.0</v>
      </c>
      <c r="N76" s="14">
        <v>106.0</v>
      </c>
      <c r="O76" s="20">
        <v>1.473052</v>
      </c>
      <c r="P76" s="20">
        <v>9.233709524858444</v>
      </c>
      <c r="Q76" s="15"/>
      <c r="R76" s="20">
        <v>1.473052</v>
      </c>
      <c r="U76" s="14">
        <f t="array" ref="U76">XLOOKUP(E76, 'Conference Match'!$A$2:$A$25, 'Conference Match'!$C$2:$C$25)</f>
        <v>0.95</v>
      </c>
      <c r="V76" s="20">
        <f t="shared" si="1"/>
        <v>0.20990991</v>
      </c>
      <c r="W76" s="20">
        <f t="shared" si="2"/>
        <v>4.464980803</v>
      </c>
      <c r="Y76" s="20">
        <f>IFERROR(__xludf.DUMMYFUNCTION("iferror(PERCENTRANK.INC(FILTER($R$2:$R$425, $T$2:$T$425&lt;3.75), $R76), 0.01)"),0.266)</f>
        <v>0.266</v>
      </c>
      <c r="Z76" s="20">
        <f>IFERROR(__xludf.DUMMYFUNCTION("iferror(PERCENTRANK.INC(FILTER($R$2:$R$425, $T$2:$T$425&lt;4.25), $R76), 0.01)"),0.259)</f>
        <v>0.259</v>
      </c>
      <c r="AA76" s="20">
        <f>IFERROR(__xludf.DUMMYFUNCTION("iferror(PERCENTRANK.INC(FILTER($R$2:$R$425, $T$2:$T$425&gt;4.1), $R76), 0.01)"),0.093)</f>
        <v>0.093</v>
      </c>
    </row>
    <row r="77" ht="14.25" customHeight="1">
      <c r="A77" s="14" t="s">
        <v>1590</v>
      </c>
      <c r="B77" s="14" t="s">
        <v>333</v>
      </c>
      <c r="C77" s="14">
        <v>8.0</v>
      </c>
      <c r="D77" s="14" t="s">
        <v>38</v>
      </c>
      <c r="E77" s="14" t="s">
        <v>149</v>
      </c>
      <c r="F77" s="14">
        <v>23.0</v>
      </c>
      <c r="G77" s="14">
        <v>7.0</v>
      </c>
      <c r="H77" s="14">
        <v>5.0</v>
      </c>
      <c r="I77" s="42">
        <v>0.714</v>
      </c>
      <c r="J77" s="14">
        <v>0.0</v>
      </c>
      <c r="K77" s="14">
        <v>1.0</v>
      </c>
      <c r="L77" s="14">
        <v>1.0</v>
      </c>
      <c r="M77" s="14">
        <v>1.0</v>
      </c>
      <c r="N77" s="14">
        <v>118.0</v>
      </c>
      <c r="O77" s="20">
        <v>1.4714319999999999</v>
      </c>
      <c r="P77" s="20">
        <v>9.181232750689968</v>
      </c>
      <c r="Q77" s="15"/>
      <c r="R77" s="20">
        <v>1.4714319999999999</v>
      </c>
      <c r="U77" s="14">
        <f t="array" ref="U77">XLOOKUP(E77, 'Conference Match'!$A$2:$A$25, 'Conference Match'!$C$2:$C$25)</f>
        <v>0.95</v>
      </c>
      <c r="V77" s="20">
        <f t="shared" si="1"/>
        <v>0.20967906</v>
      </c>
      <c r="W77" s="20">
        <f t="shared" si="2"/>
        <v>4.460070407</v>
      </c>
      <c r="Y77" s="20">
        <f>IFERROR(__xludf.DUMMYFUNCTION("iferror(PERCENTRANK.INC(FILTER($R$2:$R$425, $T$2:$T$425&lt;3.75), $R77), 0.01)"),0.253)</f>
        <v>0.253</v>
      </c>
      <c r="Z77" s="20">
        <f>IFERROR(__xludf.DUMMYFUNCTION("iferror(PERCENTRANK.INC(FILTER($R$2:$R$425, $T$2:$T$425&lt;4.25), $R77), 0.01)"),0.247)</f>
        <v>0.247</v>
      </c>
      <c r="AA77" s="20">
        <f>IFERROR(__xludf.DUMMYFUNCTION("iferror(PERCENTRANK.INC(FILTER($R$2:$R$425, $T$2:$T$425&gt;4.1), $R77), 0.01)"),0.093)</f>
        <v>0.093</v>
      </c>
    </row>
    <row r="78" ht="14.25" customHeight="1">
      <c r="A78" s="14" t="s">
        <v>1591</v>
      </c>
      <c r="B78" s="14" t="s">
        <v>265</v>
      </c>
      <c r="C78" s="14">
        <v>23.0</v>
      </c>
      <c r="D78" s="14" t="s">
        <v>38</v>
      </c>
      <c r="E78" s="14" t="s">
        <v>108</v>
      </c>
      <c r="F78" s="14">
        <v>20.0</v>
      </c>
      <c r="G78" s="14">
        <v>20.0</v>
      </c>
      <c r="H78" s="14">
        <v>16.0</v>
      </c>
      <c r="I78" s="42">
        <v>0.8</v>
      </c>
      <c r="J78" s="14">
        <v>0.0</v>
      </c>
      <c r="K78" s="14">
        <v>1.0</v>
      </c>
      <c r="L78" s="14">
        <v>1.0</v>
      </c>
      <c r="M78" s="14">
        <v>1.0</v>
      </c>
      <c r="N78" s="14">
        <v>129.0</v>
      </c>
      <c r="O78" s="20">
        <v>1.4704</v>
      </c>
      <c r="P78" s="20">
        <v>9.147803101960427</v>
      </c>
      <c r="Q78" s="15"/>
      <c r="R78" s="20">
        <v>1.4704</v>
      </c>
      <c r="U78" s="14">
        <f t="array" ref="U78">XLOOKUP(E78, 'Conference Match'!$A$2:$A$25, 'Conference Match'!$C$2:$C$25)</f>
        <v>0.95</v>
      </c>
      <c r="V78" s="20">
        <f t="shared" si="1"/>
        <v>0.209532</v>
      </c>
      <c r="W78" s="20">
        <f t="shared" si="2"/>
        <v>4.456942303</v>
      </c>
      <c r="Y78" s="20">
        <f>IFERROR(__xludf.DUMMYFUNCTION("iferror(PERCENTRANK.INC(FILTER($R$2:$R$425, $T$2:$T$425&lt;3.75), $R78), 0.01)"),0.241)</f>
        <v>0.241</v>
      </c>
      <c r="Z78" s="20">
        <f>IFERROR(__xludf.DUMMYFUNCTION("iferror(PERCENTRANK.INC(FILTER($R$2:$R$425, $T$2:$T$425&lt;4.25), $R78), 0.01)"),0.235)</f>
        <v>0.235</v>
      </c>
      <c r="AA78" s="20">
        <f>IFERROR(__xludf.DUMMYFUNCTION("iferror(PERCENTRANK.INC(FILTER($R$2:$R$425, $T$2:$T$425&gt;4.1), $R78), 0.01)"),0.092)</f>
        <v>0.092</v>
      </c>
    </row>
    <row r="79" ht="14.25" customHeight="1">
      <c r="A79" s="14" t="s">
        <v>1592</v>
      </c>
      <c r="B79" s="14" t="s">
        <v>511</v>
      </c>
      <c r="C79" s="14">
        <v>10.0</v>
      </c>
      <c r="D79" s="14" t="s">
        <v>38</v>
      </c>
      <c r="E79" s="14" t="s">
        <v>102</v>
      </c>
      <c r="F79" s="14">
        <v>34.0</v>
      </c>
      <c r="G79" s="14">
        <v>15.0</v>
      </c>
      <c r="H79" s="14">
        <v>6.0</v>
      </c>
      <c r="I79" s="42">
        <v>0.4</v>
      </c>
      <c r="J79" s="14">
        <v>0.0</v>
      </c>
      <c r="K79" s="14">
        <v>0.0</v>
      </c>
      <c r="L79" s="14">
        <v>1.0</v>
      </c>
      <c r="M79" s="14">
        <v>2.0</v>
      </c>
      <c r="N79" s="14">
        <v>90.0</v>
      </c>
      <c r="O79" s="20">
        <v>1.4551999999999998</v>
      </c>
      <c r="P79" s="20">
        <v>8.655428430750089</v>
      </c>
      <c r="Q79" s="15"/>
      <c r="R79" s="20">
        <v>1.4551999999999998</v>
      </c>
      <c r="U79" s="14">
        <f t="array" ref="U79">XLOOKUP(E79, 'Conference Match'!$A$2:$A$25, 'Conference Match'!$C$2:$C$25)</f>
        <v>1</v>
      </c>
      <c r="V79" s="20">
        <f t="shared" si="1"/>
        <v>0.21828</v>
      </c>
      <c r="W79" s="20">
        <f t="shared" si="2"/>
        <v>4.643020473</v>
      </c>
      <c r="Y79" s="20">
        <f>IFERROR(__xludf.DUMMYFUNCTION("iferror(PERCENTRANK.INC(FILTER($R$2:$R$425, $T$2:$T$425&lt;3.75), $R79), 0.01)"),0.228)</f>
        <v>0.228</v>
      </c>
      <c r="Z79" s="20">
        <f>IFERROR(__xludf.DUMMYFUNCTION("iferror(PERCENTRANK.INC(FILTER($R$2:$R$425, $T$2:$T$425&lt;4.25), $R79), 0.01)"),0.222)</f>
        <v>0.222</v>
      </c>
      <c r="AA79" s="20">
        <f>IFERROR(__xludf.DUMMYFUNCTION("iferror(PERCENTRANK.INC(FILTER($R$2:$R$425, $T$2:$T$425&gt;4.1), $R79), 0.01)"),0.089)</f>
        <v>0.089</v>
      </c>
    </row>
    <row r="80" ht="14.25" customHeight="1">
      <c r="A80" s="14" t="s">
        <v>1593</v>
      </c>
      <c r="B80" s="14" t="s">
        <v>511</v>
      </c>
      <c r="C80" s="14">
        <v>5.0</v>
      </c>
      <c r="D80" s="14" t="s">
        <v>38</v>
      </c>
      <c r="E80" s="14" t="s">
        <v>102</v>
      </c>
      <c r="F80" s="14">
        <v>33.0</v>
      </c>
      <c r="G80" s="14">
        <v>9.0</v>
      </c>
      <c r="H80" s="14">
        <v>4.0</v>
      </c>
      <c r="I80" s="42">
        <v>0.444</v>
      </c>
      <c r="J80" s="14">
        <v>1.0</v>
      </c>
      <c r="K80" s="14">
        <v>0.0</v>
      </c>
      <c r="L80" s="14">
        <v>0.0</v>
      </c>
      <c r="M80" s="14">
        <v>0.0</v>
      </c>
      <c r="N80" s="14">
        <v>59.0</v>
      </c>
      <c r="O80" s="20">
        <v>1.394672</v>
      </c>
      <c r="P80" s="20">
        <v>6.69474066107778</v>
      </c>
      <c r="Q80" s="15"/>
      <c r="R80" s="20">
        <v>1.394672</v>
      </c>
      <c r="U80" s="14">
        <f t="array" ref="U80">XLOOKUP(E80, 'Conference Match'!$A$2:$A$25, 'Conference Match'!$C$2:$C$25)</f>
        <v>1</v>
      </c>
      <c r="V80" s="20">
        <f t="shared" si="1"/>
        <v>0.2092008</v>
      </c>
      <c r="W80" s="20">
        <f t="shared" si="2"/>
        <v>4.449897368</v>
      </c>
      <c r="Y80" s="20">
        <f>IFERROR(__xludf.DUMMYFUNCTION("iferror(PERCENTRANK.INC(FILTER($R$2:$R$425, $T$2:$T$425&lt;3.75), $R80), 0.01)"),0.215)</f>
        <v>0.215</v>
      </c>
      <c r="Z80" s="20">
        <f>IFERROR(__xludf.DUMMYFUNCTION("iferror(PERCENTRANK.INC(FILTER($R$2:$R$425, $T$2:$T$425&lt;4.25), $R80), 0.01)"),0.21)</f>
        <v>0.21</v>
      </c>
      <c r="AA80" s="20">
        <f>IFERROR(__xludf.DUMMYFUNCTION("iferror(PERCENTRANK.INC(FILTER($R$2:$R$425, $T$2:$T$425&gt;4.1), $R80), 0.01)"),0.073)</f>
        <v>0.073</v>
      </c>
    </row>
    <row r="81" ht="14.25" customHeight="1">
      <c r="A81" s="14" t="s">
        <v>1594</v>
      </c>
      <c r="B81" s="14" t="s">
        <v>265</v>
      </c>
      <c r="C81" s="14">
        <v>18.0</v>
      </c>
      <c r="D81" s="14" t="s">
        <v>38</v>
      </c>
      <c r="E81" s="14" t="s">
        <v>108</v>
      </c>
      <c r="F81" s="14">
        <v>22.0</v>
      </c>
      <c r="G81" s="14">
        <v>7.0</v>
      </c>
      <c r="H81" s="14">
        <v>5.0</v>
      </c>
      <c r="I81" s="42">
        <v>0.714</v>
      </c>
      <c r="J81" s="14">
        <v>1.0</v>
      </c>
      <c r="K81" s="14">
        <v>0.0</v>
      </c>
      <c r="L81" s="14">
        <v>0.0</v>
      </c>
      <c r="M81" s="14">
        <v>0.0</v>
      </c>
      <c r="N81" s="14">
        <v>90.0</v>
      </c>
      <c r="O81" s="20">
        <v>1.3914319999999998</v>
      </c>
      <c r="P81" s="20">
        <v>6.589787112740836</v>
      </c>
      <c r="Q81" s="15"/>
      <c r="R81" s="20">
        <v>1.3914319999999998</v>
      </c>
      <c r="U81" s="14">
        <f t="array" ref="U81">XLOOKUP(E81, 'Conference Match'!$A$2:$A$25, 'Conference Match'!$C$2:$C$25)</f>
        <v>0.95</v>
      </c>
      <c r="V81" s="20">
        <f t="shared" si="1"/>
        <v>0.19827906</v>
      </c>
      <c r="W81" s="20">
        <f t="shared" si="2"/>
        <v>4.217581707</v>
      </c>
      <c r="Y81" s="20">
        <f>IFERROR(__xludf.DUMMYFUNCTION("iferror(PERCENTRANK.INC(FILTER($R$2:$R$425, $T$2:$T$425&lt;3.75), $R81), 0.01)"),0.203)</f>
        <v>0.203</v>
      </c>
      <c r="Z81" s="20">
        <f>IFERROR(__xludf.DUMMYFUNCTION("iferror(PERCENTRANK.INC(FILTER($R$2:$R$425, $T$2:$T$425&lt;4.25), $R81), 0.01)"),0.198)</f>
        <v>0.198</v>
      </c>
      <c r="AA81" s="20">
        <f>IFERROR(__xludf.DUMMYFUNCTION("iferror(PERCENTRANK.INC(FILTER($R$2:$R$425, $T$2:$T$425&gt;4.1), $R81), 0.01)"),0.072)</f>
        <v>0.072</v>
      </c>
    </row>
    <row r="82" ht="14.25" customHeight="1">
      <c r="A82" s="14" t="s">
        <v>1595</v>
      </c>
      <c r="B82" s="14" t="s">
        <v>577</v>
      </c>
      <c r="C82" s="14">
        <v>6.0</v>
      </c>
      <c r="D82" s="14" t="s">
        <v>38</v>
      </c>
      <c r="E82" s="14" t="s">
        <v>120</v>
      </c>
      <c r="F82" s="14">
        <v>73.0</v>
      </c>
      <c r="G82" s="14">
        <v>29.0</v>
      </c>
      <c r="H82" s="14">
        <v>16.0</v>
      </c>
      <c r="I82" s="42">
        <v>0.552</v>
      </c>
      <c r="J82" s="14">
        <v>0.0</v>
      </c>
      <c r="K82" s="14">
        <v>0.0</v>
      </c>
      <c r="L82" s="14">
        <v>1.0</v>
      </c>
      <c r="M82" s="14">
        <v>1.0</v>
      </c>
      <c r="N82" s="14">
        <v>228.0</v>
      </c>
      <c r="O82" s="20">
        <v>1.3733759999999997</v>
      </c>
      <c r="P82" s="20">
        <v>6.004897832255716</v>
      </c>
      <c r="Q82" s="15"/>
      <c r="R82" s="20">
        <v>1.3733759999999997</v>
      </c>
      <c r="U82" s="14">
        <f t="array" ref="U82">XLOOKUP(E82, 'Conference Match'!$A$2:$A$25, 'Conference Match'!$C$2:$C$25)</f>
        <v>0.95</v>
      </c>
      <c r="V82" s="20">
        <f t="shared" si="1"/>
        <v>0.19570608</v>
      </c>
      <c r="W82" s="20">
        <f t="shared" si="2"/>
        <v>4.162852007</v>
      </c>
      <c r="Y82" s="20">
        <f>IFERROR(__xludf.DUMMYFUNCTION("iferror(PERCENTRANK.INC(FILTER($R$2:$R$425, $T$2:$T$425&lt;3.75), $R82), 0.01)"),0.19)</f>
        <v>0.19</v>
      </c>
      <c r="Z82" s="20">
        <f>IFERROR(__xludf.DUMMYFUNCTION("iferror(PERCENTRANK.INC(FILTER($R$2:$R$425, $T$2:$T$425&lt;4.25), $R82), 0.01)"),0.185)</f>
        <v>0.185</v>
      </c>
      <c r="AA82" s="20">
        <f>IFERROR(__xludf.DUMMYFUNCTION("iferror(PERCENTRANK.INC(FILTER($R$2:$R$425, $T$2:$T$425&gt;4.1), $R82), 0.01)"),0.068)</f>
        <v>0.068</v>
      </c>
    </row>
    <row r="83" ht="14.25" customHeight="1">
      <c r="A83" s="14" t="s">
        <v>1596</v>
      </c>
      <c r="B83" s="14" t="s">
        <v>239</v>
      </c>
      <c r="C83" s="14">
        <v>6.0</v>
      </c>
      <c r="D83" s="14" t="s">
        <v>38</v>
      </c>
      <c r="E83" s="14" t="s">
        <v>164</v>
      </c>
      <c r="F83" s="14">
        <v>41.0</v>
      </c>
      <c r="G83" s="14">
        <v>9.0</v>
      </c>
      <c r="H83" s="14">
        <v>5.0</v>
      </c>
      <c r="I83" s="42">
        <v>0.556</v>
      </c>
      <c r="J83" s="14">
        <v>0.0</v>
      </c>
      <c r="K83" s="14">
        <v>0.0</v>
      </c>
      <c r="L83" s="14">
        <v>1.0</v>
      </c>
      <c r="M83" s="14">
        <v>1.0</v>
      </c>
      <c r="N83" s="14">
        <v>113.0</v>
      </c>
      <c r="O83" s="20">
        <v>1.3733279999999999</v>
      </c>
      <c r="P83" s="20">
        <v>6.003342964872952</v>
      </c>
      <c r="Q83" s="15"/>
      <c r="R83" s="20">
        <v>1.3733279999999999</v>
      </c>
      <c r="U83" s="14">
        <f t="array" ref="U83">XLOOKUP(E83, 'Conference Match'!$A$2:$A$25, 'Conference Match'!$C$2:$C$25)</f>
        <v>1</v>
      </c>
      <c r="V83" s="20">
        <f t="shared" si="1"/>
        <v>0.2059992</v>
      </c>
      <c r="W83" s="20">
        <f t="shared" si="2"/>
        <v>4.381796331</v>
      </c>
      <c r="Y83" s="20">
        <f>IFERROR(__xludf.DUMMYFUNCTION("iferror(PERCENTRANK.INC(FILTER($R$2:$R$425, $T$2:$T$425&lt;3.75), $R83), 0.01)"),0.177)</f>
        <v>0.177</v>
      </c>
      <c r="Z83" s="20">
        <f>IFERROR(__xludf.DUMMYFUNCTION("iferror(PERCENTRANK.INC(FILTER($R$2:$R$425, $T$2:$T$425&lt;4.25), $R83), 0.01)"),0.173)</f>
        <v>0.173</v>
      </c>
      <c r="AA83" s="20">
        <f>IFERROR(__xludf.DUMMYFUNCTION("iferror(PERCENTRANK.INC(FILTER($R$2:$R$425, $T$2:$T$425&gt;4.1), $R83), 0.01)"),0.068)</f>
        <v>0.068</v>
      </c>
    </row>
    <row r="84" ht="14.25" customHeight="1">
      <c r="A84" s="14" t="s">
        <v>1597</v>
      </c>
      <c r="B84" s="14" t="s">
        <v>311</v>
      </c>
      <c r="C84" s="14">
        <v>12.0</v>
      </c>
      <c r="D84" s="14" t="s">
        <v>38</v>
      </c>
      <c r="E84" s="14" t="s">
        <v>164</v>
      </c>
      <c r="F84" s="14">
        <v>29.0</v>
      </c>
      <c r="G84" s="14">
        <v>9.0</v>
      </c>
      <c r="H84" s="14">
        <v>7.0</v>
      </c>
      <c r="I84" s="42">
        <v>0.778</v>
      </c>
      <c r="J84" s="14">
        <v>0.0</v>
      </c>
      <c r="K84" s="14">
        <v>0.0</v>
      </c>
      <c r="L84" s="14">
        <v>1.0</v>
      </c>
      <c r="M84" s="14">
        <v>1.0</v>
      </c>
      <c r="N84" s="14">
        <v>74.0</v>
      </c>
      <c r="O84" s="20">
        <v>1.3706639999999999</v>
      </c>
      <c r="P84" s="20">
        <v>5.917047825129246</v>
      </c>
      <c r="Q84" s="15"/>
      <c r="R84" s="20">
        <v>1.3706639999999999</v>
      </c>
      <c r="U84" s="14">
        <f t="array" ref="U84">XLOOKUP(E84, 'Conference Match'!$A$2:$A$25, 'Conference Match'!$C$2:$C$25)</f>
        <v>1</v>
      </c>
      <c r="V84" s="20">
        <f t="shared" si="1"/>
        <v>0.2055996</v>
      </c>
      <c r="W84" s="20">
        <f t="shared" si="2"/>
        <v>4.373296464</v>
      </c>
      <c r="Y84" s="20">
        <f>IFERROR(__xludf.DUMMYFUNCTION("iferror(PERCENTRANK.INC(FILTER($R$2:$R$425, $T$2:$T$425&lt;3.75), $R84), 0.01)"),0.165)</f>
        <v>0.165</v>
      </c>
      <c r="Z84" s="20">
        <f>IFERROR(__xludf.DUMMYFUNCTION("iferror(PERCENTRANK.INC(FILTER($R$2:$R$425, $T$2:$T$425&lt;4.25), $R84), 0.01)"),0.16)</f>
        <v>0.16</v>
      </c>
      <c r="AA84" s="20">
        <f>IFERROR(__xludf.DUMMYFUNCTION("iferror(PERCENTRANK.INC(FILTER($R$2:$R$425, $T$2:$T$425&gt;4.1), $R84), 0.01)"),0.067)</f>
        <v>0.067</v>
      </c>
    </row>
    <row r="85" ht="14.25" customHeight="1">
      <c r="A85" s="14" t="s">
        <v>1598</v>
      </c>
      <c r="B85" s="14" t="s">
        <v>311</v>
      </c>
      <c r="C85" s="14">
        <v>4.0</v>
      </c>
      <c r="D85" s="14" t="s">
        <v>38</v>
      </c>
      <c r="E85" s="14" t="s">
        <v>164</v>
      </c>
      <c r="F85" s="14">
        <v>93.0</v>
      </c>
      <c r="G85" s="14">
        <v>28.0</v>
      </c>
      <c r="H85" s="14">
        <v>22.0</v>
      </c>
      <c r="I85" s="42">
        <v>0.786</v>
      </c>
      <c r="J85" s="14">
        <v>0.0</v>
      </c>
      <c r="K85" s="14">
        <v>0.0</v>
      </c>
      <c r="L85" s="14">
        <v>1.0</v>
      </c>
      <c r="M85" s="14">
        <v>1.0</v>
      </c>
      <c r="N85" s="14">
        <v>190.0</v>
      </c>
      <c r="O85" s="20">
        <v>1.370568</v>
      </c>
      <c r="P85" s="20">
        <v>5.91393809036371</v>
      </c>
      <c r="Q85" s="15"/>
      <c r="R85" s="20">
        <v>1.370568</v>
      </c>
      <c r="U85" s="14">
        <f t="array" ref="U85">XLOOKUP(E85, 'Conference Match'!$A$2:$A$25, 'Conference Match'!$C$2:$C$25)</f>
        <v>1</v>
      </c>
      <c r="V85" s="20">
        <f t="shared" si="1"/>
        <v>0.2055852</v>
      </c>
      <c r="W85" s="20">
        <f t="shared" si="2"/>
        <v>4.372990162</v>
      </c>
      <c r="Y85" s="20">
        <f>IFERROR(__xludf.DUMMYFUNCTION("iferror(PERCENTRANK.INC(FILTER($R$2:$R$425, $T$2:$T$425&lt;3.75), $R85), 0.01)"),0.152)</f>
        <v>0.152</v>
      </c>
      <c r="Z85" s="20">
        <f>IFERROR(__xludf.DUMMYFUNCTION("iferror(PERCENTRANK.INC(FILTER($R$2:$R$425, $T$2:$T$425&lt;4.25), $R85), 0.01)"),0.148)</f>
        <v>0.148</v>
      </c>
      <c r="AA85" s="20">
        <f>IFERROR(__xludf.DUMMYFUNCTION("iferror(PERCENTRANK.INC(FILTER($R$2:$R$425, $T$2:$T$425&gt;4.1), $R85), 0.01)"),0.067)</f>
        <v>0.067</v>
      </c>
    </row>
    <row r="86" ht="14.25" customHeight="1">
      <c r="A86" s="14" t="s">
        <v>1599</v>
      </c>
      <c r="B86" s="14" t="s">
        <v>331</v>
      </c>
      <c r="C86" s="14">
        <v>21.0</v>
      </c>
      <c r="D86" s="14" t="s">
        <v>38</v>
      </c>
      <c r="E86" s="14" t="s">
        <v>179</v>
      </c>
      <c r="I86" s="42"/>
      <c r="O86" s="20">
        <v>1.36</v>
      </c>
      <c r="P86" s="20">
        <v>5.5</v>
      </c>
      <c r="Q86" s="15"/>
      <c r="R86" s="20">
        <v>1.36</v>
      </c>
      <c r="U86" s="14">
        <f t="array" ref="U86">XLOOKUP(E86, 'Conference Match'!$A$2:$A$25, 'Conference Match'!$C$2:$C$25)</f>
        <v>1</v>
      </c>
      <c r="V86" s="20">
        <f t="shared" si="1"/>
        <v>0.204</v>
      </c>
      <c r="W86" s="20">
        <f t="shared" si="2"/>
        <v>4.33927147</v>
      </c>
      <c r="Y86" s="20">
        <f>IFERROR(__xludf.DUMMYFUNCTION("iferror(PERCENTRANK.INC(FILTER($R$2:$R$425, $T$2:$T$425&lt;3.75), $R86), 0.01)"),0.139)</f>
        <v>0.139</v>
      </c>
      <c r="Z86" s="20">
        <f>IFERROR(__xludf.DUMMYFUNCTION("iferror(PERCENTRANK.INC(FILTER($R$2:$R$425, $T$2:$T$425&lt;4.25), $R86), 0.01)"),0.136)</f>
        <v>0.136</v>
      </c>
      <c r="AA86" s="20">
        <f>IFERROR(__xludf.DUMMYFUNCTION("iferror(PERCENTRANK.INC(FILTER($R$2:$R$425, $T$2:$T$425&gt;4.1), $R86), 0.01)"),0.063)</f>
        <v>0.063</v>
      </c>
    </row>
    <row r="87" ht="14.25" customHeight="1">
      <c r="A87" s="14" t="s">
        <v>1600</v>
      </c>
      <c r="B87" s="14" t="s">
        <v>412</v>
      </c>
      <c r="C87" s="14">
        <v>5.0</v>
      </c>
      <c r="D87" s="14" t="s">
        <v>38</v>
      </c>
      <c r="E87" s="14" t="s">
        <v>149</v>
      </c>
      <c r="F87" s="14">
        <v>20.0</v>
      </c>
      <c r="G87" s="14">
        <v>8.0</v>
      </c>
      <c r="H87" s="14">
        <v>4.0</v>
      </c>
      <c r="I87" s="42">
        <v>0.5</v>
      </c>
      <c r="J87" s="14">
        <v>0.0</v>
      </c>
      <c r="K87" s="14">
        <v>0.0</v>
      </c>
      <c r="L87" s="14">
        <v>0.0</v>
      </c>
      <c r="M87" s="14">
        <v>2.0</v>
      </c>
      <c r="N87" s="14">
        <v>61.0</v>
      </c>
      <c r="O87" s="20">
        <v>1.3539999999999999</v>
      </c>
      <c r="P87" s="20">
        <v>5.377249698744443</v>
      </c>
      <c r="Q87" s="15"/>
      <c r="R87" s="20">
        <v>1.3539999999999999</v>
      </c>
      <c r="U87" s="14">
        <f t="array" ref="U87">XLOOKUP(E87, 'Conference Match'!$A$2:$A$25, 'Conference Match'!$C$2:$C$25)</f>
        <v>0.95</v>
      </c>
      <c r="V87" s="20">
        <f t="shared" si="1"/>
        <v>0.192945</v>
      </c>
      <c r="W87" s="20">
        <f t="shared" si="2"/>
        <v>4.104121244</v>
      </c>
      <c r="Y87" s="20">
        <f>IFERROR(__xludf.DUMMYFUNCTION("iferror(PERCENTRANK.INC(FILTER($R$2:$R$425, $T$2:$T$425&lt;3.75), $R87), 0.01)"),0.127)</f>
        <v>0.127</v>
      </c>
      <c r="Z87" s="20">
        <f>IFERROR(__xludf.DUMMYFUNCTION("iferror(PERCENTRANK.INC(FILTER($R$2:$R$425, $T$2:$T$425&lt;4.25), $R87), 0.01)"),0.123)</f>
        <v>0.123</v>
      </c>
      <c r="AA87" s="20">
        <f>IFERROR(__xludf.DUMMYFUNCTION("iferror(PERCENTRANK.INC(FILTER($R$2:$R$425, $T$2:$T$425&gt;4.1), $R87), 0.01)"),0.06)</f>
        <v>0.06</v>
      </c>
    </row>
    <row r="88" ht="14.25" customHeight="1">
      <c r="A88" s="14" t="s">
        <v>1601</v>
      </c>
      <c r="B88" s="14" t="s">
        <v>333</v>
      </c>
      <c r="C88" s="14">
        <v>29.0</v>
      </c>
      <c r="D88" s="14" t="s">
        <v>38</v>
      </c>
      <c r="E88" s="14" t="s">
        <v>149</v>
      </c>
      <c r="F88" s="14">
        <v>29.0</v>
      </c>
      <c r="G88" s="14">
        <v>14.0</v>
      </c>
      <c r="H88" s="14">
        <v>6.0</v>
      </c>
      <c r="I88" s="42">
        <v>0.429</v>
      </c>
      <c r="J88" s="14">
        <v>0.0</v>
      </c>
      <c r="K88" s="14">
        <v>0.0</v>
      </c>
      <c r="L88" s="14">
        <v>0.0</v>
      </c>
      <c r="M88" s="14">
        <v>1.0</v>
      </c>
      <c r="N88" s="14">
        <v>83.0</v>
      </c>
      <c r="O88" s="20">
        <v>1.2748519999999999</v>
      </c>
      <c r="P88" s="20">
        <v>2.8134029568394703</v>
      </c>
      <c r="Q88" s="15"/>
      <c r="R88" s="20">
        <v>1.2748519999999999</v>
      </c>
      <c r="U88" s="14">
        <f t="array" ref="U88">XLOOKUP(E88, 'Conference Match'!$A$2:$A$25, 'Conference Match'!$C$2:$C$25)</f>
        <v>0.95</v>
      </c>
      <c r="V88" s="20">
        <f t="shared" si="1"/>
        <v>0.18166641</v>
      </c>
      <c r="W88" s="20">
        <f t="shared" si="2"/>
        <v>3.864215049</v>
      </c>
      <c r="Y88" s="20">
        <f>IFERROR(__xludf.DUMMYFUNCTION("iferror(PERCENTRANK.INC(FILTER($R$2:$R$425, $T$2:$T$425&lt;3.75), $R88), 0.01)"),0.101)</f>
        <v>0.101</v>
      </c>
      <c r="Z88" s="20">
        <f>IFERROR(__xludf.DUMMYFUNCTION("iferror(PERCENTRANK.INC(FILTER($R$2:$R$425, $T$2:$T$425&lt;4.25), $R88), 0.01)"),0.099)</f>
        <v>0.099</v>
      </c>
      <c r="AA88" s="20">
        <f>IFERROR(__xludf.DUMMYFUNCTION("iferror(PERCENTRANK.INC(FILTER($R$2:$R$425, $T$2:$T$425&gt;4.1), $R88), 0.01)"),0.029)</f>
        <v>0.029</v>
      </c>
    </row>
    <row r="89" ht="14.25" customHeight="1">
      <c r="A89" s="14" t="s">
        <v>1602</v>
      </c>
      <c r="B89" s="14" t="s">
        <v>239</v>
      </c>
      <c r="C89" s="14">
        <v>0.0</v>
      </c>
      <c r="D89" s="14" t="s">
        <v>38</v>
      </c>
      <c r="E89" s="14" t="s">
        <v>164</v>
      </c>
      <c r="F89" s="14">
        <v>31.0</v>
      </c>
      <c r="G89" s="14">
        <v>30.0</v>
      </c>
      <c r="H89" s="14">
        <v>22.0</v>
      </c>
      <c r="I89" s="42">
        <v>0.733</v>
      </c>
      <c r="J89" s="14">
        <v>0.0</v>
      </c>
      <c r="K89" s="14">
        <v>0.0</v>
      </c>
      <c r="L89" s="14">
        <v>0.0</v>
      </c>
      <c r="M89" s="14">
        <v>1.0</v>
      </c>
      <c r="N89" s="14">
        <v>149.0</v>
      </c>
      <c r="O89" s="20">
        <v>1.271204</v>
      </c>
      <c r="P89" s="20">
        <v>2.6952330357489944</v>
      </c>
      <c r="Q89" s="15"/>
      <c r="R89" s="20">
        <v>1.271204</v>
      </c>
      <c r="U89" s="14">
        <f t="array" ref="U89">XLOOKUP(E89, 'Conference Match'!$A$2:$A$25, 'Conference Match'!$C$2:$C$25)</f>
        <v>1</v>
      </c>
      <c r="V89" s="20">
        <f t="shared" si="1"/>
        <v>0.1906806</v>
      </c>
      <c r="W89" s="20">
        <f t="shared" si="2"/>
        <v>4.055955331</v>
      </c>
      <c r="Y89" s="20">
        <f>IFERROR(__xludf.DUMMYFUNCTION("iferror(PERCENTRANK.INC(FILTER($R$2:$R$425, $T$2:$T$425&lt;3.75), $R89), 0.01)"),0.089)</f>
        <v>0.089</v>
      </c>
      <c r="Z89" s="20">
        <f>IFERROR(__xludf.DUMMYFUNCTION("iferror(PERCENTRANK.INC(FILTER($R$2:$R$425, $T$2:$T$425&lt;4.25), $R89), 0.01)"),0.086)</f>
        <v>0.086</v>
      </c>
      <c r="AA89" s="20">
        <f>IFERROR(__xludf.DUMMYFUNCTION("iferror(PERCENTRANK.INC(FILTER($R$2:$R$425, $T$2:$T$425&gt;4.1), $R89), 0.01)"),0.028)</f>
        <v>0.028</v>
      </c>
    </row>
    <row r="90" ht="14.25" customHeight="1">
      <c r="A90" s="17" t="s">
        <v>1603</v>
      </c>
      <c r="B90" s="17" t="s">
        <v>433</v>
      </c>
      <c r="C90" s="18">
        <v>27.0</v>
      </c>
      <c r="D90" s="17" t="s">
        <v>38</v>
      </c>
      <c r="E90" s="17" t="s">
        <v>120</v>
      </c>
      <c r="F90" s="18">
        <v>67.0</v>
      </c>
      <c r="G90" s="18">
        <v>52.0</v>
      </c>
      <c r="H90" s="18">
        <v>33.0</v>
      </c>
      <c r="I90" s="19">
        <v>0.635</v>
      </c>
      <c r="J90" s="18">
        <v>2.0</v>
      </c>
      <c r="K90" s="18">
        <v>1.0</v>
      </c>
      <c r="L90" s="18">
        <v>9.0</v>
      </c>
      <c r="M90" s="18">
        <v>10.0</v>
      </c>
      <c r="N90" s="18">
        <v>340.0</v>
      </c>
      <c r="O90" s="22">
        <v>3.39</v>
      </c>
      <c r="P90" s="22">
        <v>71.41</v>
      </c>
      <c r="Q90" s="15"/>
      <c r="R90" s="36">
        <v>3.39</v>
      </c>
      <c r="S90" s="16">
        <v>0.6</v>
      </c>
      <c r="U90" s="14">
        <f t="array" ref="U90">XLOOKUP(E90, 'Conference Match'!$A$2:$A$25, 'Conference Match'!$C$2:$C$25)</f>
        <v>0.95</v>
      </c>
      <c r="V90" s="20">
        <f t="shared" si="1"/>
        <v>0.573075</v>
      </c>
      <c r="W90" s="20">
        <f t="shared" si="2"/>
        <v>12.18984313</v>
      </c>
      <c r="Y90" s="20">
        <f>IFERROR(__xludf.DUMMYFUNCTION("iferror(PERCENTRANK.INC(FILTER($R$2:$R$425, $T$2:$T$425&lt;3.75), $R90), 0.01)"),1.0)</f>
        <v>1</v>
      </c>
      <c r="Z90" s="20">
        <f>IFERROR(__xludf.DUMMYFUNCTION("iferror(PERCENTRANK.INC(FILTER($R$2:$R$425, $T$2:$T$425&lt;4.25), $R90), 0.01)"),1.0)</f>
        <v>1</v>
      </c>
      <c r="AA90" s="20">
        <f>IFERROR(__xludf.DUMMYFUNCTION("iferror(PERCENTRANK.INC(FILTER($R$2:$R$425, $T$2:$T$425&gt;4.1), $R90), 0.01)"),0.01)</f>
        <v>0.01</v>
      </c>
    </row>
    <row r="91" ht="14.25" customHeight="1">
      <c r="A91" s="14" t="s">
        <v>1604</v>
      </c>
      <c r="B91" s="14" t="s">
        <v>369</v>
      </c>
      <c r="C91" s="14">
        <v>1.0</v>
      </c>
      <c r="D91" s="14" t="s">
        <v>38</v>
      </c>
      <c r="E91" s="14" t="s">
        <v>130</v>
      </c>
      <c r="F91" s="14">
        <v>106.0</v>
      </c>
      <c r="G91" s="14">
        <v>60.0</v>
      </c>
      <c r="H91" s="14">
        <v>29.0</v>
      </c>
      <c r="I91" s="42">
        <v>0.483</v>
      </c>
      <c r="J91" s="14">
        <v>1.0</v>
      </c>
      <c r="K91" s="14">
        <v>0.0</v>
      </c>
      <c r="L91" s="14">
        <v>9.0</v>
      </c>
      <c r="M91" s="14">
        <v>12.0</v>
      </c>
      <c r="N91" s="14">
        <v>346.0</v>
      </c>
      <c r="O91" s="20">
        <v>3.2542039999999997</v>
      </c>
      <c r="P91" s="20">
        <v>66.93069178641304</v>
      </c>
      <c r="Q91" s="15"/>
      <c r="R91" s="20">
        <v>3.2542039999999997</v>
      </c>
      <c r="U91" s="14">
        <f t="array" ref="U91">XLOOKUP(E91, 'Conference Match'!$A$2:$A$25, 'Conference Match'!$C$2:$C$25)</f>
        <v>1</v>
      </c>
      <c r="V91" s="20">
        <f t="shared" si="1"/>
        <v>0.4881306</v>
      </c>
      <c r="W91" s="20">
        <f t="shared" si="2"/>
        <v>10.38299601</v>
      </c>
      <c r="Y91" s="20">
        <f>IFERROR(__xludf.DUMMYFUNCTION("iferror(PERCENTRANK.INC(FILTER($R$2:$R$425, $T$2:$T$425&lt;3.75), $R91), 0.01)"),0.987)</f>
        <v>0.987</v>
      </c>
      <c r="Z91" s="20">
        <f>IFERROR(__xludf.DUMMYFUNCTION("iferror(PERCENTRANK.INC(FILTER($R$2:$R$425, $T$2:$T$425&lt;4.25), $R91), 0.01)"),0.988)</f>
        <v>0.988</v>
      </c>
      <c r="AA91" s="20">
        <f>IFERROR(__xludf.DUMMYFUNCTION("iferror(PERCENTRANK.INC(FILTER($R$2:$R$425, $T$2:$T$425&gt;4.1), $R91), 0.01)"),0.01)</f>
        <v>0.01</v>
      </c>
    </row>
    <row r="92" ht="14.25" customHeight="1">
      <c r="A92" s="14" t="s">
        <v>1605</v>
      </c>
      <c r="B92" s="14" t="s">
        <v>333</v>
      </c>
      <c r="C92" s="14">
        <v>21.0</v>
      </c>
      <c r="D92" s="14" t="s">
        <v>38</v>
      </c>
      <c r="E92" s="14" t="s">
        <v>149</v>
      </c>
      <c r="F92" s="14">
        <v>37.0</v>
      </c>
      <c r="G92" s="14">
        <v>12.0</v>
      </c>
      <c r="H92" s="14">
        <v>6.0</v>
      </c>
      <c r="I92" s="42">
        <v>0.5</v>
      </c>
      <c r="J92" s="14">
        <v>0.0</v>
      </c>
      <c r="K92" s="14">
        <v>0.0</v>
      </c>
      <c r="L92" s="14">
        <v>0.0</v>
      </c>
      <c r="M92" s="14">
        <v>0.0</v>
      </c>
      <c r="N92" s="14">
        <v>63.0</v>
      </c>
      <c r="O92" s="20">
        <v>1.194</v>
      </c>
      <c r="P92" s="20">
        <v>0.1943584228461849</v>
      </c>
      <c r="Q92" s="15"/>
      <c r="R92" s="20">
        <v>1.194</v>
      </c>
      <c r="U92" s="14">
        <f t="array" ref="U92">XLOOKUP(E92, 'Conference Match'!$A$2:$A$25, 'Conference Match'!$C$2:$C$25)</f>
        <v>0.95</v>
      </c>
      <c r="V92" s="20">
        <f t="shared" si="1"/>
        <v>0.170145</v>
      </c>
      <c r="W92" s="20">
        <f t="shared" si="2"/>
        <v>3.619143845</v>
      </c>
      <c r="Y92" s="20">
        <f>IFERROR(__xludf.DUMMYFUNCTION("iferror(PERCENTRANK.INC(FILTER($R$2:$R$425, $T$2:$T$425&lt;3.75), $R92), 0.01)"),0.076)</f>
        <v>0.076</v>
      </c>
      <c r="Z92" s="20">
        <f>IFERROR(__xludf.DUMMYFUNCTION("iferror(PERCENTRANK.INC(FILTER($R$2:$R$425, $T$2:$T$425&lt;4.25), $R92), 0.01)"),0.074)</f>
        <v>0.074</v>
      </c>
      <c r="AA92" s="20">
        <f>IFERROR(__xludf.DUMMYFUNCTION("iferror(PERCENTRANK.INC(FILTER($R$2:$R$425, $T$2:$T$425&gt;4.1), $R92), 0.01)"),0.01)</f>
        <v>0.01</v>
      </c>
    </row>
    <row r="93" ht="14.25" customHeight="1">
      <c r="A93" s="14" t="s">
        <v>1606</v>
      </c>
      <c r="B93" s="14" t="s">
        <v>345</v>
      </c>
      <c r="C93" s="14">
        <v>15.0</v>
      </c>
      <c r="D93" s="14" t="s">
        <v>38</v>
      </c>
      <c r="E93" s="14" t="s">
        <v>120</v>
      </c>
      <c r="F93" s="14">
        <v>16.0</v>
      </c>
      <c r="G93" s="14">
        <v>6.0</v>
      </c>
      <c r="H93" s="14">
        <v>4.0</v>
      </c>
      <c r="I93" s="42">
        <v>0.667</v>
      </c>
      <c r="J93" s="14">
        <v>0.0</v>
      </c>
      <c r="K93" s="14">
        <v>0.0</v>
      </c>
      <c r="L93" s="14">
        <v>0.0</v>
      </c>
      <c r="M93" s="14">
        <v>0.0</v>
      </c>
      <c r="N93" s="14">
        <v>61.0</v>
      </c>
      <c r="O93" s="20">
        <v>1.1919959999999998</v>
      </c>
      <c r="P93" s="20">
        <v>0.12944270961555543</v>
      </c>
      <c r="Q93" s="15"/>
      <c r="R93" s="20">
        <v>1.1919959999999998</v>
      </c>
      <c r="U93" s="14">
        <f t="array" ref="U93">XLOOKUP(E93, 'Conference Match'!$A$2:$A$25, 'Conference Match'!$C$2:$C$25)</f>
        <v>0.95</v>
      </c>
      <c r="V93" s="20">
        <f t="shared" si="1"/>
        <v>0.16985943</v>
      </c>
      <c r="W93" s="20">
        <f t="shared" si="2"/>
        <v>3.613069503</v>
      </c>
      <c r="Y93" s="20">
        <f>IFERROR(__xludf.DUMMYFUNCTION("iferror(PERCENTRANK.INC(FILTER($R$2:$R$425, $T$2:$T$425&lt;3.75), $R93), 0.01)"),0.063)</f>
        <v>0.063</v>
      </c>
      <c r="Z93" s="20">
        <f>IFERROR(__xludf.DUMMYFUNCTION("iferror(PERCENTRANK.INC(FILTER($R$2:$R$425, $T$2:$T$425&lt;4.25), $R93), 0.01)"),0.062)</f>
        <v>0.062</v>
      </c>
      <c r="AA93" s="20">
        <f>IFERROR(__xludf.DUMMYFUNCTION("iferror(PERCENTRANK.INC(FILTER($R$2:$R$425, $T$2:$T$425&gt;4.1), $R93), 0.01)"),0.01)</f>
        <v>0.01</v>
      </c>
    </row>
    <row r="94" ht="14.25" customHeight="1">
      <c r="A94" s="14" t="s">
        <v>1607</v>
      </c>
      <c r="B94" s="14" t="s">
        <v>369</v>
      </c>
      <c r="C94" s="14">
        <v>32.0</v>
      </c>
      <c r="D94" s="14" t="s">
        <v>38</v>
      </c>
      <c r="E94" s="14" t="s">
        <v>130</v>
      </c>
      <c r="F94" s="14">
        <v>22.0</v>
      </c>
      <c r="G94" s="14">
        <v>8.0</v>
      </c>
      <c r="H94" s="14">
        <v>6.0</v>
      </c>
      <c r="I94" s="42">
        <v>0.75</v>
      </c>
      <c r="J94" s="14">
        <v>0.0</v>
      </c>
      <c r="K94" s="14">
        <v>0.0</v>
      </c>
      <c r="L94" s="14">
        <v>0.0</v>
      </c>
      <c r="M94" s="14">
        <v>0.0</v>
      </c>
      <c r="N94" s="14">
        <v>57.0</v>
      </c>
      <c r="O94" s="20">
        <v>1.1909999999999998</v>
      </c>
      <c r="P94" s="20">
        <v>0.09717921142308886</v>
      </c>
      <c r="Q94" s="15"/>
      <c r="R94" s="20">
        <v>1.1909999999999998</v>
      </c>
      <c r="U94" s="14">
        <f t="array" ref="U94">XLOOKUP(E94, 'Conference Match'!$A$2:$A$25, 'Conference Match'!$C$2:$C$25)</f>
        <v>1</v>
      </c>
      <c r="V94" s="20">
        <f t="shared" si="1"/>
        <v>0.17865</v>
      </c>
      <c r="W94" s="20">
        <f t="shared" si="2"/>
        <v>3.800053177</v>
      </c>
      <c r="Y94" s="20">
        <f>IFERROR(__xludf.DUMMYFUNCTION("iferror(PERCENTRANK.INC(FILTER($R$2:$R$425, $T$2:$T$425&lt;3.75), $R94), 0.01)"),0.051)</f>
        <v>0.051</v>
      </c>
      <c r="Z94" s="20">
        <f>IFERROR(__xludf.DUMMYFUNCTION("iferror(PERCENTRANK.INC(FILTER($R$2:$R$425, $T$2:$T$425&lt;4.25), $R94), 0.01)"),0.049)</f>
        <v>0.049</v>
      </c>
      <c r="AA94" s="20">
        <f>IFERROR(__xludf.DUMMYFUNCTION("iferror(PERCENTRANK.INC(FILTER($R$2:$R$425, $T$2:$T$425&gt;4.1), $R94), 0.01)"),0.01)</f>
        <v>0.01</v>
      </c>
    </row>
    <row r="95" ht="14.25" customHeight="1">
      <c r="A95" s="14" t="s">
        <v>1608</v>
      </c>
      <c r="B95" s="14" t="s">
        <v>265</v>
      </c>
      <c r="C95" s="14">
        <v>20.0</v>
      </c>
      <c r="D95" s="14" t="s">
        <v>38</v>
      </c>
      <c r="E95" s="14" t="s">
        <v>108</v>
      </c>
      <c r="F95" s="14">
        <v>23.0</v>
      </c>
      <c r="G95" s="14">
        <v>10.0</v>
      </c>
      <c r="H95" s="14">
        <v>8.0</v>
      </c>
      <c r="I95" s="42">
        <v>0.8</v>
      </c>
      <c r="J95" s="14">
        <v>0.0</v>
      </c>
      <c r="K95" s="14">
        <v>0.0</v>
      </c>
      <c r="L95" s="14">
        <v>0.0</v>
      </c>
      <c r="M95" s="14">
        <v>0.0</v>
      </c>
      <c r="N95" s="14">
        <v>84.0</v>
      </c>
      <c r="O95" s="20">
        <v>1.1904</v>
      </c>
      <c r="P95" s="20">
        <v>0.07774336913847252</v>
      </c>
      <c r="Q95" s="15"/>
      <c r="R95" s="20">
        <v>1.1904</v>
      </c>
      <c r="U95" s="14">
        <f t="array" ref="U95">XLOOKUP(E95, 'Conference Match'!$A$2:$A$25, 'Conference Match'!$C$2:$C$25)</f>
        <v>0.95</v>
      </c>
      <c r="V95" s="20">
        <f t="shared" si="1"/>
        <v>0.169632</v>
      </c>
      <c r="W95" s="20">
        <f t="shared" si="2"/>
        <v>3.608231853</v>
      </c>
      <c r="Y95" s="20">
        <f>IFERROR(__xludf.DUMMYFUNCTION("iferror(PERCENTRANK.INC(FILTER($R$2:$R$425, $T$2:$T$425&lt;3.75), $R95), 0.01)"),0.038)</f>
        <v>0.038</v>
      </c>
      <c r="Z95" s="20">
        <f>IFERROR(__xludf.DUMMYFUNCTION("iferror(PERCENTRANK.INC(FILTER($R$2:$R$425, $T$2:$T$425&lt;4.25), $R95), 0.01)"),0.037)</f>
        <v>0.037</v>
      </c>
      <c r="AA95" s="20">
        <f>IFERROR(__xludf.DUMMYFUNCTION("iferror(PERCENTRANK.INC(FILTER($R$2:$R$425, $T$2:$T$425&gt;4.1), $R95), 0.01)"),0.01)</f>
        <v>0.01</v>
      </c>
    </row>
    <row r="96" ht="14.25" customHeight="1">
      <c r="A96" s="14" t="s">
        <v>1609</v>
      </c>
      <c r="B96" s="14" t="s">
        <v>369</v>
      </c>
      <c r="C96" s="14">
        <v>24.0</v>
      </c>
      <c r="D96" s="14" t="s">
        <v>38</v>
      </c>
      <c r="E96" s="14" t="s">
        <v>130</v>
      </c>
      <c r="F96" s="14">
        <v>6.0</v>
      </c>
      <c r="G96" s="14">
        <v>9.0</v>
      </c>
      <c r="H96" s="14">
        <v>8.0</v>
      </c>
      <c r="I96" s="42">
        <v>0.889</v>
      </c>
      <c r="J96" s="14">
        <v>0.0</v>
      </c>
      <c r="K96" s="14">
        <v>0.0</v>
      </c>
      <c r="L96" s="14">
        <v>0.0</v>
      </c>
      <c r="M96" s="14">
        <v>0.0</v>
      </c>
      <c r="N96" s="14">
        <v>58.0</v>
      </c>
      <c r="O96" s="20">
        <v>1.189332</v>
      </c>
      <c r="P96" s="20">
        <v>0.0431475698718566</v>
      </c>
      <c r="Q96" s="15"/>
      <c r="R96" s="20">
        <v>1.189332</v>
      </c>
      <c r="U96" s="14">
        <f t="array" ref="U96">XLOOKUP(E96, 'Conference Match'!$A$2:$A$25, 'Conference Match'!$C$2:$C$25)</f>
        <v>1</v>
      </c>
      <c r="V96" s="20">
        <f t="shared" si="1"/>
        <v>0.1783998</v>
      </c>
      <c r="W96" s="20">
        <f t="shared" si="2"/>
        <v>3.794731189</v>
      </c>
      <c r="Y96" s="20">
        <f>IFERROR(__xludf.DUMMYFUNCTION("iferror(PERCENTRANK.INC(FILTER($R$2:$R$425, $T$2:$T$425&lt;3.75), $R96), 0.01)"),0.025)</f>
        <v>0.025</v>
      </c>
      <c r="Z96" s="20">
        <f>IFERROR(__xludf.DUMMYFUNCTION("iferror(PERCENTRANK.INC(FILTER($R$2:$R$425, $T$2:$T$425&lt;4.25), $R96), 0.01)"),0.025)</f>
        <v>0.025</v>
      </c>
      <c r="AA96" s="20">
        <f>IFERROR(__xludf.DUMMYFUNCTION("iferror(PERCENTRANK.INC(FILTER($R$2:$R$425, $T$2:$T$425&gt;4.1), $R96), 0.01)"),0.01)</f>
        <v>0.01</v>
      </c>
    </row>
    <row r="97" ht="14.25" customHeight="1">
      <c r="A97" s="14" t="s">
        <v>1610</v>
      </c>
      <c r="B97" s="14" t="s">
        <v>443</v>
      </c>
      <c r="C97" s="14">
        <v>15.0</v>
      </c>
      <c r="D97" s="14" t="s">
        <v>38</v>
      </c>
      <c r="E97" s="14" t="s">
        <v>130</v>
      </c>
      <c r="F97" s="14">
        <v>5.0</v>
      </c>
      <c r="G97" s="14">
        <v>11.0</v>
      </c>
      <c r="H97" s="14">
        <v>10.0</v>
      </c>
      <c r="I97" s="42">
        <v>0.909</v>
      </c>
      <c r="J97" s="14">
        <v>0.0</v>
      </c>
      <c r="K97" s="14">
        <v>0.0</v>
      </c>
      <c r="L97" s="14">
        <v>0.0</v>
      </c>
      <c r="M97" s="14">
        <v>0.0</v>
      </c>
      <c r="N97" s="14">
        <v>71.0</v>
      </c>
      <c r="O97" s="20">
        <v>1.1890919999999998</v>
      </c>
      <c r="P97" s="20">
        <v>0.03537323295800144</v>
      </c>
      <c r="Q97" s="15"/>
      <c r="R97" s="20">
        <v>1.1890919999999998</v>
      </c>
      <c r="U97" s="14">
        <f t="array" ref="U97">XLOOKUP(E97, 'Conference Match'!$A$2:$A$25, 'Conference Match'!$C$2:$C$25)</f>
        <v>1</v>
      </c>
      <c r="V97" s="20">
        <f t="shared" si="1"/>
        <v>0.1783638</v>
      </c>
      <c r="W97" s="20">
        <f t="shared" si="2"/>
        <v>3.793965435</v>
      </c>
      <c r="Y97" s="20">
        <f>IFERROR(__xludf.DUMMYFUNCTION("iferror(PERCENTRANK.INC(FILTER($R$2:$R$425, $T$2:$T$425&lt;3.75), $R97), 0.01)"),0.013)</f>
        <v>0.013</v>
      </c>
      <c r="Z97" s="20">
        <f>IFERROR(__xludf.DUMMYFUNCTION("iferror(PERCENTRANK.INC(FILTER($R$2:$R$425, $T$2:$T$425&lt;4.25), $R97), 0.01)"),0.012)</f>
        <v>0.012</v>
      </c>
      <c r="AA97" s="20">
        <f>IFERROR(__xludf.DUMMYFUNCTION("iferror(PERCENTRANK.INC(FILTER($R$2:$R$425, $T$2:$T$425&gt;4.1), $R97), 0.01)"),0.01)</f>
        <v>0.01</v>
      </c>
    </row>
    <row r="98" ht="14.25" customHeight="1">
      <c r="I98" s="42"/>
      <c r="O98" s="20"/>
      <c r="P98" s="20"/>
      <c r="Q98" s="15"/>
      <c r="R98" s="20"/>
      <c r="V98" s="20"/>
      <c r="W98" s="20"/>
      <c r="Y98" s="20">
        <f>IFERROR(__xludf.DUMMYFUNCTION("iferror(PERCENTRANK.INC(FILTER($R$2:$R$425, $T$2:$T$425&lt;3.75), $R98), 0.01)"),0.01)</f>
        <v>0.01</v>
      </c>
      <c r="Z98" s="20">
        <f>IFERROR(__xludf.DUMMYFUNCTION("iferror(PERCENTRANK.INC(FILTER($R$2:$R$425, $T$2:$T$425&lt;4.25), $R98), 0.01)"),0.01)</f>
        <v>0.01</v>
      </c>
      <c r="AA98" s="20">
        <f>IFERROR(__xludf.DUMMYFUNCTION("iferror(PERCENTRANK.INC(FILTER($R$2:$R$425, $T$2:$T$425&gt;4.1), $R98), 0.01)"),0.01)</f>
        <v>0.01</v>
      </c>
    </row>
    <row r="99" ht="14.25" customHeight="1">
      <c r="I99" s="42"/>
      <c r="O99" s="20"/>
      <c r="P99" s="20"/>
      <c r="Q99" s="15"/>
      <c r="R99" s="20"/>
      <c r="V99" s="20"/>
      <c r="W99" s="20"/>
      <c r="Y99" s="20">
        <f>IFERROR(__xludf.DUMMYFUNCTION("iferror(PERCENTRANK.INC(FILTER($R$2:$R$425, $T$2:$T$425&lt;3.75), $R99), 0.01)"),0.01)</f>
        <v>0.01</v>
      </c>
      <c r="Z99" s="20">
        <f>IFERROR(__xludf.DUMMYFUNCTION("iferror(PERCENTRANK.INC(FILTER($R$2:$R$425, $T$2:$T$425&lt;4.25), $R99), 0.01)"),0.01)</f>
        <v>0.01</v>
      </c>
      <c r="AA99" s="20">
        <f>IFERROR(__xludf.DUMMYFUNCTION("iferror(PERCENTRANK.INC(FILTER($R$2:$R$425, $T$2:$T$425&gt;4.1), $R99), 0.01)"),0.01)</f>
        <v>0.01</v>
      </c>
    </row>
    <row r="100" ht="14.25" customHeight="1">
      <c r="I100" s="42"/>
      <c r="O100" s="20"/>
      <c r="P100" s="20"/>
      <c r="Q100" s="15"/>
      <c r="R100" s="20"/>
      <c r="V100" s="20"/>
      <c r="W100" s="20"/>
      <c r="Y100" s="20">
        <f>IFERROR(__xludf.DUMMYFUNCTION("iferror(PERCENTRANK.INC(FILTER($R$2:$R$425, $T$2:$T$425&lt;3.75), $R100), 0.01)"),0.01)</f>
        <v>0.01</v>
      </c>
      <c r="Z100" s="20">
        <f>IFERROR(__xludf.DUMMYFUNCTION("iferror(PERCENTRANK.INC(FILTER($R$2:$R$425, $T$2:$T$425&lt;4.25), $R100), 0.01)"),0.01)</f>
        <v>0.01</v>
      </c>
      <c r="AA100" s="20">
        <f>IFERROR(__xludf.DUMMYFUNCTION("iferror(PERCENTRANK.INC(FILTER($R$2:$R$425, $T$2:$T$425&gt;4.1), $R100), 0.01)"),0.01)</f>
        <v>0.01</v>
      </c>
    </row>
    <row r="101" ht="14.25" customHeight="1">
      <c r="I101" s="42"/>
      <c r="O101" s="20"/>
      <c r="P101" s="20"/>
      <c r="Q101" s="15"/>
      <c r="R101" s="20"/>
      <c r="V101" s="20"/>
      <c r="W101" s="20"/>
      <c r="Y101" s="20">
        <f>IFERROR(__xludf.DUMMYFUNCTION("iferror(PERCENTRANK.INC(FILTER($R$2:$R$425, $T$2:$T$425&lt;3.75), $R101), 0.01)"),0.01)</f>
        <v>0.01</v>
      </c>
      <c r="Z101" s="20">
        <f>IFERROR(__xludf.DUMMYFUNCTION("iferror(PERCENTRANK.INC(FILTER($R$2:$R$425, $T$2:$T$425&lt;4.25), $R101), 0.01)"),0.01)</f>
        <v>0.01</v>
      </c>
      <c r="AA101" s="20">
        <f>IFERROR(__xludf.DUMMYFUNCTION("iferror(PERCENTRANK.INC(FILTER($R$2:$R$425, $T$2:$T$425&gt;4.1), $R101), 0.01)"),0.01)</f>
        <v>0.01</v>
      </c>
    </row>
    <row r="102" ht="14.25" customHeight="1">
      <c r="I102" s="42"/>
      <c r="O102" s="20"/>
      <c r="P102" s="20"/>
      <c r="Q102" s="15"/>
      <c r="R102" s="20"/>
      <c r="V102" s="20"/>
      <c r="W102" s="20"/>
      <c r="Y102" s="20">
        <f>IFERROR(__xludf.DUMMYFUNCTION("iferror(PERCENTRANK.INC(FILTER($R$2:$R$425, $T$2:$T$425&lt;3.75), $R102), 0.01)"),0.01)</f>
        <v>0.01</v>
      </c>
      <c r="Z102" s="20">
        <f>IFERROR(__xludf.DUMMYFUNCTION("iferror(PERCENTRANK.INC(FILTER($R$2:$R$425, $T$2:$T$425&lt;4.25), $R102), 0.01)"),0.01)</f>
        <v>0.01</v>
      </c>
      <c r="AA102" s="20">
        <f>IFERROR(__xludf.DUMMYFUNCTION("iferror(PERCENTRANK.INC(FILTER($R$2:$R$425, $T$2:$T$425&gt;4.1), $R102), 0.01)"),0.01)</f>
        <v>0.01</v>
      </c>
    </row>
    <row r="103" ht="14.25" customHeight="1">
      <c r="I103" s="42"/>
      <c r="O103" s="20"/>
      <c r="P103" s="20"/>
      <c r="Q103" s="15"/>
      <c r="R103" s="20"/>
      <c r="V103" s="20"/>
      <c r="W103" s="20"/>
      <c r="Y103" s="20">
        <f>IFERROR(__xludf.DUMMYFUNCTION("iferror(PERCENTRANK.INC(FILTER($R$2:$R$425, $T$2:$T$425&lt;3.75), $R103), 0.01)"),0.01)</f>
        <v>0.01</v>
      </c>
      <c r="Z103" s="20">
        <f>IFERROR(__xludf.DUMMYFUNCTION("iferror(PERCENTRANK.INC(FILTER($R$2:$R$425, $T$2:$T$425&lt;4.25), $R103), 0.01)"),0.01)</f>
        <v>0.01</v>
      </c>
      <c r="AA103" s="20">
        <f>IFERROR(__xludf.DUMMYFUNCTION("iferror(PERCENTRANK.INC(FILTER($R$2:$R$425, $T$2:$T$425&gt;4.1), $R103), 0.01)"),0.01)</f>
        <v>0.01</v>
      </c>
    </row>
    <row r="104" ht="14.25" customHeight="1">
      <c r="I104" s="42"/>
      <c r="O104" s="20"/>
      <c r="P104" s="20"/>
      <c r="Q104" s="15"/>
      <c r="R104" s="20"/>
      <c r="V104" s="20"/>
      <c r="W104" s="20"/>
      <c r="Y104" s="20">
        <f>IFERROR(__xludf.DUMMYFUNCTION("iferror(PERCENTRANK.INC(FILTER($R$2:$R$425, $T$2:$T$425&lt;3.75), $R104), 0.01)"),0.01)</f>
        <v>0.01</v>
      </c>
      <c r="Z104" s="20">
        <f>IFERROR(__xludf.DUMMYFUNCTION("iferror(PERCENTRANK.INC(FILTER($R$2:$R$425, $T$2:$T$425&lt;4.25), $R104), 0.01)"),0.01)</f>
        <v>0.01</v>
      </c>
      <c r="AA104" s="20">
        <f>IFERROR(__xludf.DUMMYFUNCTION("iferror(PERCENTRANK.INC(FILTER($R$2:$R$425, $T$2:$T$425&gt;4.1), $R104), 0.01)"),0.01)</f>
        <v>0.01</v>
      </c>
    </row>
    <row r="105" ht="14.25" customHeight="1">
      <c r="I105" s="42"/>
      <c r="O105" s="20"/>
      <c r="P105" s="20"/>
      <c r="Q105" s="15"/>
      <c r="R105" s="20"/>
      <c r="V105" s="20"/>
      <c r="W105" s="20"/>
      <c r="Y105" s="20">
        <f>IFERROR(__xludf.DUMMYFUNCTION("iferror(PERCENTRANK.INC(FILTER($R$2:$R$425, $T$2:$T$425&lt;3.75), $R105), 0.01)"),0.01)</f>
        <v>0.01</v>
      </c>
      <c r="Z105" s="20">
        <f>IFERROR(__xludf.DUMMYFUNCTION("iferror(PERCENTRANK.INC(FILTER($R$2:$R$425, $T$2:$T$425&lt;4.25), $R105), 0.01)"),0.01)</f>
        <v>0.01</v>
      </c>
      <c r="AA105" s="20">
        <f>IFERROR(__xludf.DUMMYFUNCTION("iferror(PERCENTRANK.INC(FILTER($R$2:$R$425, $T$2:$T$425&gt;4.1), $R105), 0.01)"),0.01)</f>
        <v>0.01</v>
      </c>
    </row>
    <row r="106" ht="14.25" customHeight="1">
      <c r="I106" s="42"/>
      <c r="O106" s="20"/>
      <c r="P106" s="20"/>
      <c r="Q106" s="15"/>
      <c r="R106" s="20"/>
      <c r="V106" s="20"/>
      <c r="W106" s="20"/>
      <c r="Y106" s="20">
        <f>IFERROR(__xludf.DUMMYFUNCTION("iferror(PERCENTRANK.INC(FILTER($R$2:$R$425, $T$2:$T$425&lt;3.75), $R106), 0.01)"),0.01)</f>
        <v>0.01</v>
      </c>
      <c r="Z106" s="20">
        <f>IFERROR(__xludf.DUMMYFUNCTION("iferror(PERCENTRANK.INC(FILTER($R$2:$R$425, $T$2:$T$425&lt;4.25), $R106), 0.01)"),0.01)</f>
        <v>0.01</v>
      </c>
      <c r="AA106" s="20">
        <f>IFERROR(__xludf.DUMMYFUNCTION("iferror(PERCENTRANK.INC(FILTER($R$2:$R$425, $T$2:$T$425&gt;4.1), $R106), 0.01)"),0.01)</f>
        <v>0.01</v>
      </c>
    </row>
    <row r="107" ht="14.25" customHeight="1">
      <c r="I107" s="42"/>
      <c r="O107" s="20"/>
      <c r="P107" s="20"/>
      <c r="Q107" s="15"/>
      <c r="R107" s="20"/>
      <c r="V107" s="20"/>
      <c r="W107" s="20"/>
      <c r="Y107" s="20">
        <f>IFERROR(__xludf.DUMMYFUNCTION("iferror(PERCENTRANK.INC(FILTER($R$2:$R$425, $T$2:$T$425&lt;3.75), $R107), 0.01)"),0.01)</f>
        <v>0.01</v>
      </c>
      <c r="Z107" s="20">
        <f>IFERROR(__xludf.DUMMYFUNCTION("iferror(PERCENTRANK.INC(FILTER($R$2:$R$425, $T$2:$T$425&lt;4.25), $R107), 0.01)"),0.01)</f>
        <v>0.01</v>
      </c>
      <c r="AA107" s="20">
        <f>IFERROR(__xludf.DUMMYFUNCTION("iferror(PERCENTRANK.INC(FILTER($R$2:$R$425, $T$2:$T$425&gt;4.1), $R107), 0.01)"),0.01)</f>
        <v>0.01</v>
      </c>
    </row>
    <row r="108" ht="14.25" customHeight="1">
      <c r="I108" s="42"/>
      <c r="O108" s="20"/>
      <c r="P108" s="20"/>
      <c r="Q108" s="15"/>
      <c r="R108" s="20"/>
      <c r="V108" s="20"/>
      <c r="W108" s="20"/>
      <c r="Y108" s="20">
        <f>IFERROR(__xludf.DUMMYFUNCTION("iferror(PERCENTRANK.INC(FILTER($R$2:$R$425, $T$2:$T$425&lt;3.75), $R108), 0.01)"),0.01)</f>
        <v>0.01</v>
      </c>
      <c r="Z108" s="20">
        <f>IFERROR(__xludf.DUMMYFUNCTION("iferror(PERCENTRANK.INC(FILTER($R$2:$R$425, $T$2:$T$425&lt;4.25), $R108), 0.01)"),0.01)</f>
        <v>0.01</v>
      </c>
      <c r="AA108" s="20">
        <f>IFERROR(__xludf.DUMMYFUNCTION("iferror(PERCENTRANK.INC(FILTER($R$2:$R$425, $T$2:$T$425&gt;4.1), $R108), 0.01)"),0.01)</f>
        <v>0.01</v>
      </c>
    </row>
    <row r="109" ht="14.25" customHeight="1">
      <c r="I109" s="42"/>
      <c r="O109" s="20"/>
      <c r="P109" s="20"/>
      <c r="Q109" s="15"/>
      <c r="R109" s="20"/>
      <c r="V109" s="20"/>
      <c r="W109" s="20"/>
      <c r="Y109" s="20">
        <f>IFERROR(__xludf.DUMMYFUNCTION("iferror(PERCENTRANK.INC(FILTER($R$2:$R$425, $T$2:$T$425&lt;3.75), $R109), 0.01)"),0.01)</f>
        <v>0.01</v>
      </c>
      <c r="Z109" s="20">
        <f>IFERROR(__xludf.DUMMYFUNCTION("iferror(PERCENTRANK.INC(FILTER($R$2:$R$425, $T$2:$T$425&lt;4.25), $R109), 0.01)"),0.01)</f>
        <v>0.01</v>
      </c>
      <c r="AA109" s="20">
        <f>IFERROR(__xludf.DUMMYFUNCTION("iferror(PERCENTRANK.INC(FILTER($R$2:$R$425, $T$2:$T$425&gt;4.1), $R109), 0.01)"),0.01)</f>
        <v>0.01</v>
      </c>
    </row>
    <row r="110" ht="14.25" customHeight="1">
      <c r="I110" s="42"/>
      <c r="O110" s="20"/>
      <c r="P110" s="20"/>
      <c r="Q110" s="15"/>
      <c r="R110" s="20"/>
      <c r="V110" s="20"/>
      <c r="W110" s="20"/>
      <c r="Y110" s="20">
        <f>IFERROR(__xludf.DUMMYFUNCTION("iferror(PERCENTRANK.INC(FILTER($R$2:$R$425, $T$2:$T$425&lt;3.75), $R110), 0.01)"),0.01)</f>
        <v>0.01</v>
      </c>
      <c r="Z110" s="20">
        <f>IFERROR(__xludf.DUMMYFUNCTION("iferror(PERCENTRANK.INC(FILTER($R$2:$R$425, $T$2:$T$425&lt;4.25), $R110), 0.01)"),0.01)</f>
        <v>0.01</v>
      </c>
      <c r="AA110" s="20">
        <f>IFERROR(__xludf.DUMMYFUNCTION("iferror(PERCENTRANK.INC(FILTER($R$2:$R$425, $T$2:$T$425&gt;4.1), $R110), 0.01)"),0.01)</f>
        <v>0.01</v>
      </c>
    </row>
    <row r="111" ht="14.25" customHeight="1">
      <c r="I111" s="42"/>
      <c r="O111" s="20"/>
      <c r="P111" s="20"/>
      <c r="Q111" s="15"/>
      <c r="R111" s="20"/>
      <c r="V111" s="20"/>
      <c r="W111" s="20"/>
      <c r="Y111" s="20">
        <f>IFERROR(__xludf.DUMMYFUNCTION("iferror(PERCENTRANK.INC(FILTER($R$2:$R$425, $T$2:$T$425&lt;3.75), $R111), 0.01)"),0.01)</f>
        <v>0.01</v>
      </c>
      <c r="Z111" s="20">
        <f>IFERROR(__xludf.DUMMYFUNCTION("iferror(PERCENTRANK.INC(FILTER($R$2:$R$425, $T$2:$T$425&lt;4.25), $R111), 0.01)"),0.01)</f>
        <v>0.01</v>
      </c>
      <c r="AA111" s="20">
        <f>IFERROR(__xludf.DUMMYFUNCTION("iferror(PERCENTRANK.INC(FILTER($R$2:$R$425, $T$2:$T$425&gt;4.1), $R111), 0.01)"),0.01)</f>
        <v>0.01</v>
      </c>
    </row>
    <row r="112" ht="14.25" customHeight="1">
      <c r="I112" s="42"/>
      <c r="O112" s="20"/>
      <c r="P112" s="20"/>
      <c r="Q112" s="15"/>
      <c r="R112" s="20"/>
      <c r="V112" s="20"/>
      <c r="W112" s="20"/>
      <c r="Y112" s="20">
        <f>IFERROR(__xludf.DUMMYFUNCTION("iferror(PERCENTRANK.INC(FILTER($R$2:$R$425, $T$2:$T$425&lt;3.75), $R112), 0.01)"),0.01)</f>
        <v>0.01</v>
      </c>
      <c r="Z112" s="20">
        <f>IFERROR(__xludf.DUMMYFUNCTION("iferror(PERCENTRANK.INC(FILTER($R$2:$R$425, $T$2:$T$425&lt;4.25), $R112), 0.01)"),0.01)</f>
        <v>0.01</v>
      </c>
      <c r="AA112" s="20">
        <f>IFERROR(__xludf.DUMMYFUNCTION("iferror(PERCENTRANK.INC(FILTER($R$2:$R$425, $T$2:$T$425&gt;4.1), $R112), 0.01)"),0.01)</f>
        <v>0.01</v>
      </c>
    </row>
    <row r="113" ht="14.25" customHeight="1">
      <c r="I113" s="42"/>
      <c r="O113" s="20"/>
      <c r="P113" s="20"/>
      <c r="Q113" s="15"/>
      <c r="R113" s="20"/>
      <c r="V113" s="20"/>
      <c r="W113" s="20"/>
      <c r="Y113" s="20">
        <f>IFERROR(__xludf.DUMMYFUNCTION("iferror(PERCENTRANK.INC(FILTER($R$2:$R$425, $T$2:$T$425&lt;3.75), $R113), 0.01)"),0.01)</f>
        <v>0.01</v>
      </c>
      <c r="Z113" s="20">
        <f>IFERROR(__xludf.DUMMYFUNCTION("iferror(PERCENTRANK.INC(FILTER($R$2:$R$425, $T$2:$T$425&lt;4.25), $R113), 0.01)"),0.01)</f>
        <v>0.01</v>
      </c>
      <c r="AA113" s="20">
        <f>IFERROR(__xludf.DUMMYFUNCTION("iferror(PERCENTRANK.INC(FILTER($R$2:$R$425, $T$2:$T$425&gt;4.1), $R113), 0.01)"),0.01)</f>
        <v>0.01</v>
      </c>
    </row>
    <row r="114" ht="14.25" customHeight="1">
      <c r="I114" s="42"/>
      <c r="O114" s="20"/>
      <c r="P114" s="20"/>
      <c r="Q114" s="15"/>
      <c r="R114" s="20"/>
      <c r="V114" s="20"/>
      <c r="W114" s="20"/>
      <c r="Y114" s="20">
        <f>IFERROR(__xludf.DUMMYFUNCTION("iferror(PERCENTRANK.INC(FILTER($R$2:$R$425, $T$2:$T$425&lt;3.75), $R114), 0.01)"),0.01)</f>
        <v>0.01</v>
      </c>
      <c r="Z114" s="20">
        <f>IFERROR(__xludf.DUMMYFUNCTION("iferror(PERCENTRANK.INC(FILTER($R$2:$R$425, $T$2:$T$425&lt;4.25), $R114), 0.01)"),0.01)</f>
        <v>0.01</v>
      </c>
      <c r="AA114" s="20">
        <f>IFERROR(__xludf.DUMMYFUNCTION("iferror(PERCENTRANK.INC(FILTER($R$2:$R$425, $T$2:$T$425&gt;4.1), $R114), 0.01)"),0.01)</f>
        <v>0.01</v>
      </c>
    </row>
    <row r="115" ht="14.25" customHeight="1">
      <c r="I115" s="42"/>
      <c r="O115" s="20"/>
      <c r="P115" s="20"/>
      <c r="Q115" s="15"/>
      <c r="R115" s="20"/>
      <c r="V115" s="20"/>
      <c r="W115" s="20"/>
      <c r="Y115" s="20">
        <f>IFERROR(__xludf.DUMMYFUNCTION("iferror(PERCENTRANK.INC(FILTER($R$2:$R$425, $T$2:$T$425&lt;3.75), $R115), 0.01)"),0.01)</f>
        <v>0.01</v>
      </c>
      <c r="Z115" s="20">
        <f>IFERROR(__xludf.DUMMYFUNCTION("iferror(PERCENTRANK.INC(FILTER($R$2:$R$425, $T$2:$T$425&lt;4.25), $R115), 0.01)"),0.01)</f>
        <v>0.01</v>
      </c>
      <c r="AA115" s="20">
        <f>IFERROR(__xludf.DUMMYFUNCTION("iferror(PERCENTRANK.INC(FILTER($R$2:$R$425, $T$2:$T$425&gt;4.1), $R115), 0.01)"),0.01)</f>
        <v>0.01</v>
      </c>
    </row>
    <row r="116" ht="14.25" customHeight="1">
      <c r="I116" s="42"/>
      <c r="O116" s="20"/>
      <c r="P116" s="20"/>
      <c r="Q116" s="15"/>
      <c r="R116" s="20"/>
      <c r="V116" s="20"/>
      <c r="W116" s="20"/>
      <c r="Y116" s="20">
        <f>IFERROR(__xludf.DUMMYFUNCTION("iferror(PERCENTRANK.INC(FILTER($R$2:$R$425, $T$2:$T$425&lt;3.75), $R116), 0.01)"),0.01)</f>
        <v>0.01</v>
      </c>
      <c r="Z116" s="20">
        <f>IFERROR(__xludf.DUMMYFUNCTION("iferror(PERCENTRANK.INC(FILTER($R$2:$R$425, $T$2:$T$425&lt;4.25), $R116), 0.01)"),0.01)</f>
        <v>0.01</v>
      </c>
      <c r="AA116" s="20">
        <f>IFERROR(__xludf.DUMMYFUNCTION("iferror(PERCENTRANK.INC(FILTER($R$2:$R$425, $T$2:$T$425&gt;4.1), $R116), 0.01)"),0.01)</f>
        <v>0.01</v>
      </c>
    </row>
    <row r="117" ht="14.25" customHeight="1">
      <c r="I117" s="42"/>
      <c r="O117" s="20"/>
      <c r="P117" s="20"/>
      <c r="Q117" s="15"/>
      <c r="R117" s="20"/>
      <c r="V117" s="20"/>
      <c r="W117" s="20"/>
      <c r="Y117" s="20">
        <f>IFERROR(__xludf.DUMMYFUNCTION("iferror(PERCENTRANK.INC(FILTER($R$2:$R$425, $T$2:$T$425&lt;3.75), $R117), 0.01)"),0.01)</f>
        <v>0.01</v>
      </c>
      <c r="Z117" s="20">
        <f>IFERROR(__xludf.DUMMYFUNCTION("iferror(PERCENTRANK.INC(FILTER($R$2:$R$425, $T$2:$T$425&lt;4.25), $R117), 0.01)"),0.01)</f>
        <v>0.01</v>
      </c>
      <c r="AA117" s="20">
        <f>IFERROR(__xludf.DUMMYFUNCTION("iferror(PERCENTRANK.INC(FILTER($R$2:$R$425, $T$2:$T$425&gt;4.1), $R117), 0.01)"),0.01)</f>
        <v>0.01</v>
      </c>
    </row>
    <row r="118" ht="14.25" customHeight="1">
      <c r="I118" s="42"/>
      <c r="O118" s="20"/>
      <c r="P118" s="20"/>
      <c r="Q118" s="15"/>
      <c r="R118" s="20"/>
      <c r="V118" s="20"/>
      <c r="W118" s="20"/>
      <c r="Y118" s="20">
        <f>IFERROR(__xludf.DUMMYFUNCTION("iferror(PERCENTRANK.INC(FILTER($R$2:$R$425, $T$2:$T$425&lt;3.75), $R118), 0.01)"),0.01)</f>
        <v>0.01</v>
      </c>
      <c r="Z118" s="20">
        <f>IFERROR(__xludf.DUMMYFUNCTION("iferror(PERCENTRANK.INC(FILTER($R$2:$R$425, $T$2:$T$425&lt;4.25), $R118), 0.01)"),0.01)</f>
        <v>0.01</v>
      </c>
      <c r="AA118" s="20">
        <f>IFERROR(__xludf.DUMMYFUNCTION("iferror(PERCENTRANK.INC(FILTER($R$2:$R$425, $T$2:$T$425&gt;4.1), $R118), 0.01)"),0.01)</f>
        <v>0.01</v>
      </c>
    </row>
    <row r="119" ht="14.25" customHeight="1">
      <c r="I119" s="42"/>
      <c r="O119" s="20"/>
      <c r="P119" s="20"/>
      <c r="Q119" s="15"/>
      <c r="R119" s="20"/>
      <c r="V119" s="20"/>
      <c r="W119" s="20"/>
      <c r="Y119" s="20">
        <f>IFERROR(__xludf.DUMMYFUNCTION("iferror(PERCENTRANK.INC(FILTER($R$2:$R$425, $T$2:$T$425&lt;3.75), $R119), 0.01)"),0.01)</f>
        <v>0.01</v>
      </c>
      <c r="Z119" s="20">
        <f>IFERROR(__xludf.DUMMYFUNCTION("iferror(PERCENTRANK.INC(FILTER($R$2:$R$425, $T$2:$T$425&lt;4.25), $R119), 0.01)"),0.01)</f>
        <v>0.01</v>
      </c>
      <c r="AA119" s="20">
        <f>IFERROR(__xludf.DUMMYFUNCTION("iferror(PERCENTRANK.INC(FILTER($R$2:$R$425, $T$2:$T$425&gt;4.1), $R119), 0.01)"),0.01)</f>
        <v>0.01</v>
      </c>
    </row>
    <row r="120" ht="14.25" customHeight="1">
      <c r="I120" s="42"/>
      <c r="O120" s="20"/>
      <c r="P120" s="20"/>
      <c r="Q120" s="15"/>
      <c r="R120" s="20"/>
      <c r="V120" s="20"/>
      <c r="W120" s="20"/>
      <c r="Y120" s="20">
        <f>IFERROR(__xludf.DUMMYFUNCTION("iferror(PERCENTRANK.INC(FILTER($R$2:$R$425, $T$2:$T$425&lt;3.75), $R120), 0.01)"),0.01)</f>
        <v>0.01</v>
      </c>
      <c r="Z120" s="20">
        <f>IFERROR(__xludf.DUMMYFUNCTION("iferror(PERCENTRANK.INC(FILTER($R$2:$R$425, $T$2:$T$425&lt;4.25), $R120), 0.01)"),0.01)</f>
        <v>0.01</v>
      </c>
      <c r="AA120" s="20">
        <f>IFERROR(__xludf.DUMMYFUNCTION("iferror(PERCENTRANK.INC(FILTER($R$2:$R$425, $T$2:$T$425&gt;4.1), $R120), 0.01)"),0.01)</f>
        <v>0.01</v>
      </c>
    </row>
    <row r="121" ht="14.25" customHeight="1">
      <c r="I121" s="42"/>
      <c r="O121" s="20"/>
      <c r="P121" s="20"/>
      <c r="Q121" s="15"/>
      <c r="R121" s="20"/>
      <c r="V121" s="20"/>
      <c r="W121" s="20"/>
      <c r="Y121" s="20">
        <f>IFERROR(__xludf.DUMMYFUNCTION("iferror(PERCENTRANK.INC(FILTER($R$2:$R$425, $T$2:$T$425&lt;3.75), $R121), 0.01)"),0.01)</f>
        <v>0.01</v>
      </c>
      <c r="Z121" s="20">
        <f>IFERROR(__xludf.DUMMYFUNCTION("iferror(PERCENTRANK.INC(FILTER($R$2:$R$425, $T$2:$T$425&lt;4.25), $R121), 0.01)"),0.01)</f>
        <v>0.01</v>
      </c>
      <c r="AA121" s="20">
        <f>IFERROR(__xludf.DUMMYFUNCTION("iferror(PERCENTRANK.INC(FILTER($R$2:$R$425, $T$2:$T$425&gt;4.1), $R121), 0.01)"),0.01)</f>
        <v>0.01</v>
      </c>
    </row>
    <row r="122" ht="14.25" customHeight="1">
      <c r="I122" s="42"/>
      <c r="O122" s="20"/>
      <c r="P122" s="20"/>
      <c r="Q122" s="15"/>
      <c r="R122" s="20"/>
      <c r="V122" s="20"/>
      <c r="W122" s="20"/>
      <c r="Y122" s="20">
        <f>IFERROR(__xludf.DUMMYFUNCTION("iferror(PERCENTRANK.INC(FILTER($R$2:$R$425, $T$2:$T$425&lt;3.75), $R122), 0.01)"),0.01)</f>
        <v>0.01</v>
      </c>
      <c r="Z122" s="20">
        <f>IFERROR(__xludf.DUMMYFUNCTION("iferror(PERCENTRANK.INC(FILTER($R$2:$R$425, $T$2:$T$425&lt;4.25), $R122), 0.01)"),0.01)</f>
        <v>0.01</v>
      </c>
      <c r="AA122" s="20">
        <f>IFERROR(__xludf.DUMMYFUNCTION("iferror(PERCENTRANK.INC(FILTER($R$2:$R$425, $T$2:$T$425&gt;4.1), $R122), 0.01)"),0.01)</f>
        <v>0.01</v>
      </c>
    </row>
    <row r="123" ht="14.25" customHeight="1">
      <c r="I123" s="42"/>
      <c r="O123" s="20"/>
      <c r="P123" s="20"/>
      <c r="Q123" s="15"/>
      <c r="R123" s="20"/>
      <c r="V123" s="20"/>
      <c r="W123" s="20"/>
      <c r="Y123" s="20">
        <f>IFERROR(__xludf.DUMMYFUNCTION("iferror(PERCENTRANK.INC(FILTER($R$2:$R$425, $T$2:$T$425&lt;3.75), $R123), 0.01)"),0.01)</f>
        <v>0.01</v>
      </c>
      <c r="Z123" s="20">
        <f>IFERROR(__xludf.DUMMYFUNCTION("iferror(PERCENTRANK.INC(FILTER($R$2:$R$425, $T$2:$T$425&lt;4.25), $R123), 0.01)"),0.01)</f>
        <v>0.01</v>
      </c>
      <c r="AA123" s="20">
        <f>IFERROR(__xludf.DUMMYFUNCTION("iferror(PERCENTRANK.INC(FILTER($R$2:$R$425, $T$2:$T$425&gt;4.1), $R123), 0.01)"),0.01)</f>
        <v>0.01</v>
      </c>
    </row>
    <row r="124" ht="14.25" customHeight="1">
      <c r="I124" s="42"/>
      <c r="O124" s="20"/>
      <c r="P124" s="20"/>
      <c r="Q124" s="15"/>
      <c r="R124" s="20"/>
      <c r="V124" s="20"/>
      <c r="W124" s="20"/>
      <c r="Y124" s="20">
        <f>IFERROR(__xludf.DUMMYFUNCTION("iferror(PERCENTRANK.INC(FILTER($R$2:$R$425, $T$2:$T$425&lt;3.75), $R124), 0.01)"),0.01)</f>
        <v>0.01</v>
      </c>
      <c r="Z124" s="20">
        <f>IFERROR(__xludf.DUMMYFUNCTION("iferror(PERCENTRANK.INC(FILTER($R$2:$R$425, $T$2:$T$425&lt;4.25), $R124), 0.01)"),0.01)</f>
        <v>0.01</v>
      </c>
      <c r="AA124" s="20">
        <f>IFERROR(__xludf.DUMMYFUNCTION("iferror(PERCENTRANK.INC(FILTER($R$2:$R$425, $T$2:$T$425&gt;4.1), $R124), 0.01)"),0.01)</f>
        <v>0.01</v>
      </c>
    </row>
    <row r="125" ht="14.25" customHeight="1">
      <c r="I125" s="42"/>
      <c r="O125" s="20"/>
      <c r="P125" s="20"/>
      <c r="Q125" s="15"/>
      <c r="R125" s="20"/>
      <c r="V125" s="20"/>
      <c r="W125" s="20"/>
      <c r="Y125" s="20">
        <f>IFERROR(__xludf.DUMMYFUNCTION("iferror(PERCENTRANK.INC(FILTER($R$2:$R$425, $T$2:$T$425&lt;3.75), $R125), 0.01)"),0.01)</f>
        <v>0.01</v>
      </c>
      <c r="Z125" s="20">
        <f>IFERROR(__xludf.DUMMYFUNCTION("iferror(PERCENTRANK.INC(FILTER($R$2:$R$425, $T$2:$T$425&lt;4.25), $R125), 0.01)"),0.01)</f>
        <v>0.01</v>
      </c>
      <c r="AA125" s="20">
        <f>IFERROR(__xludf.DUMMYFUNCTION("iferror(PERCENTRANK.INC(FILTER($R$2:$R$425, $T$2:$T$425&gt;4.1), $R125), 0.01)"),0.01)</f>
        <v>0.01</v>
      </c>
    </row>
    <row r="126" ht="14.25" customHeight="1">
      <c r="A126" s="14" t="s">
        <v>1611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>IFERROR(T126*0.7+R126*U126*0.15+S126*0.15, 0)</f>
        <v>0.16929</v>
      </c>
      <c r="W126" s="20">
        <f>100*(V126-MIN($V$2:$V$126))/(MAX($V$2:$V$126) - MIN($V$2:$V$126))</f>
        <v>3.600957192</v>
      </c>
      <c r="Y126" s="20">
        <f>IFERROR(__xludf.DUMMYFUNCTION("iferror(PERCENTRANK.INC(FILTER($R$2:$R$425, $T$2:$T$425&lt;3.75), $R126), 0.01)"),0.0)</f>
        <v>0</v>
      </c>
      <c r="Z126" s="20">
        <f>IFERROR(__xludf.DUMMYFUNCTION("iferror(PERCENTRANK.INC(FILTER($R$2:$R$425, $T$2:$T$425&lt;4.25), $R126), 0.01)"),0.0)</f>
        <v>0</v>
      </c>
      <c r="AA126" s="20">
        <f>IFERROR(__xludf.DUMMYFUNCTION("iferror(PERCENTRANK.INC(FILTER($R$2:$R$425, $T$2:$T$425&gt;4.1), $R126),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1505</v>
      </c>
      <c r="G1" s="14" t="s">
        <v>1506</v>
      </c>
      <c r="H1" s="14" t="s">
        <v>1507</v>
      </c>
      <c r="I1" s="14" t="s">
        <v>79</v>
      </c>
      <c r="J1" s="14" t="s">
        <v>83</v>
      </c>
      <c r="K1" s="14" t="s">
        <v>1508</v>
      </c>
      <c r="L1" s="14" t="s">
        <v>1509</v>
      </c>
      <c r="M1" s="14" t="s">
        <v>1510</v>
      </c>
      <c r="N1" s="14" t="s">
        <v>1511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1612</v>
      </c>
      <c r="B2" s="17" t="s">
        <v>166</v>
      </c>
      <c r="C2" s="18">
        <v>17.0</v>
      </c>
      <c r="D2" s="17" t="s">
        <v>1613</v>
      </c>
      <c r="E2" s="17" t="s">
        <v>157</v>
      </c>
      <c r="F2" s="18">
        <v>1.0</v>
      </c>
      <c r="G2" s="18">
        <v>38.0</v>
      </c>
      <c r="H2" s="18">
        <v>19.0</v>
      </c>
      <c r="I2" s="19">
        <v>0.5</v>
      </c>
      <c r="J2" s="18">
        <v>3.0</v>
      </c>
      <c r="K2" s="18">
        <v>0.0</v>
      </c>
      <c r="L2" s="18">
        <v>3.0</v>
      </c>
      <c r="M2" s="18">
        <v>5.0</v>
      </c>
      <c r="N2" s="18">
        <v>348.0</v>
      </c>
      <c r="O2" s="22">
        <v>2.49</v>
      </c>
      <c r="P2" s="22">
        <v>42.31</v>
      </c>
      <c r="Q2" s="15"/>
      <c r="R2" s="36">
        <v>2.49</v>
      </c>
      <c r="T2" s="16">
        <v>4.56</v>
      </c>
      <c r="U2" s="14">
        <f t="array" ref="U2">XLOOKUP(E2, 'Conference Match'!$A$2:$A$25, 'Conference Match'!$C$2:$C$25)</f>
        <v>0.9</v>
      </c>
      <c r="V2" s="20">
        <f t="shared" ref="V2:V60" si="1">IFERROR(T2*0.7+R2*U2*0.15+S2*0.15, 0)</f>
        <v>3.52815</v>
      </c>
      <c r="W2" s="20">
        <f t="shared" ref="W2:W60" si="2">100*(V2-MIN($V$2:$V$87))/(MAX($V$2:$V$87) - MIN($V$2:$V$87))</f>
        <v>100</v>
      </c>
      <c r="Y2" s="20">
        <f>IFERROR(__xludf.DUMMYFUNCTION("iferror(PERCENTRANK.INC(FILTER($R$2:$R$425, $T$2:$T$425&lt;3.75), $R2), 0.01)"),0.971)</f>
        <v>0.971</v>
      </c>
      <c r="Z2" s="20">
        <f>IFERROR(__xludf.DUMMYFUNCTION("iferror(PERCENTRANK.INC(FILTER($R$2:$R$425, $T$2:$T$425&lt;4.5), $R2), 0.01)"),0.972)</f>
        <v>0.972</v>
      </c>
      <c r="AA2" s="20">
        <f>IFERROR(__xludf.DUMMYFUNCTION("iferror(PERCENTRANK.INC(FILTER($R$2:$R$425, $T$2:$T$425&gt;4.1), $R2), 0.01)"),1.0)</f>
        <v>1</v>
      </c>
    </row>
    <row r="3" ht="14.25" customHeight="1">
      <c r="A3" s="14" t="s">
        <v>1614</v>
      </c>
      <c r="B3" s="14" t="s">
        <v>419</v>
      </c>
      <c r="C3" s="14">
        <v>28.0</v>
      </c>
      <c r="D3" s="14" t="s">
        <v>38</v>
      </c>
      <c r="E3" s="14" t="s">
        <v>164</v>
      </c>
      <c r="F3" s="14">
        <v>39.0</v>
      </c>
      <c r="G3" s="14">
        <v>21.0</v>
      </c>
      <c r="H3" s="14">
        <v>10.0</v>
      </c>
      <c r="I3" s="42">
        <v>0.476</v>
      </c>
      <c r="J3" s="14">
        <v>1.0</v>
      </c>
      <c r="K3" s="14">
        <v>1.0</v>
      </c>
      <c r="L3" s="14">
        <v>4.0</v>
      </c>
      <c r="M3" s="14">
        <v>4.0</v>
      </c>
      <c r="N3" s="14">
        <v>173.0</v>
      </c>
      <c r="O3" s="20">
        <v>2.214288</v>
      </c>
      <c r="P3" s="20">
        <v>33.2446195109942</v>
      </c>
      <c r="Q3" s="15"/>
      <c r="R3" s="20">
        <v>2.214288</v>
      </c>
      <c r="T3" s="20">
        <v>4.56</v>
      </c>
      <c r="U3" s="14">
        <f t="array" ref="U3">XLOOKUP(E3, 'Conference Match'!$A$2:$A$25, 'Conference Match'!$C$2:$C$25)</f>
        <v>1</v>
      </c>
      <c r="V3" s="20">
        <f t="shared" si="1"/>
        <v>3.5241432</v>
      </c>
      <c r="W3" s="20">
        <f t="shared" si="2"/>
        <v>99.88068675</v>
      </c>
      <c r="Y3" s="20">
        <f>IFERROR(__xludf.DUMMYFUNCTION("iferror(PERCENTRANK.INC(FILTER($R$2:$R$425, $T$2:$T$425&lt;3.75), $R3), 0.01)"),0.899)</f>
        <v>0.899</v>
      </c>
      <c r="Z3" s="20">
        <f>IFERROR(__xludf.DUMMYFUNCTION("iferror(PERCENTRANK.INC(FILTER($R$2:$R$425, $T$2:$T$425&lt;4.5), $R3), 0.01)"),0.882)</f>
        <v>0.882</v>
      </c>
      <c r="AA3" s="20">
        <f>IFERROR(__xludf.DUMMYFUNCTION("iferror(PERCENTRANK.INC(FILTER($R$2:$R$425, $T$2:$T$425&gt;4.1), $R3), 0.01)"),0.333)</f>
        <v>0.333</v>
      </c>
    </row>
    <row r="4" ht="14.25" customHeight="1">
      <c r="A4" s="17" t="s">
        <v>1615</v>
      </c>
      <c r="B4" s="17" t="s">
        <v>543</v>
      </c>
      <c r="C4" s="18">
        <v>7.0</v>
      </c>
      <c r="D4" s="17" t="s">
        <v>1613</v>
      </c>
      <c r="E4" s="17" t="s">
        <v>149</v>
      </c>
      <c r="F4" s="18">
        <v>3.0</v>
      </c>
      <c r="G4" s="18">
        <v>20.0</v>
      </c>
      <c r="H4" s="18">
        <v>13.0</v>
      </c>
      <c r="I4" s="19">
        <v>0.65</v>
      </c>
      <c r="J4" s="18">
        <v>0.0</v>
      </c>
      <c r="K4" s="18">
        <v>1.0</v>
      </c>
      <c r="L4" s="18">
        <v>1.0</v>
      </c>
      <c r="M4" s="18">
        <v>3.0</v>
      </c>
      <c r="N4" s="18">
        <v>212.0</v>
      </c>
      <c r="O4" s="22">
        <v>1.63</v>
      </c>
      <c r="P4" s="22">
        <v>14.39</v>
      </c>
      <c r="Q4" s="15"/>
      <c r="R4" s="36">
        <v>1.63</v>
      </c>
      <c r="S4" s="16">
        <v>0.02</v>
      </c>
      <c r="T4" s="16">
        <v>4.56</v>
      </c>
      <c r="U4" s="14">
        <f t="array" ref="U4">XLOOKUP(E4, 'Conference Match'!$A$2:$A$25, 'Conference Match'!$C$2:$C$25)</f>
        <v>0.95</v>
      </c>
      <c r="V4" s="20">
        <f t="shared" si="1"/>
        <v>3.427275</v>
      </c>
      <c r="W4" s="20">
        <f t="shared" si="2"/>
        <v>96.99617543</v>
      </c>
      <c r="Y4" s="20">
        <f>IFERROR(__xludf.DUMMYFUNCTION("iferror(PERCENTRANK.INC(FILTER($R$2:$R$425, $T$2:$T$425&lt;3.75), $R4), 0.01)"),0.568)</f>
        <v>0.568</v>
      </c>
      <c r="Z4" s="20">
        <f>IFERROR(__xludf.DUMMYFUNCTION("iferror(PERCENTRANK.INC(FILTER($R$2:$R$425, $T$2:$T$425&lt;4.5), $R4), 0.01)"),0.557)</f>
        <v>0.557</v>
      </c>
      <c r="AA4" s="20">
        <f>IFERROR(__xludf.DUMMYFUNCTION("iferror(PERCENTRANK.INC(FILTER($R$2:$R$425, $T$2:$T$425&gt;4.1), $R4), 0.01)"),0.0)</f>
        <v>0</v>
      </c>
    </row>
    <row r="5" ht="14.25" customHeight="1">
      <c r="A5" s="17" t="s">
        <v>1616</v>
      </c>
      <c r="B5" s="17" t="s">
        <v>433</v>
      </c>
      <c r="C5" s="18">
        <v>23.0</v>
      </c>
      <c r="D5" s="17" t="s">
        <v>1613</v>
      </c>
      <c r="E5" s="17" t="s">
        <v>120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96.95895331</v>
      </c>
      <c r="Y5" s="20">
        <f>IFERROR(__xludf.DUMMYFUNCTION("iferror(PERCENTRANK.INC(FILTER($R$2:$R$425, $T$2:$T$425&lt;3.75), $R5), 0.01)"),0.937)</f>
        <v>0.937</v>
      </c>
      <c r="Z5" s="20">
        <f>IFERROR(__xludf.DUMMYFUNCTION("iferror(PERCENTRANK.INC(FILTER($R$2:$R$425, $T$2:$T$425&lt;4.5), $R5), 0.01)"),0.927)</f>
        <v>0.927</v>
      </c>
      <c r="AA5" s="20">
        <f>IFERROR(__xludf.DUMMYFUNCTION("iferror(PERCENTRANK.INC(FILTER($R$2:$R$425, $T$2:$T$425&gt;4.1), $R5), 0.01)"),0.667)</f>
        <v>0.667</v>
      </c>
    </row>
    <row r="6" ht="14.25" customHeight="1">
      <c r="A6" s="17" t="s">
        <v>1617</v>
      </c>
      <c r="B6" s="17" t="s">
        <v>727</v>
      </c>
      <c r="C6" s="18">
        <v>14.0</v>
      </c>
      <c r="D6" s="17" t="s">
        <v>1613</v>
      </c>
      <c r="E6" s="17" t="s">
        <v>102</v>
      </c>
      <c r="F6" s="18">
        <v>2.0</v>
      </c>
      <c r="G6" s="18">
        <v>23.0</v>
      </c>
      <c r="H6" s="18">
        <v>19.0</v>
      </c>
      <c r="I6" s="19">
        <v>0.826</v>
      </c>
      <c r="J6" s="18">
        <v>0.0</v>
      </c>
      <c r="K6" s="18">
        <v>1.0</v>
      </c>
      <c r="L6" s="18">
        <v>2.0</v>
      </c>
      <c r="M6" s="18">
        <v>3.0</v>
      </c>
      <c r="N6" s="18">
        <v>141.0</v>
      </c>
      <c r="O6" s="22">
        <v>1.73</v>
      </c>
      <c r="P6" s="22">
        <v>19.89</v>
      </c>
      <c r="Q6" s="15"/>
      <c r="R6" s="22">
        <v>1.73</v>
      </c>
      <c r="S6" s="16">
        <v>0.03</v>
      </c>
      <c r="T6" s="16">
        <v>3.44</v>
      </c>
      <c r="U6" s="14">
        <f t="array" ref="U6">XLOOKUP(E6, 'Conference Match'!$A$2:$A$25, 'Conference Match'!$C$2:$C$25)</f>
        <v>1</v>
      </c>
      <c r="V6" s="20">
        <f t="shared" si="1"/>
        <v>2.672</v>
      </c>
      <c r="W6" s="20">
        <f t="shared" si="2"/>
        <v>74.50582991</v>
      </c>
      <c r="Y6" s="20">
        <f>IFERROR(__xludf.DUMMYFUNCTION("iferror(PERCENTRANK.INC(FILTER($R$2:$R$425, $T$2:$T$425&lt;3.75), $R6), 0.01)"),0.63)</f>
        <v>0.63</v>
      </c>
      <c r="Z6" s="20">
        <f>IFERROR(__xludf.DUMMYFUNCTION("iferror(PERCENTRANK.INC(FILTER($R$2:$R$425, $T$2:$T$425&lt;4.5), $R6), 0.01)"),0.618)</f>
        <v>0.618</v>
      </c>
      <c r="AA6" s="20">
        <f>IFERROR(__xludf.DUMMYFUNCTION("iferror(PERCENTRANK.INC(FILTER($R$2:$R$425, $T$2:$T$425&gt;4.1), $R6), 0.01)"),0.057)</f>
        <v>0.057</v>
      </c>
    </row>
    <row r="7" ht="14.25" customHeight="1">
      <c r="A7" s="17" t="s">
        <v>1618</v>
      </c>
      <c r="B7" s="17" t="s">
        <v>299</v>
      </c>
      <c r="C7" s="18">
        <v>16.0</v>
      </c>
      <c r="D7" s="17" t="s">
        <v>1613</v>
      </c>
      <c r="E7" s="17" t="s">
        <v>120</v>
      </c>
      <c r="F7" s="18">
        <v>0.0</v>
      </c>
      <c r="G7" s="18">
        <v>6.0</v>
      </c>
      <c r="H7" s="18">
        <v>5.0</v>
      </c>
      <c r="I7" s="19">
        <v>0.833</v>
      </c>
      <c r="J7" s="18">
        <v>1.0</v>
      </c>
      <c r="K7" s="18">
        <v>0.0</v>
      </c>
      <c r="L7" s="18">
        <v>0.0</v>
      </c>
      <c r="M7" s="18">
        <v>0.0</v>
      </c>
      <c r="N7" s="18">
        <v>59.0</v>
      </c>
      <c r="O7" s="22">
        <v>1.39</v>
      </c>
      <c r="P7" s="22">
        <v>6.54</v>
      </c>
      <c r="Q7" s="15"/>
      <c r="R7" s="36">
        <v>1.39</v>
      </c>
      <c r="S7" s="16">
        <v>0.0</v>
      </c>
      <c r="T7" s="16">
        <v>3.44</v>
      </c>
      <c r="U7" s="14">
        <f t="array" ref="U7">XLOOKUP(E7, 'Conference Match'!$A$2:$A$25, 'Conference Match'!$C$2:$C$25)</f>
        <v>0.95</v>
      </c>
      <c r="V7" s="20">
        <f t="shared" si="1"/>
        <v>2.606075</v>
      </c>
      <c r="W7" s="20">
        <f t="shared" si="2"/>
        <v>72.54273564</v>
      </c>
      <c r="Y7" s="20">
        <f>IFERROR(__xludf.DUMMYFUNCTION("iferror(PERCENTRANK.INC(FILTER($R$2:$R$425, $T$2:$T$425&lt;3.75), $R7), 0.01)"),0.296)</f>
        <v>0.296</v>
      </c>
      <c r="Z7" s="20">
        <f>IFERROR(__xludf.DUMMYFUNCTION("iferror(PERCENTRANK.INC(FILTER($R$2:$R$425, $T$2:$T$425&lt;4.5), $R7), 0.01)"),0.291)</f>
        <v>0.291</v>
      </c>
      <c r="AA7" s="20">
        <f>IFERROR(__xludf.DUMMYFUNCTION("iferror(PERCENTRANK.INC(FILTER($R$2:$R$425, $T$2:$T$425&gt;4.1), $R7), 0.01)"),0.01)</f>
        <v>0.01</v>
      </c>
    </row>
    <row r="8" ht="14.25" customHeight="1">
      <c r="A8" s="17" t="s">
        <v>1619</v>
      </c>
      <c r="B8" s="17" t="s">
        <v>321</v>
      </c>
      <c r="C8" s="18">
        <v>6.0</v>
      </c>
      <c r="D8" s="17" t="s">
        <v>1613</v>
      </c>
      <c r="E8" s="17" t="s">
        <v>100</v>
      </c>
      <c r="F8" s="18">
        <v>3.0</v>
      </c>
      <c r="G8" s="18">
        <v>28.0</v>
      </c>
      <c r="H8" s="18">
        <v>13.0</v>
      </c>
      <c r="I8" s="19">
        <v>0.464</v>
      </c>
      <c r="J8" s="18">
        <v>2.0</v>
      </c>
      <c r="K8" s="18">
        <v>0.0</v>
      </c>
      <c r="L8" s="18">
        <v>0.0</v>
      </c>
      <c r="M8" s="18">
        <v>1.0</v>
      </c>
      <c r="N8" s="18">
        <v>327.0</v>
      </c>
      <c r="O8" s="22">
        <v>1.67</v>
      </c>
      <c r="P8" s="22">
        <v>17.84</v>
      </c>
      <c r="Q8" s="15"/>
      <c r="R8" s="22">
        <v>1.67</v>
      </c>
      <c r="S8" s="16">
        <v>0.1</v>
      </c>
      <c r="T8" s="16">
        <v>3.22</v>
      </c>
      <c r="U8" s="14">
        <f t="array" ref="U8">XLOOKUP(E8, 'Conference Match'!$A$2:$A$25, 'Conference Match'!$C$2:$C$25)</f>
        <v>0.9</v>
      </c>
      <c r="V8" s="20">
        <f t="shared" si="1"/>
        <v>2.49445</v>
      </c>
      <c r="W8" s="20">
        <f t="shared" si="2"/>
        <v>69.21880089</v>
      </c>
      <c r="Y8" s="20">
        <f>IFERROR(__xludf.DUMMYFUNCTION("iferror(PERCENTRANK.INC(FILTER($R$2:$R$425, $T$2:$T$425&lt;3.75), $R8), 0.01)"),0.611)</f>
        <v>0.611</v>
      </c>
      <c r="Z8" s="20">
        <f>IFERROR(__xludf.DUMMYFUNCTION("iferror(PERCENTRANK.INC(FILTER($R$2:$R$425, $T$2:$T$425&lt;4.5), $R8), 0.01)"),0.6)</f>
        <v>0.6</v>
      </c>
      <c r="AA8" s="20">
        <f>IFERROR(__xludf.DUMMYFUNCTION("iferror(PERCENTRANK.INC(FILTER($R$2:$R$425, $T$2:$T$425&gt;4.1), $R8), 0.01)"),0.023)</f>
        <v>0.023</v>
      </c>
    </row>
    <row r="9" ht="14.25" customHeight="1">
      <c r="A9" s="14" t="s">
        <v>1620</v>
      </c>
      <c r="B9" s="14" t="s">
        <v>218</v>
      </c>
      <c r="C9" s="14">
        <v>9.0</v>
      </c>
      <c r="D9" s="14" t="s">
        <v>1613</v>
      </c>
      <c r="E9" s="14" t="s">
        <v>219</v>
      </c>
      <c r="F9" s="14">
        <v>1.0</v>
      </c>
      <c r="G9" s="14">
        <v>20.0</v>
      </c>
      <c r="H9" s="14">
        <v>13.0</v>
      </c>
      <c r="I9" s="42">
        <v>0.65</v>
      </c>
      <c r="J9" s="14">
        <v>3.0</v>
      </c>
      <c r="K9" s="14">
        <v>1.0</v>
      </c>
      <c r="L9" s="14">
        <v>4.0</v>
      </c>
      <c r="M9" s="14">
        <v>4.0</v>
      </c>
      <c r="N9" s="14">
        <v>331.0</v>
      </c>
      <c r="O9" s="20">
        <v>2.6121999999999996</v>
      </c>
      <c r="P9" s="20">
        <v>52.242977901095614</v>
      </c>
      <c r="Q9" s="15"/>
      <c r="R9" s="20">
        <v>2.6121999999999996</v>
      </c>
      <c r="U9" s="14">
        <f t="array" ref="U9">XLOOKUP(E9, 'Conference Match'!$A$2:$A$25, 'Conference Match'!$C$2:$C$25)</f>
        <v>1</v>
      </c>
      <c r="V9" s="20">
        <f t="shared" si="1"/>
        <v>0.39183</v>
      </c>
      <c r="W9" s="20">
        <f t="shared" si="2"/>
        <v>6.607632394</v>
      </c>
      <c r="Y9" s="20">
        <f>IFERROR(__xludf.DUMMYFUNCTION("iferror(PERCENTRANK.INC(FILTER($R$2:$R$425, $T$2:$T$425&lt;3.75), $R9), 0.01)"),0.981)</f>
        <v>0.981</v>
      </c>
      <c r="Z9" s="20">
        <f>IFERROR(__xludf.DUMMYFUNCTION("iferror(PERCENTRANK.INC(FILTER($R$2:$R$425, $T$2:$T$425&lt;4.5), $R9), 0.01)"),0.982)</f>
        <v>0.982</v>
      </c>
      <c r="AA9" s="20">
        <f>IFERROR(__xludf.DUMMYFUNCTION("iferror(PERCENTRANK.INC(FILTER($R$2:$R$425, $T$2:$T$425&gt;4.1), $R9), 0.01)"),0.01)</f>
        <v>0.01</v>
      </c>
    </row>
    <row r="10" ht="14.25" customHeight="1">
      <c r="A10" s="14" t="s">
        <v>1621</v>
      </c>
      <c r="B10" s="14" t="s">
        <v>239</v>
      </c>
      <c r="C10" s="14">
        <v>12.0</v>
      </c>
      <c r="D10" s="14" t="s">
        <v>1613</v>
      </c>
      <c r="E10" s="14" t="s">
        <v>164</v>
      </c>
      <c r="F10" s="14">
        <v>2.0</v>
      </c>
      <c r="G10" s="14">
        <v>34.0</v>
      </c>
      <c r="H10" s="14">
        <v>22.0</v>
      </c>
      <c r="I10" s="42">
        <v>0.647</v>
      </c>
      <c r="J10" s="14">
        <v>2.0</v>
      </c>
      <c r="K10" s="14">
        <v>0.0</v>
      </c>
      <c r="L10" s="14">
        <v>4.0</v>
      </c>
      <c r="M10" s="14">
        <v>5.0</v>
      </c>
      <c r="N10" s="14">
        <v>342.0</v>
      </c>
      <c r="O10" s="20">
        <v>2.3922359999999996</v>
      </c>
      <c r="P10" s="20">
        <v>44.1741853220782</v>
      </c>
      <c r="Q10" s="15"/>
      <c r="R10" s="20">
        <v>2.3922359999999996</v>
      </c>
      <c r="U10" s="14">
        <f t="array" ref="U10">XLOOKUP(E10, 'Conference Match'!$A$2:$A$25, 'Conference Match'!$C$2:$C$25)</f>
        <v>1</v>
      </c>
      <c r="V10" s="20">
        <f t="shared" si="1"/>
        <v>0.3588354</v>
      </c>
      <c r="W10" s="20">
        <f t="shared" si="2"/>
        <v>5.625129393</v>
      </c>
      <c r="Y10" s="20">
        <f>IFERROR(__xludf.DUMMYFUNCTION("iferror(PERCENTRANK.INC(FILTER($R$2:$R$425, $T$2:$T$425&lt;3.75), $R10), 0.01)"),0.963)</f>
        <v>0.963</v>
      </c>
      <c r="Z10" s="20">
        <f>IFERROR(__xludf.DUMMYFUNCTION("iferror(PERCENTRANK.INC(FILTER($R$2:$R$425, $T$2:$T$425&lt;4.5), $R10), 0.01)"),0.964)</f>
        <v>0.964</v>
      </c>
      <c r="AA10" s="20">
        <f>IFERROR(__xludf.DUMMYFUNCTION("iferror(PERCENTRANK.INC(FILTER($R$2:$R$425, $T$2:$T$425&gt;4.1), $R10), 0.01)"),0.796)</f>
        <v>0.796</v>
      </c>
    </row>
    <row r="11" ht="14.25" customHeight="1">
      <c r="A11" s="14" t="s">
        <v>1622</v>
      </c>
      <c r="B11" s="14" t="s">
        <v>349</v>
      </c>
      <c r="C11" s="14">
        <v>14.0</v>
      </c>
      <c r="D11" s="14" t="s">
        <v>1613</v>
      </c>
      <c r="E11" s="14" t="s">
        <v>164</v>
      </c>
      <c r="F11" s="14">
        <v>22.0</v>
      </c>
      <c r="G11" s="14">
        <v>28.0</v>
      </c>
      <c r="H11" s="14">
        <v>19.0</v>
      </c>
      <c r="I11" s="42">
        <v>0.679</v>
      </c>
      <c r="J11" s="14">
        <v>2.0</v>
      </c>
      <c r="K11" s="14">
        <v>0.0</v>
      </c>
      <c r="L11" s="14">
        <v>3.0</v>
      </c>
      <c r="M11" s="14">
        <v>5.0</v>
      </c>
      <c r="N11" s="14">
        <v>236.0</v>
      </c>
      <c r="O11" s="20">
        <v>2.291852</v>
      </c>
      <c r="P11" s="20">
        <v>40.49186605959852</v>
      </c>
      <c r="Q11" s="15"/>
      <c r="R11" s="20">
        <v>2.291852</v>
      </c>
      <c r="U11" s="14">
        <f t="array" ref="U11">XLOOKUP(E11, 'Conference Match'!$A$2:$A$25, 'Conference Match'!$C$2:$C$25)</f>
        <v>1</v>
      </c>
      <c r="V11" s="20">
        <f t="shared" si="1"/>
        <v>0.3437778</v>
      </c>
      <c r="W11" s="20">
        <f t="shared" si="2"/>
        <v>5.176748834</v>
      </c>
      <c r="Y11" s="20">
        <f>IFERROR(__xludf.DUMMYFUNCTION("iferror(PERCENTRANK.INC(FILTER($R$2:$R$425, $T$2:$T$425&lt;3.75), $R11), 0.01)"),0.926)</f>
        <v>0.926</v>
      </c>
      <c r="Z11" s="20">
        <f>IFERROR(__xludf.DUMMYFUNCTION("iferror(PERCENTRANK.INC(FILTER($R$2:$R$425, $T$2:$T$425&lt;4.5), $R11), 0.01)"),0.909)</f>
        <v>0.909</v>
      </c>
      <c r="AA11" s="20">
        <f>IFERROR(__xludf.DUMMYFUNCTION("iferror(PERCENTRANK.INC(FILTER($R$2:$R$425, $T$2:$T$425&gt;4.1), $R11), 0.01)"),0.557)</f>
        <v>0.557</v>
      </c>
    </row>
    <row r="12" ht="14.25" customHeight="1">
      <c r="A12" s="14" t="s">
        <v>1623</v>
      </c>
      <c r="B12" s="14" t="s">
        <v>285</v>
      </c>
      <c r="C12" s="14">
        <v>13.0</v>
      </c>
      <c r="D12" s="14" t="s">
        <v>1613</v>
      </c>
      <c r="E12" s="14" t="s">
        <v>108</v>
      </c>
      <c r="F12" s="14">
        <v>1.0</v>
      </c>
      <c r="G12" s="14">
        <v>16.0</v>
      </c>
      <c r="H12" s="14">
        <v>7.0</v>
      </c>
      <c r="I12" s="42">
        <v>0.438</v>
      </c>
      <c r="J12" s="14">
        <v>1.0</v>
      </c>
      <c r="K12" s="14">
        <v>0.0</v>
      </c>
      <c r="L12" s="14">
        <v>4.0</v>
      </c>
      <c r="M12" s="14">
        <v>7.0</v>
      </c>
      <c r="N12" s="14">
        <v>256.0</v>
      </c>
      <c r="O12" s="20">
        <v>2.354744</v>
      </c>
      <c r="P12" s="20">
        <v>42.79889131318349</v>
      </c>
      <c r="Q12" s="15"/>
      <c r="R12" s="20">
        <v>2.354744</v>
      </c>
      <c r="U12" s="14">
        <f t="array" ref="U12">XLOOKUP(E12, 'Conference Match'!$A$2:$A$25, 'Conference Match'!$C$2:$C$25)</f>
        <v>0.95</v>
      </c>
      <c r="V12" s="20">
        <f t="shared" si="1"/>
        <v>0.33555102</v>
      </c>
      <c r="W12" s="20">
        <f t="shared" si="2"/>
        <v>4.931774322</v>
      </c>
      <c r="Y12" s="20">
        <f>IFERROR(__xludf.DUMMYFUNCTION("iferror(PERCENTRANK.INC(FILTER($R$2:$R$425, $T$2:$T$425&lt;3.75), $R12), 0.01)"),0.944)</f>
        <v>0.944</v>
      </c>
      <c r="Z12" s="20">
        <f>IFERROR(__xludf.DUMMYFUNCTION("iferror(PERCENTRANK.INC(FILTER($R$2:$R$425, $T$2:$T$425&lt;4.5), $R12), 0.01)"),0.945)</f>
        <v>0.945</v>
      </c>
      <c r="AA12" s="20">
        <f>IFERROR(__xludf.DUMMYFUNCTION("iferror(PERCENTRANK.INC(FILTER($R$2:$R$425, $T$2:$T$425&gt;4.1), $R12), 0.01)"),0.718)</f>
        <v>0.718</v>
      </c>
    </row>
    <row r="13" ht="14.25" customHeight="1">
      <c r="A13" s="14" t="s">
        <v>1624</v>
      </c>
      <c r="B13" s="14" t="s">
        <v>855</v>
      </c>
      <c r="C13" s="14">
        <v>0.0</v>
      </c>
      <c r="D13" s="14" t="s">
        <v>1613</v>
      </c>
      <c r="E13" s="14" t="s">
        <v>179</v>
      </c>
      <c r="F13" s="14">
        <v>6.0</v>
      </c>
      <c r="G13" s="14">
        <v>30.0</v>
      </c>
      <c r="H13" s="14">
        <v>21.0</v>
      </c>
      <c r="I13" s="42">
        <v>0.7</v>
      </c>
      <c r="J13" s="14">
        <v>2.0</v>
      </c>
      <c r="K13" s="14">
        <v>0.0</v>
      </c>
      <c r="L13" s="14">
        <v>3.0</v>
      </c>
      <c r="M13" s="14">
        <v>3.0</v>
      </c>
      <c r="N13" s="14">
        <v>315.0</v>
      </c>
      <c r="O13" s="20">
        <v>2.1316</v>
      </c>
      <c r="P13" s="20">
        <v>34.61344891691746</v>
      </c>
      <c r="Q13" s="15"/>
      <c r="R13" s="20">
        <v>2.1316</v>
      </c>
      <c r="U13" s="14">
        <f t="array" ref="U13">XLOOKUP(E13, 'Conference Match'!$A$2:$A$25, 'Conference Match'!$C$2:$C$25)</f>
        <v>1</v>
      </c>
      <c r="V13" s="20">
        <f t="shared" si="1"/>
        <v>0.31974</v>
      </c>
      <c r="W13" s="20">
        <f t="shared" si="2"/>
        <v>4.460958656</v>
      </c>
      <c r="Y13" s="20">
        <f>IFERROR(__xludf.DUMMYFUNCTION("iferror(PERCENTRANK.INC(FILTER($R$2:$R$425, $T$2:$T$425&lt;3.75), $R13), 0.01)"),0.889)</f>
        <v>0.889</v>
      </c>
      <c r="Z13" s="20">
        <f>IFERROR(__xludf.DUMMYFUNCTION("iferror(PERCENTRANK.INC(FILTER($R$2:$R$425, $T$2:$T$425&lt;4.5), $R13), 0.01)"),0.873)</f>
        <v>0.873</v>
      </c>
      <c r="AA13" s="20">
        <f>IFERROR(__xludf.DUMMYFUNCTION("iferror(PERCENTRANK.INC(FILTER($R$2:$R$425, $T$2:$T$425&gt;4.1), $R13), 0.01)"),0.286)</f>
        <v>0.286</v>
      </c>
    </row>
    <row r="14" ht="14.25" customHeight="1">
      <c r="A14" s="14" t="s">
        <v>1625</v>
      </c>
      <c r="B14" s="14" t="s">
        <v>218</v>
      </c>
      <c r="C14" s="14">
        <v>8.0</v>
      </c>
      <c r="D14" s="14" t="s">
        <v>1613</v>
      </c>
      <c r="E14" s="14" t="s">
        <v>219</v>
      </c>
      <c r="F14" s="14">
        <v>4.0</v>
      </c>
      <c r="G14" s="14">
        <v>23.0</v>
      </c>
      <c r="H14" s="14">
        <v>15.0</v>
      </c>
      <c r="I14" s="42">
        <v>0.652</v>
      </c>
      <c r="J14" s="14">
        <v>2.0</v>
      </c>
      <c r="K14" s="14">
        <v>1.0</v>
      </c>
      <c r="L14" s="14">
        <v>2.0</v>
      </c>
      <c r="M14" s="14">
        <v>2.0</v>
      </c>
      <c r="N14" s="14">
        <v>291.0</v>
      </c>
      <c r="O14" s="20">
        <v>2.0521760000000002</v>
      </c>
      <c r="P14" s="20">
        <v>31.699991342969547</v>
      </c>
      <c r="Q14" s="15"/>
      <c r="R14" s="20">
        <v>2.0521760000000002</v>
      </c>
      <c r="U14" s="14">
        <f t="array" ref="U14">XLOOKUP(E14, 'Conference Match'!$A$2:$A$25, 'Conference Match'!$C$2:$C$25)</f>
        <v>1</v>
      </c>
      <c r="V14" s="20">
        <f t="shared" si="1"/>
        <v>0.3078264</v>
      </c>
      <c r="W14" s="20">
        <f t="shared" si="2"/>
        <v>4.106199157</v>
      </c>
      <c r="Y14" s="20">
        <f>IFERROR(__xludf.DUMMYFUNCTION("iferror(PERCENTRANK.INC(FILTER($R$2:$R$425, $T$2:$T$425&lt;3.75), $R14), 0.01)"),0.852)</f>
        <v>0.852</v>
      </c>
      <c r="Z14" s="20">
        <f>IFERROR(__xludf.DUMMYFUNCTION("iferror(PERCENTRANK.INC(FILTER($R$2:$R$425, $T$2:$T$425&lt;4.5), $R14), 0.01)"),0.836)</f>
        <v>0.836</v>
      </c>
      <c r="AA14" s="20">
        <f>IFERROR(__xludf.DUMMYFUNCTION("iferror(PERCENTRANK.INC(FILTER($R$2:$R$425, $T$2:$T$425&gt;4.1), $R14), 0.01)"),0.241)</f>
        <v>0.241</v>
      </c>
    </row>
    <row r="15" ht="14.25" customHeight="1">
      <c r="A15" s="14" t="s">
        <v>1626</v>
      </c>
      <c r="B15" s="14" t="s">
        <v>419</v>
      </c>
      <c r="C15" s="14">
        <v>21.0</v>
      </c>
      <c r="D15" s="14" t="s">
        <v>1613</v>
      </c>
      <c r="E15" s="14" t="s">
        <v>164</v>
      </c>
      <c r="F15" s="14">
        <v>11.0</v>
      </c>
      <c r="G15" s="14">
        <v>27.0</v>
      </c>
      <c r="H15" s="14">
        <v>18.0</v>
      </c>
      <c r="I15" s="42">
        <v>0.667</v>
      </c>
      <c r="J15" s="14">
        <v>0.0</v>
      </c>
      <c r="K15" s="14">
        <v>0.0</v>
      </c>
      <c r="L15" s="14">
        <v>4.0</v>
      </c>
      <c r="M15" s="14">
        <v>5.0</v>
      </c>
      <c r="N15" s="14">
        <v>275.0</v>
      </c>
      <c r="O15" s="20">
        <v>1.9919959999999997</v>
      </c>
      <c r="P15" s="20">
        <v>29.4924485750381</v>
      </c>
      <c r="Q15" s="15"/>
      <c r="R15" s="20">
        <v>1.9919959999999997</v>
      </c>
      <c r="U15" s="14">
        <f t="array" ref="U15">XLOOKUP(E15, 'Conference Match'!$A$2:$A$25, 'Conference Match'!$C$2:$C$25)</f>
        <v>1</v>
      </c>
      <c r="V15" s="20">
        <f t="shared" si="1"/>
        <v>0.2987994</v>
      </c>
      <c r="W15" s="20">
        <f t="shared" si="2"/>
        <v>3.837395941</v>
      </c>
      <c r="Y15" s="20">
        <f>IFERROR(__xludf.DUMMYFUNCTION("iferror(PERCENTRANK.INC(FILTER($R$2:$R$425, $T$2:$T$425&lt;3.75), $R15), 0.01)"),0.815)</f>
        <v>0.815</v>
      </c>
      <c r="Z15" s="20">
        <f>IFERROR(__xludf.DUMMYFUNCTION("iferror(PERCENTRANK.INC(FILTER($R$2:$R$425, $T$2:$T$425&lt;4.5), $R15), 0.01)"),0.8)</f>
        <v>0.8</v>
      </c>
      <c r="AA15" s="20">
        <f>IFERROR(__xludf.DUMMYFUNCTION("iferror(PERCENTRANK.INC(FILTER($R$2:$R$425, $T$2:$T$425&gt;4.1), $R15), 0.01)"),0.207)</f>
        <v>0.207</v>
      </c>
    </row>
    <row r="16" ht="14.25" customHeight="1">
      <c r="A16" s="14" t="s">
        <v>1627</v>
      </c>
      <c r="B16" s="14" t="s">
        <v>218</v>
      </c>
      <c r="C16" s="14">
        <v>28.0</v>
      </c>
      <c r="D16" s="14" t="s">
        <v>1613</v>
      </c>
      <c r="E16" s="14" t="s">
        <v>219</v>
      </c>
      <c r="F16" s="14">
        <v>6.0</v>
      </c>
      <c r="G16" s="14">
        <v>12.0</v>
      </c>
      <c r="H16" s="14">
        <v>4.0</v>
      </c>
      <c r="I16" s="42">
        <v>0.333</v>
      </c>
      <c r="J16" s="14">
        <v>3.0</v>
      </c>
      <c r="K16" s="14">
        <v>0.0</v>
      </c>
      <c r="L16" s="14">
        <v>1.0</v>
      </c>
      <c r="M16" s="14">
        <v>1.0</v>
      </c>
      <c r="N16" s="14">
        <v>97.0</v>
      </c>
      <c r="O16" s="20">
        <v>1.9760039999999999</v>
      </c>
      <c r="P16" s="20">
        <v>28.905824714207945</v>
      </c>
      <c r="Q16" s="15"/>
      <c r="R16" s="20">
        <v>1.9760039999999999</v>
      </c>
      <c r="U16" s="14">
        <f t="array" ref="U16">XLOOKUP(E16, 'Conference Match'!$A$2:$A$25, 'Conference Match'!$C$2:$C$25)</f>
        <v>1</v>
      </c>
      <c r="V16" s="20">
        <f t="shared" si="1"/>
        <v>0.2964006</v>
      </c>
      <c r="W16" s="20">
        <f t="shared" si="2"/>
        <v>3.765965216</v>
      </c>
      <c r="Y16" s="20">
        <f>IFERROR(__xludf.DUMMYFUNCTION("iferror(PERCENTRANK.INC(FILTER($R$2:$R$425, $T$2:$T$425&lt;3.75), $R16), 0.01)"),0.796)</f>
        <v>0.796</v>
      </c>
      <c r="Z16" s="20">
        <f>IFERROR(__xludf.DUMMYFUNCTION("iferror(PERCENTRANK.INC(FILTER($R$2:$R$425, $T$2:$T$425&lt;4.5), $R16), 0.01)"),0.782)</f>
        <v>0.782</v>
      </c>
      <c r="AA16" s="20">
        <f>IFERROR(__xludf.DUMMYFUNCTION("iferror(PERCENTRANK.INC(FILTER($R$2:$R$425, $T$2:$T$425&gt;4.1), $R16), 0.01)"),0.197)</f>
        <v>0.197</v>
      </c>
    </row>
    <row r="17" ht="14.25" customHeight="1">
      <c r="A17" s="14" t="s">
        <v>1628</v>
      </c>
      <c r="B17" s="14" t="s">
        <v>333</v>
      </c>
      <c r="C17" s="14">
        <v>4.0</v>
      </c>
      <c r="D17" s="14" t="s">
        <v>1613</v>
      </c>
      <c r="E17" s="14" t="s">
        <v>149</v>
      </c>
      <c r="F17" s="14">
        <v>0.0</v>
      </c>
      <c r="G17" s="14">
        <v>10.0</v>
      </c>
      <c r="H17" s="14">
        <v>8.0</v>
      </c>
      <c r="I17" s="42">
        <v>0.8</v>
      </c>
      <c r="J17" s="14">
        <v>3.0</v>
      </c>
      <c r="K17" s="14">
        <v>1.0</v>
      </c>
      <c r="L17" s="14">
        <v>1.0</v>
      </c>
      <c r="M17" s="14">
        <v>1.0</v>
      </c>
      <c r="N17" s="14">
        <v>128.0</v>
      </c>
      <c r="O17" s="20">
        <v>2.0704</v>
      </c>
      <c r="P17" s="20">
        <v>32.36849016986854</v>
      </c>
      <c r="Q17" s="15"/>
      <c r="R17" s="20">
        <v>2.0704</v>
      </c>
      <c r="U17" s="14">
        <f t="array" ref="U17">XLOOKUP(E17, 'Conference Match'!$A$2:$A$25, 'Conference Match'!$C$2:$C$25)</f>
        <v>0.95</v>
      </c>
      <c r="V17" s="20">
        <f t="shared" si="1"/>
        <v>0.295032</v>
      </c>
      <c r="W17" s="20">
        <f t="shared" si="2"/>
        <v>3.725211468</v>
      </c>
      <c r="Y17" s="20">
        <f>IFERROR(__xludf.DUMMYFUNCTION("iferror(PERCENTRANK.INC(FILTER($R$2:$R$425, $T$2:$T$425&lt;3.75), $R17), 0.01)"),0.87)</f>
        <v>0.87</v>
      </c>
      <c r="Z17" s="20">
        <f>IFERROR(__xludf.DUMMYFUNCTION("iferror(PERCENTRANK.INC(FILTER($R$2:$R$425, $T$2:$T$425&lt;4.5), $R17), 0.01)"),0.855)</f>
        <v>0.855</v>
      </c>
      <c r="AA17" s="20">
        <f>IFERROR(__xludf.DUMMYFUNCTION("iferror(PERCENTRANK.INC(FILTER($R$2:$R$425, $T$2:$T$425&gt;4.1), $R17), 0.01)"),0.251)</f>
        <v>0.251</v>
      </c>
    </row>
    <row r="18" ht="14.25" customHeight="1">
      <c r="A18" s="14" t="s">
        <v>1629</v>
      </c>
      <c r="B18" s="14" t="s">
        <v>311</v>
      </c>
      <c r="C18" s="14">
        <v>13.0</v>
      </c>
      <c r="D18" s="14" t="s">
        <v>1613</v>
      </c>
      <c r="E18" s="14" t="s">
        <v>164</v>
      </c>
      <c r="F18" s="14">
        <v>4.0</v>
      </c>
      <c r="G18" s="14">
        <v>14.0</v>
      </c>
      <c r="H18" s="14">
        <v>10.0</v>
      </c>
      <c r="I18" s="42">
        <v>0.714</v>
      </c>
      <c r="J18" s="14">
        <v>2.0</v>
      </c>
      <c r="K18" s="14">
        <v>0.0</v>
      </c>
      <c r="L18" s="14">
        <v>2.0</v>
      </c>
      <c r="M18" s="14">
        <v>2.0</v>
      </c>
      <c r="N18" s="14">
        <v>192.0</v>
      </c>
      <c r="O18" s="20">
        <v>1.9514319999999998</v>
      </c>
      <c r="P18" s="20">
        <v>28.004466440801316</v>
      </c>
      <c r="Q18" s="15"/>
      <c r="R18" s="20">
        <v>1.9514319999999998</v>
      </c>
      <c r="U18" s="14">
        <f t="array" ref="U18">XLOOKUP(E18, 'Conference Match'!$A$2:$A$25, 'Conference Match'!$C$2:$C$25)</f>
        <v>1</v>
      </c>
      <c r="V18" s="20">
        <f t="shared" si="1"/>
        <v>0.2927148</v>
      </c>
      <c r="W18" s="20">
        <f t="shared" si="2"/>
        <v>3.656210603</v>
      </c>
      <c r="Y18" s="20">
        <f>IFERROR(__xludf.DUMMYFUNCTION("iferror(PERCENTRANK.INC(FILTER($R$2:$R$425, $T$2:$T$425&lt;3.75), $R18), 0.01)"),0.759)</f>
        <v>0.759</v>
      </c>
      <c r="Z18" s="20">
        <f>IFERROR(__xludf.DUMMYFUNCTION("iferror(PERCENTRANK.INC(FILTER($R$2:$R$425, $T$2:$T$425&lt;4.5), $R18), 0.01)"),0.745)</f>
        <v>0.745</v>
      </c>
      <c r="AA18" s="20">
        <f>IFERROR(__xludf.DUMMYFUNCTION("iferror(PERCENTRANK.INC(FILTER($R$2:$R$425, $T$2:$T$425&gt;4.1), $R18), 0.01)"),0.183)</f>
        <v>0.183</v>
      </c>
    </row>
    <row r="19" ht="14.25" customHeight="1">
      <c r="A19" s="14" t="s">
        <v>1630</v>
      </c>
      <c r="B19" s="14" t="s">
        <v>311</v>
      </c>
      <c r="C19" s="14">
        <v>33.0</v>
      </c>
      <c r="D19" s="14" t="s">
        <v>1613</v>
      </c>
      <c r="E19" s="14" t="s">
        <v>164</v>
      </c>
      <c r="F19" s="14">
        <v>5.0</v>
      </c>
      <c r="G19" s="14">
        <v>26.0</v>
      </c>
      <c r="H19" s="14">
        <v>18.0</v>
      </c>
      <c r="I19" s="42">
        <v>0.692</v>
      </c>
      <c r="J19" s="14">
        <v>1.0</v>
      </c>
      <c r="K19" s="14">
        <v>0.0</v>
      </c>
      <c r="L19" s="14">
        <v>3.0</v>
      </c>
      <c r="M19" s="14">
        <v>3.0</v>
      </c>
      <c r="N19" s="14">
        <v>185.0</v>
      </c>
      <c r="O19" s="20">
        <v>1.931696</v>
      </c>
      <c r="P19" s="20">
        <v>27.28050392721052</v>
      </c>
      <c r="Q19" s="15"/>
      <c r="R19" s="20">
        <v>1.931696</v>
      </c>
      <c r="U19" s="14">
        <f t="array" ref="U19">XLOOKUP(E19, 'Conference Match'!$A$2:$A$25, 'Conference Match'!$C$2:$C$25)</f>
        <v>1</v>
      </c>
      <c r="V19" s="20">
        <f t="shared" si="1"/>
        <v>0.2897544</v>
      </c>
      <c r="W19" s="20">
        <f t="shared" si="2"/>
        <v>3.568056727</v>
      </c>
      <c r="Y19" s="20">
        <f>IFERROR(__xludf.DUMMYFUNCTION("iferror(PERCENTRANK.INC(FILTER($R$2:$R$425, $T$2:$T$425&lt;3.75), $R19), 0.01)"),0.722)</f>
        <v>0.722</v>
      </c>
      <c r="Z19" s="20">
        <f>IFERROR(__xludf.DUMMYFUNCTION("iferror(PERCENTRANK.INC(FILTER($R$2:$R$425, $T$2:$T$425&lt;4.5), $R19), 0.01)"),0.709)</f>
        <v>0.709</v>
      </c>
      <c r="AA19" s="20">
        <f>IFERROR(__xludf.DUMMYFUNCTION("iferror(PERCENTRANK.INC(FILTER($R$2:$R$425, $T$2:$T$425&gt;4.1), $R19), 0.01)"),0.172)</f>
        <v>0.172</v>
      </c>
    </row>
    <row r="20" ht="14.25" customHeight="1">
      <c r="A20" s="14" t="s">
        <v>1631</v>
      </c>
      <c r="B20" s="14" t="s">
        <v>124</v>
      </c>
      <c r="C20" s="14">
        <v>12.0</v>
      </c>
      <c r="D20" s="14" t="s">
        <v>1613</v>
      </c>
      <c r="E20" s="14" t="s">
        <v>125</v>
      </c>
      <c r="F20" s="14">
        <v>1.0</v>
      </c>
      <c r="G20" s="14">
        <v>14.0</v>
      </c>
      <c r="H20" s="14">
        <v>9.0</v>
      </c>
      <c r="I20" s="42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3.393740208</v>
      </c>
      <c r="Y20" s="20">
        <f>IFERROR(__xludf.DUMMYFUNCTION("iferror(PERCENTRANK.INC(FILTER($R$2:$R$425, $T$2:$T$425&lt;3.75), $R20), 0.01)"),0.833)</f>
        <v>0.833</v>
      </c>
      <c r="Z20" s="20">
        <f>IFERROR(__xludf.DUMMYFUNCTION("iferror(PERCENTRANK.INC(FILTER($R$2:$R$425, $T$2:$T$425&lt;4.5), $R20), 0.01)"),0.818)</f>
        <v>0.818</v>
      </c>
      <c r="AA20" s="20">
        <f>IFERROR(__xludf.DUMMYFUNCTION("iferror(PERCENTRANK.INC(FILTER($R$2:$R$425, $T$2:$T$425&gt;4.1), $R20), 0.01)"),0.207)</f>
        <v>0.207</v>
      </c>
    </row>
    <row r="21" ht="14.25" customHeight="1">
      <c r="A21" s="14" t="s">
        <v>1632</v>
      </c>
      <c r="B21" s="14" t="s">
        <v>412</v>
      </c>
      <c r="C21" s="14">
        <v>6.0</v>
      </c>
      <c r="D21" s="14" t="s">
        <v>1613</v>
      </c>
      <c r="E21" s="14" t="s">
        <v>149</v>
      </c>
      <c r="F21" s="14">
        <v>4.0</v>
      </c>
      <c r="G21" s="14">
        <v>19.0</v>
      </c>
      <c r="H21" s="14">
        <v>9.0</v>
      </c>
      <c r="I21" s="42">
        <v>0.474</v>
      </c>
      <c r="J21" s="14">
        <v>0.0</v>
      </c>
      <c r="K21" s="14">
        <v>2.0</v>
      </c>
      <c r="L21" s="14">
        <v>3.0</v>
      </c>
      <c r="M21" s="14">
        <v>3.0</v>
      </c>
      <c r="N21" s="14">
        <v>243.0</v>
      </c>
      <c r="O21" s="20">
        <v>1.9343119999999998</v>
      </c>
      <c r="P21" s="20">
        <v>27.376464908947113</v>
      </c>
      <c r="Q21" s="15"/>
      <c r="R21" s="20">
        <v>1.9343119999999998</v>
      </c>
      <c r="U21" s="14">
        <f t="array" ref="U21">XLOOKUP(E21, 'Conference Match'!$A$2:$A$25, 'Conference Match'!$C$2:$C$25)</f>
        <v>0.95</v>
      </c>
      <c r="V21" s="20">
        <f t="shared" si="1"/>
        <v>0.27563946</v>
      </c>
      <c r="W21" s="20">
        <f t="shared" si="2"/>
        <v>3.147746406</v>
      </c>
      <c r="Y21" s="20">
        <f>IFERROR(__xludf.DUMMYFUNCTION("iferror(PERCENTRANK.INC(FILTER($R$2:$R$425, $T$2:$T$425&lt;3.75), $R21), 0.01)"),0.741)</f>
        <v>0.741</v>
      </c>
      <c r="Z21" s="20">
        <f>IFERROR(__xludf.DUMMYFUNCTION("iferror(PERCENTRANK.INC(FILTER($R$2:$R$425, $T$2:$T$425&lt;4.5), $R21), 0.01)"),0.727)</f>
        <v>0.727</v>
      </c>
      <c r="AA21" s="20">
        <f>IFERROR(__xludf.DUMMYFUNCTION("iferror(PERCENTRANK.INC(FILTER($R$2:$R$425, $T$2:$T$425&gt;4.1), $R21), 0.01)"),0.174)</f>
        <v>0.174</v>
      </c>
    </row>
    <row r="22" ht="14.25" customHeight="1">
      <c r="A22" s="14" t="s">
        <v>1633</v>
      </c>
      <c r="B22" s="14" t="s">
        <v>511</v>
      </c>
      <c r="C22" s="14">
        <v>7.0</v>
      </c>
      <c r="D22" s="14" t="s">
        <v>1613</v>
      </c>
      <c r="E22" s="14" t="s">
        <v>102</v>
      </c>
      <c r="F22" s="14">
        <v>5.0</v>
      </c>
      <c r="G22" s="14">
        <v>27.0</v>
      </c>
      <c r="H22" s="14">
        <v>19.0</v>
      </c>
      <c r="I22" s="42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U22" s="14">
        <f t="array" ref="U22">XLOOKUP(E22, 'Conference Match'!$A$2:$A$25, 'Conference Match'!$C$2:$C$25)</f>
        <v>1</v>
      </c>
      <c r="V22" s="20">
        <f t="shared" si="1"/>
        <v>0.2627328</v>
      </c>
      <c r="W22" s="20">
        <f t="shared" si="2"/>
        <v>2.763415873</v>
      </c>
      <c r="Y22" s="20">
        <f>IFERROR(__xludf.DUMMYFUNCTION("iferror(PERCENTRANK.INC(FILTER($R$2:$R$425, $T$2:$T$425&lt;3.75), $R22), 0.01)"),0.704)</f>
        <v>0.704</v>
      </c>
      <c r="Z22" s="20">
        <f>IFERROR(__xludf.DUMMYFUNCTION("iferror(PERCENTRANK.INC(FILTER($R$2:$R$425, $T$2:$T$425&lt;4.5), $R22), 0.01)"),0.691)</f>
        <v>0.691</v>
      </c>
      <c r="AA22" s="20">
        <f>IFERROR(__xludf.DUMMYFUNCTION("iferror(PERCENTRANK.INC(FILTER($R$2:$R$425, $T$2:$T$425&gt;4.1), $R22), 0.01)"),0.069)</f>
        <v>0.069</v>
      </c>
    </row>
    <row r="23" ht="14.25" customHeight="1">
      <c r="A23" s="14" t="s">
        <v>1634</v>
      </c>
      <c r="B23" s="14" t="s">
        <v>369</v>
      </c>
      <c r="C23" s="14">
        <v>0.0</v>
      </c>
      <c r="D23" s="14" t="s">
        <v>1613</v>
      </c>
      <c r="E23" s="14" t="s">
        <v>130</v>
      </c>
      <c r="F23" s="14">
        <v>6.0</v>
      </c>
      <c r="G23" s="14">
        <v>21.0</v>
      </c>
      <c r="H23" s="14">
        <v>15.0</v>
      </c>
      <c r="I23" s="42">
        <v>0.714</v>
      </c>
      <c r="J23" s="14">
        <v>1.0</v>
      </c>
      <c r="K23" s="14">
        <v>0.0</v>
      </c>
      <c r="L23" s="14">
        <v>2.0</v>
      </c>
      <c r="M23" s="14">
        <v>2.0</v>
      </c>
      <c r="N23" s="14">
        <v>262.0</v>
      </c>
      <c r="O23" s="20">
        <v>1.7514319999999999</v>
      </c>
      <c r="P23" s="20">
        <v>20.66799994717744</v>
      </c>
      <c r="Q23" s="15"/>
      <c r="R23" s="20">
        <v>1.7514319999999999</v>
      </c>
      <c r="U23" s="14">
        <f t="array" ref="U23">XLOOKUP(E23, 'Conference Match'!$A$2:$A$25, 'Conference Match'!$C$2:$C$25)</f>
        <v>1</v>
      </c>
      <c r="V23" s="20">
        <f t="shared" si="1"/>
        <v>0.2627148</v>
      </c>
      <c r="W23" s="20">
        <f t="shared" si="2"/>
        <v>2.762879875</v>
      </c>
      <c r="Y23" s="20">
        <f>IFERROR(__xludf.DUMMYFUNCTION("iferror(PERCENTRANK.INC(FILTER($R$2:$R$425, $T$2:$T$425&lt;3.75), $R23), 0.01)"),0.685)</f>
        <v>0.685</v>
      </c>
      <c r="Z23" s="20">
        <f>IFERROR(__xludf.DUMMYFUNCTION("iferror(PERCENTRANK.INC(FILTER($R$2:$R$425, $T$2:$T$425&lt;4.5), $R23), 0.01)"),0.673)</f>
        <v>0.673</v>
      </c>
      <c r="AA23" s="20">
        <f>IFERROR(__xludf.DUMMYFUNCTION("iferror(PERCENTRANK.INC(FILTER($R$2:$R$425, $T$2:$T$425&gt;4.1), $R23), 0.01)"),0.069)</f>
        <v>0.069</v>
      </c>
    </row>
    <row r="24" ht="14.25" customHeight="1">
      <c r="A24" s="14" t="s">
        <v>1635</v>
      </c>
      <c r="B24" s="14" t="s">
        <v>449</v>
      </c>
      <c r="C24" s="14">
        <v>8.0</v>
      </c>
      <c r="D24" s="14" t="s">
        <v>1613</v>
      </c>
      <c r="E24" s="14" t="s">
        <v>102</v>
      </c>
      <c r="F24" s="14">
        <v>0.0</v>
      </c>
      <c r="G24" s="14">
        <v>19.0</v>
      </c>
      <c r="H24" s="14">
        <v>14.0</v>
      </c>
      <c r="I24" s="42">
        <v>0.737</v>
      </c>
      <c r="J24" s="14">
        <v>1.0</v>
      </c>
      <c r="K24" s="14">
        <v>0.0</v>
      </c>
      <c r="L24" s="14">
        <v>1.0</v>
      </c>
      <c r="M24" s="14">
        <v>3.0</v>
      </c>
      <c r="N24" s="14">
        <v>235.0</v>
      </c>
      <c r="O24" s="20">
        <v>1.731156</v>
      </c>
      <c r="P24" s="20">
        <v>19.92422897405385</v>
      </c>
      <c r="Q24" s="15"/>
      <c r="R24" s="20">
        <v>1.731156</v>
      </c>
      <c r="U24" s="14">
        <f t="array" ref="U24">XLOOKUP(E24, 'Conference Match'!$A$2:$A$25, 'Conference Match'!$C$2:$C$25)</f>
        <v>1</v>
      </c>
      <c r="V24" s="20">
        <f t="shared" si="1"/>
        <v>0.2596734</v>
      </c>
      <c r="W24" s="20">
        <f t="shared" si="2"/>
        <v>2.672314006</v>
      </c>
      <c r="Y24" s="20">
        <f>IFERROR(__xludf.DUMMYFUNCTION("iferror(PERCENTRANK.INC(FILTER($R$2:$R$425, $T$2:$T$425&lt;3.75), $R24), 0.01)"),0.648)</f>
        <v>0.648</v>
      </c>
      <c r="Z24" s="20">
        <f>IFERROR(__xludf.DUMMYFUNCTION("iferror(PERCENTRANK.INC(FILTER($R$2:$R$425, $T$2:$T$425&lt;4.5), $R24), 0.01)"),0.636)</f>
        <v>0.636</v>
      </c>
      <c r="AA24" s="20">
        <f>IFERROR(__xludf.DUMMYFUNCTION("iferror(PERCENTRANK.INC(FILTER($R$2:$R$425, $T$2:$T$425&gt;4.1), $R24), 0.01)"),0.058)</f>
        <v>0.058</v>
      </c>
    </row>
    <row r="25" ht="14.25" customHeight="1">
      <c r="A25" s="14" t="s">
        <v>1636</v>
      </c>
      <c r="B25" s="14" t="s">
        <v>349</v>
      </c>
      <c r="C25" s="14">
        <v>3.0</v>
      </c>
      <c r="D25" s="14" t="s">
        <v>1613</v>
      </c>
      <c r="E25" s="14" t="s">
        <v>164</v>
      </c>
      <c r="F25" s="14">
        <v>1.0</v>
      </c>
      <c r="G25" s="14">
        <v>25.0</v>
      </c>
      <c r="H25" s="14">
        <v>21.0</v>
      </c>
      <c r="I25" s="42">
        <v>0.84</v>
      </c>
      <c r="J25" s="14">
        <v>1.0</v>
      </c>
      <c r="K25" s="14">
        <v>0.0</v>
      </c>
      <c r="L25" s="14">
        <v>1.0</v>
      </c>
      <c r="M25" s="14">
        <v>2.0</v>
      </c>
      <c r="N25" s="14">
        <v>290.0</v>
      </c>
      <c r="O25" s="20">
        <v>1.6499199999999998</v>
      </c>
      <c r="P25" s="20">
        <v>16.9443030136737</v>
      </c>
      <c r="Q25" s="15"/>
      <c r="R25" s="20">
        <v>1.6499199999999998</v>
      </c>
      <c r="U25" s="14">
        <f t="array" ref="U25">XLOOKUP(E25, 'Conference Match'!$A$2:$A$25, 'Conference Match'!$C$2:$C$25)</f>
        <v>1</v>
      </c>
      <c r="V25" s="20">
        <f t="shared" si="1"/>
        <v>0.247488</v>
      </c>
      <c r="W25" s="20">
        <f t="shared" si="2"/>
        <v>2.309460931</v>
      </c>
      <c r="Y25" s="20">
        <f>IFERROR(__xludf.DUMMYFUNCTION("iferror(PERCENTRANK.INC(FILTER($R$2:$R$425, $T$2:$T$425&lt;3.75), $R25), 0.01)"),0.574)</f>
        <v>0.574</v>
      </c>
      <c r="Z25" s="20">
        <f>IFERROR(__xludf.DUMMYFUNCTION("iferror(PERCENTRANK.INC(FILTER($R$2:$R$425, $T$2:$T$425&lt;4.5), $R25), 0.01)"),0.564)</f>
        <v>0.564</v>
      </c>
      <c r="AA25" s="20">
        <f>IFERROR(__xludf.DUMMYFUNCTION("iferror(PERCENTRANK.INC(FILTER($R$2:$R$425, $T$2:$T$425&gt;4.1), $R25), 0.01)"),0.011)</f>
        <v>0.011</v>
      </c>
    </row>
    <row r="26" ht="14.25" customHeight="1">
      <c r="A26" s="14" t="s">
        <v>1637</v>
      </c>
      <c r="B26" s="14" t="s">
        <v>265</v>
      </c>
      <c r="C26" s="14">
        <v>22.0</v>
      </c>
      <c r="D26" s="14" t="s">
        <v>1613</v>
      </c>
      <c r="E26" s="14" t="s">
        <v>108</v>
      </c>
      <c r="F26" s="14">
        <v>5.0</v>
      </c>
      <c r="G26" s="14">
        <v>16.0</v>
      </c>
      <c r="H26" s="14">
        <v>9.0</v>
      </c>
      <c r="I26" s="42">
        <v>0.563</v>
      </c>
      <c r="J26" s="14">
        <v>0.0</v>
      </c>
      <c r="K26" s="14">
        <v>0.0</v>
      </c>
      <c r="L26" s="14">
        <v>3.0</v>
      </c>
      <c r="M26" s="14">
        <v>3.0</v>
      </c>
      <c r="N26" s="14">
        <v>88.0</v>
      </c>
      <c r="O26" s="20">
        <v>1.733244</v>
      </c>
      <c r="P26" s="20">
        <v>20.00082168424729</v>
      </c>
      <c r="Q26" s="15"/>
      <c r="R26" s="20">
        <v>1.733244</v>
      </c>
      <c r="U26" s="14">
        <f t="array" ref="U26">XLOOKUP(E26, 'Conference Match'!$A$2:$A$25, 'Conference Match'!$C$2:$C$25)</f>
        <v>0.95</v>
      </c>
      <c r="V26" s="20">
        <f t="shared" si="1"/>
        <v>0.24698727</v>
      </c>
      <c r="W26" s="20">
        <f t="shared" si="2"/>
        <v>2.294550348</v>
      </c>
      <c r="Y26" s="20">
        <f>IFERROR(__xludf.DUMMYFUNCTION("iferror(PERCENTRANK.INC(FILTER($R$2:$R$425, $T$2:$T$425&lt;3.75), $R26), 0.01)"),0.667)</f>
        <v>0.667</v>
      </c>
      <c r="Z26" s="20">
        <f>IFERROR(__xludf.DUMMYFUNCTION("iferror(PERCENTRANK.INC(FILTER($R$2:$R$425, $T$2:$T$425&lt;4.5), $R26), 0.01)"),0.655)</f>
        <v>0.655</v>
      </c>
      <c r="AA26" s="20">
        <f>IFERROR(__xludf.DUMMYFUNCTION("iferror(PERCENTRANK.INC(FILTER($R$2:$R$425, $T$2:$T$425&gt;4.1), $R26), 0.01)"),0.059)</f>
        <v>0.059</v>
      </c>
    </row>
    <row r="27" ht="14.25" customHeight="1">
      <c r="A27" s="14" t="s">
        <v>1638</v>
      </c>
      <c r="B27" s="14" t="s">
        <v>855</v>
      </c>
      <c r="C27" s="14">
        <v>10.0</v>
      </c>
      <c r="D27" s="14" t="s">
        <v>1613</v>
      </c>
      <c r="E27" s="14" t="s">
        <v>179</v>
      </c>
      <c r="F27" s="14">
        <v>2.0</v>
      </c>
      <c r="G27" s="14">
        <v>8.0</v>
      </c>
      <c r="H27" s="14">
        <v>5.0</v>
      </c>
      <c r="I27" s="42">
        <v>0.625</v>
      </c>
      <c r="J27" s="14">
        <v>2.0</v>
      </c>
      <c r="K27" s="14">
        <v>0.0</v>
      </c>
      <c r="L27" s="14">
        <v>0.0</v>
      </c>
      <c r="M27" s="14">
        <v>0.0</v>
      </c>
      <c r="N27" s="14">
        <v>67.0</v>
      </c>
      <c r="O27" s="20">
        <v>1.5925</v>
      </c>
      <c r="P27" s="20">
        <v>14.838003483354296</v>
      </c>
      <c r="Q27" s="15"/>
      <c r="R27" s="20">
        <v>1.5925</v>
      </c>
      <c r="U27" s="14">
        <f t="array" ref="U27">XLOOKUP(E27, 'Conference Match'!$A$2:$A$25, 'Conference Match'!$C$2:$C$25)</f>
        <v>1</v>
      </c>
      <c r="V27" s="20">
        <f t="shared" si="1"/>
        <v>0.238875</v>
      </c>
      <c r="W27" s="20">
        <f t="shared" si="2"/>
        <v>2.052985679</v>
      </c>
      <c r="Y27" s="20">
        <f>IFERROR(__xludf.DUMMYFUNCTION("iferror(PERCENTRANK.INC(FILTER($R$2:$R$425, $T$2:$T$425&lt;3.75), $R27), 0.01)"),0.556)</f>
        <v>0.556</v>
      </c>
      <c r="Z27" s="20">
        <f>IFERROR(__xludf.DUMMYFUNCTION("iferror(PERCENTRANK.INC(FILTER($R$2:$R$425, $T$2:$T$425&lt;4.5), $R27), 0.01)"),0.545)</f>
        <v>0.545</v>
      </c>
      <c r="AA27" s="20">
        <f>IFERROR(__xludf.DUMMYFUNCTION("iferror(PERCENTRANK.INC(FILTER($R$2:$R$425, $T$2:$T$425&gt;4.1), $R27), 0.01)"),0.01)</f>
        <v>0.01</v>
      </c>
    </row>
    <row r="28" ht="14.25" customHeight="1">
      <c r="A28" s="14" t="s">
        <v>1639</v>
      </c>
      <c r="B28" s="14" t="s">
        <v>351</v>
      </c>
      <c r="C28" s="14">
        <v>0.0</v>
      </c>
      <c r="D28" s="14" t="s">
        <v>1613</v>
      </c>
      <c r="E28" s="14" t="s">
        <v>130</v>
      </c>
      <c r="F28" s="14">
        <v>10.0</v>
      </c>
      <c r="G28" s="14">
        <v>23.0</v>
      </c>
      <c r="H28" s="14">
        <v>19.0</v>
      </c>
      <c r="I28" s="42">
        <v>0.826</v>
      </c>
      <c r="J28" s="14">
        <v>1.0</v>
      </c>
      <c r="K28" s="14">
        <v>0.0</v>
      </c>
      <c r="L28" s="14">
        <v>1.0</v>
      </c>
      <c r="M28" s="14">
        <v>1.0</v>
      </c>
      <c r="N28" s="14">
        <v>308.0</v>
      </c>
      <c r="O28" s="20">
        <v>1.5700880000000002</v>
      </c>
      <c r="P28" s="20">
        <v>14.015879048078807</v>
      </c>
      <c r="Q28" s="15"/>
      <c r="R28" s="20">
        <v>1.5700880000000002</v>
      </c>
      <c r="U28" s="14">
        <f t="array" ref="U28">XLOOKUP(E28, 'Conference Match'!$A$2:$A$25, 'Conference Match'!$C$2:$C$25)</f>
        <v>1</v>
      </c>
      <c r="V28" s="20">
        <f t="shared" si="1"/>
        <v>0.2355132</v>
      </c>
      <c r="W28" s="20">
        <f t="shared" si="2"/>
        <v>1.952879037</v>
      </c>
      <c r="Y28" s="20">
        <f>IFERROR(__xludf.DUMMYFUNCTION("iferror(PERCENTRANK.INC(FILTER($R$2:$R$425, $T$2:$T$425&lt;3.75), $R28), 0.01)"),0.5)</f>
        <v>0.5</v>
      </c>
      <c r="Z28" s="20">
        <f>IFERROR(__xludf.DUMMYFUNCTION("iferror(PERCENTRANK.INC(FILTER($R$2:$R$425, $T$2:$T$425&lt;4.5), $R28), 0.01)"),0.491)</f>
        <v>0.491</v>
      </c>
      <c r="AA28" s="20">
        <f>IFERROR(__xludf.DUMMYFUNCTION("iferror(PERCENTRANK.INC(FILTER($R$2:$R$425, $T$2:$T$425&gt;4.1), $R28), 0.01)"),0.01)</f>
        <v>0.01</v>
      </c>
    </row>
    <row r="29" ht="14.25" customHeight="1">
      <c r="A29" s="14" t="s">
        <v>1640</v>
      </c>
      <c r="B29" s="14" t="s">
        <v>161</v>
      </c>
      <c r="C29" s="14">
        <v>35.0</v>
      </c>
      <c r="D29" s="14" t="s">
        <v>1613</v>
      </c>
      <c r="E29" s="14" t="s">
        <v>130</v>
      </c>
      <c r="F29" s="14">
        <v>3.0</v>
      </c>
      <c r="G29" s="14">
        <v>7.0</v>
      </c>
      <c r="H29" s="14">
        <v>6.0</v>
      </c>
      <c r="I29" s="42">
        <v>0.857</v>
      </c>
      <c r="J29" s="14">
        <v>1.0</v>
      </c>
      <c r="K29" s="14">
        <v>0.0</v>
      </c>
      <c r="L29" s="14">
        <v>1.0</v>
      </c>
      <c r="M29" s="14">
        <v>1.0</v>
      </c>
      <c r="N29" s="14">
        <v>80.0</v>
      </c>
      <c r="O29" s="20">
        <v>1.569716</v>
      </c>
      <c r="P29" s="20">
        <v>14.002233220400658</v>
      </c>
      <c r="Q29" s="15"/>
      <c r="R29" s="20">
        <v>1.569716</v>
      </c>
      <c r="U29" s="14">
        <f t="array" ref="U29">XLOOKUP(E29, 'Conference Match'!$A$2:$A$25, 'Conference Match'!$C$2:$C$25)</f>
        <v>1</v>
      </c>
      <c r="V29" s="20">
        <f t="shared" si="1"/>
        <v>0.2354574</v>
      </c>
      <c r="W29" s="20">
        <f t="shared" si="2"/>
        <v>1.951217442</v>
      </c>
      <c r="Y29" s="20">
        <f>IFERROR(__xludf.DUMMYFUNCTION("iferror(PERCENTRANK.INC(FILTER($R$2:$R$425, $T$2:$T$425&lt;3.75), $R29), 0.01)"),0.481)</f>
        <v>0.481</v>
      </c>
      <c r="Z29" s="20">
        <f>IFERROR(__xludf.DUMMYFUNCTION("iferror(PERCENTRANK.INC(FILTER($R$2:$R$425, $T$2:$T$425&lt;4.5), $R29), 0.01)"),0.473)</f>
        <v>0.473</v>
      </c>
      <c r="AA29" s="20">
        <f>IFERROR(__xludf.DUMMYFUNCTION("iferror(PERCENTRANK.INC(FILTER($R$2:$R$425, $T$2:$T$425&gt;4.1), $R29), 0.01)"),0.01)</f>
        <v>0.01</v>
      </c>
    </row>
    <row r="30" ht="14.25" customHeight="1">
      <c r="A30" s="14" t="s">
        <v>1641</v>
      </c>
      <c r="B30" s="14" t="s">
        <v>331</v>
      </c>
      <c r="C30" s="14">
        <v>16.0</v>
      </c>
      <c r="D30" s="14" t="s">
        <v>1613</v>
      </c>
      <c r="E30" s="14" t="s">
        <v>179</v>
      </c>
      <c r="F30" s="14">
        <v>2.0</v>
      </c>
      <c r="G30" s="14">
        <v>11.0</v>
      </c>
      <c r="H30" s="14">
        <v>10.0</v>
      </c>
      <c r="I30" s="42">
        <v>0.909</v>
      </c>
      <c r="J30" s="14">
        <v>1.0</v>
      </c>
      <c r="K30" s="14">
        <v>0.0</v>
      </c>
      <c r="L30" s="14">
        <v>1.0</v>
      </c>
      <c r="M30" s="14">
        <v>1.0</v>
      </c>
      <c r="N30" s="14">
        <v>188.0</v>
      </c>
      <c r="O30" s="20">
        <v>1.569092</v>
      </c>
      <c r="P30" s="20">
        <v>13.979343444940554</v>
      </c>
      <c r="Q30" s="15"/>
      <c r="R30" s="20">
        <v>1.569092</v>
      </c>
      <c r="U30" s="14">
        <f t="array" ref="U30">XLOOKUP(E30, 'Conference Match'!$A$2:$A$25, 'Conference Match'!$C$2:$C$25)</f>
        <v>1</v>
      </c>
      <c r="V30" s="20">
        <f t="shared" si="1"/>
        <v>0.2353638</v>
      </c>
      <c r="W30" s="20">
        <f t="shared" si="2"/>
        <v>1.94843025</v>
      </c>
      <c r="Y30" s="20">
        <f>IFERROR(__xludf.DUMMYFUNCTION("iferror(PERCENTRANK.INC(FILTER($R$2:$R$425, $T$2:$T$425&lt;3.75), $R30), 0.01)"),0.463)</f>
        <v>0.463</v>
      </c>
      <c r="Z30" s="20">
        <f>IFERROR(__xludf.DUMMYFUNCTION("iferror(PERCENTRANK.INC(FILTER($R$2:$R$425, $T$2:$T$425&lt;4.5), $R30), 0.01)"),0.455)</f>
        <v>0.455</v>
      </c>
      <c r="AA30" s="20">
        <f>IFERROR(__xludf.DUMMYFUNCTION("iferror(PERCENTRANK.INC(FILTER($R$2:$R$425, $T$2:$T$425&gt;4.1), $R30), 0.01)"),0.01)</f>
        <v>0.01</v>
      </c>
    </row>
    <row r="31" ht="14.25" customHeight="1">
      <c r="A31" s="14" t="s">
        <v>1642</v>
      </c>
      <c r="B31" s="14" t="s">
        <v>265</v>
      </c>
      <c r="C31" s="14">
        <v>7.0</v>
      </c>
      <c r="D31" s="14" t="s">
        <v>1613</v>
      </c>
      <c r="E31" s="14" t="s">
        <v>108</v>
      </c>
      <c r="F31" s="14">
        <v>2.0</v>
      </c>
      <c r="G31" s="14">
        <v>24.0</v>
      </c>
      <c r="H31" s="14">
        <v>20.0</v>
      </c>
      <c r="I31" s="42">
        <v>0.833</v>
      </c>
      <c r="J31" s="14">
        <v>0.0</v>
      </c>
      <c r="K31" s="14">
        <v>1.0</v>
      </c>
      <c r="L31" s="14">
        <v>2.0</v>
      </c>
      <c r="M31" s="14">
        <v>2.0</v>
      </c>
      <c r="N31" s="14">
        <v>266.0</v>
      </c>
      <c r="O31" s="20">
        <v>1.650004</v>
      </c>
      <c r="P31" s="20">
        <v>16.947384329601032</v>
      </c>
      <c r="Q31" s="15"/>
      <c r="R31" s="20">
        <v>1.650004</v>
      </c>
      <c r="U31" s="14">
        <f t="array" ref="U31">XLOOKUP(E31, 'Conference Match'!$A$2:$A$25, 'Conference Match'!$C$2:$C$25)</f>
        <v>0.95</v>
      </c>
      <c r="V31" s="20">
        <f t="shared" si="1"/>
        <v>0.23512557</v>
      </c>
      <c r="W31" s="20">
        <f t="shared" si="2"/>
        <v>1.941336311</v>
      </c>
      <c r="Y31" s="20">
        <f>IFERROR(__xludf.DUMMYFUNCTION("iferror(PERCENTRANK.INC(FILTER($R$2:$R$425, $T$2:$T$425&lt;3.75), $R31), 0.01)"),0.593)</f>
        <v>0.593</v>
      </c>
      <c r="Z31" s="20">
        <f>IFERROR(__xludf.DUMMYFUNCTION("iferror(PERCENTRANK.INC(FILTER($R$2:$R$425, $T$2:$T$425&lt;4.5), $R31), 0.01)"),0.582)</f>
        <v>0.582</v>
      </c>
      <c r="AA31" s="20">
        <f>IFERROR(__xludf.DUMMYFUNCTION("iferror(PERCENTRANK.INC(FILTER($R$2:$R$425, $T$2:$T$425&gt;4.1), $R31), 0.01)"),0.011)</f>
        <v>0.011</v>
      </c>
    </row>
    <row r="32" ht="14.25" customHeight="1">
      <c r="A32" s="14" t="s">
        <v>1643</v>
      </c>
      <c r="B32" s="14" t="s">
        <v>511</v>
      </c>
      <c r="C32" s="14">
        <v>23.0</v>
      </c>
      <c r="D32" s="14" t="s">
        <v>1613</v>
      </c>
      <c r="E32" s="14" t="s">
        <v>102</v>
      </c>
      <c r="F32" s="14">
        <v>4.0</v>
      </c>
      <c r="G32" s="14">
        <v>10.0</v>
      </c>
      <c r="H32" s="14">
        <v>5.0</v>
      </c>
      <c r="I32" s="42">
        <v>0.5</v>
      </c>
      <c r="J32" s="14">
        <v>0.0</v>
      </c>
      <c r="K32" s="14">
        <v>0.0</v>
      </c>
      <c r="L32" s="14">
        <v>2.0</v>
      </c>
      <c r="M32" s="14">
        <v>2.0</v>
      </c>
      <c r="N32" s="14">
        <v>215.0</v>
      </c>
      <c r="O32" s="20">
        <v>1.5539999999999998</v>
      </c>
      <c r="P32" s="20">
        <v>13.425733683331691</v>
      </c>
      <c r="Q32" s="15"/>
      <c r="R32" s="20">
        <v>1.5539999999999998</v>
      </c>
      <c r="U32" s="14">
        <f t="array" ref="U32">XLOOKUP(E32, 'Conference Match'!$A$2:$A$25, 'Conference Match'!$C$2:$C$25)</f>
        <v>1</v>
      </c>
      <c r="V32" s="20">
        <f t="shared" si="1"/>
        <v>0.2331</v>
      </c>
      <c r="W32" s="20">
        <f t="shared" si="2"/>
        <v>1.881019514</v>
      </c>
      <c r="Y32" s="20">
        <f>IFERROR(__xludf.DUMMYFUNCTION("iferror(PERCENTRANK.INC(FILTER($R$2:$R$425, $T$2:$T$425&lt;3.75), $R32), 0.01)"),0.444)</f>
        <v>0.444</v>
      </c>
      <c r="Z32" s="20">
        <f>IFERROR(__xludf.DUMMYFUNCTION("iferror(PERCENTRANK.INC(FILTER($R$2:$R$425, $T$2:$T$425&lt;4.5), $R32), 0.01)"),0.436)</f>
        <v>0.436</v>
      </c>
      <c r="AA32" s="20">
        <f>IFERROR(__xludf.DUMMYFUNCTION("iferror(PERCENTRANK.INC(FILTER($R$2:$R$425, $T$2:$T$425&gt;4.1), $R32), 0.01)"),0.01)</f>
        <v>0.01</v>
      </c>
    </row>
    <row r="33" ht="14.25" customHeight="1">
      <c r="A33" s="14" t="s">
        <v>1644</v>
      </c>
      <c r="B33" s="14" t="s">
        <v>443</v>
      </c>
      <c r="C33" s="14">
        <v>16.0</v>
      </c>
      <c r="D33" s="14" t="s">
        <v>1613</v>
      </c>
      <c r="E33" s="14" t="s">
        <v>130</v>
      </c>
      <c r="F33" s="14">
        <v>2.0</v>
      </c>
      <c r="G33" s="14">
        <v>11.0</v>
      </c>
      <c r="H33" s="14">
        <v>6.0</v>
      </c>
      <c r="I33" s="42">
        <v>0.545</v>
      </c>
      <c r="J33" s="14">
        <v>0.0</v>
      </c>
      <c r="K33" s="14">
        <v>0.0</v>
      </c>
      <c r="L33" s="14">
        <v>2.0</v>
      </c>
      <c r="M33" s="14">
        <v>2.0</v>
      </c>
      <c r="N33" s="14">
        <v>83.0</v>
      </c>
      <c r="O33" s="20">
        <v>1.55346</v>
      </c>
      <c r="P33" s="20">
        <v>13.405925223798915</v>
      </c>
      <c r="Q33" s="15"/>
      <c r="R33" s="20">
        <v>1.55346</v>
      </c>
      <c r="U33" s="14">
        <f t="array" ref="U33">XLOOKUP(E33, 'Conference Match'!$A$2:$A$25, 'Conference Match'!$C$2:$C$25)</f>
        <v>1</v>
      </c>
      <c r="V33" s="20">
        <f t="shared" si="1"/>
        <v>0.233019</v>
      </c>
      <c r="W33" s="20">
        <f t="shared" si="2"/>
        <v>1.878607521</v>
      </c>
      <c r="Y33" s="20">
        <f>IFERROR(__xludf.DUMMYFUNCTION("iferror(PERCENTRANK.INC(FILTER($R$2:$R$425, $T$2:$T$425&lt;3.75), $R33), 0.01)"),0.426)</f>
        <v>0.426</v>
      </c>
      <c r="Z33" s="20">
        <f>IFERROR(__xludf.DUMMYFUNCTION("iferror(PERCENTRANK.INC(FILTER($R$2:$R$425, $T$2:$T$425&lt;4.5), $R33), 0.01)"),0.418)</f>
        <v>0.418</v>
      </c>
      <c r="AA33" s="20">
        <f>IFERROR(__xludf.DUMMYFUNCTION("iferror(PERCENTRANK.INC(FILTER($R$2:$R$425, $T$2:$T$425&gt;4.1), $R33), 0.01)"),0.01)</f>
        <v>0.01</v>
      </c>
    </row>
    <row r="34" ht="14.25" customHeight="1">
      <c r="A34" s="14" t="s">
        <v>1645</v>
      </c>
      <c r="B34" s="14" t="s">
        <v>529</v>
      </c>
      <c r="C34" s="14">
        <v>4.0</v>
      </c>
      <c r="D34" s="14" t="s">
        <v>1613</v>
      </c>
      <c r="E34" s="14" t="s">
        <v>125</v>
      </c>
      <c r="F34" s="14">
        <v>0.0</v>
      </c>
      <c r="G34" s="14">
        <v>10.0</v>
      </c>
      <c r="H34" s="14">
        <v>4.0</v>
      </c>
      <c r="I34" s="42">
        <v>0.4</v>
      </c>
      <c r="J34" s="14">
        <v>1.0</v>
      </c>
      <c r="K34" s="14">
        <v>0.0</v>
      </c>
      <c r="L34" s="14">
        <v>1.0</v>
      </c>
      <c r="M34" s="14">
        <v>1.0</v>
      </c>
      <c r="N34" s="14">
        <v>149.0</v>
      </c>
      <c r="O34" s="20">
        <v>1.5751999999999997</v>
      </c>
      <c r="P34" s="20">
        <v>14.203399131655818</v>
      </c>
      <c r="Q34" s="15"/>
      <c r="R34" s="20">
        <v>1.5751999999999997</v>
      </c>
      <c r="U34" s="14">
        <f t="array" ref="U34">XLOOKUP(E34, 'Conference Match'!$A$2:$A$25, 'Conference Match'!$C$2:$C$25)</f>
        <v>0.95</v>
      </c>
      <c r="V34" s="20">
        <f t="shared" si="1"/>
        <v>0.224466</v>
      </c>
      <c r="W34" s="20">
        <f t="shared" si="2"/>
        <v>1.62391893</v>
      </c>
      <c r="Y34" s="20">
        <f>IFERROR(__xludf.DUMMYFUNCTION("iferror(PERCENTRANK.INC(FILTER($R$2:$R$425, $T$2:$T$425&lt;3.75), $R34), 0.01)"),0.537)</f>
        <v>0.537</v>
      </c>
      <c r="Z34" s="20">
        <f>IFERROR(__xludf.DUMMYFUNCTION("iferror(PERCENTRANK.INC(FILTER($R$2:$R$425, $T$2:$T$425&lt;4.5), $R34), 0.01)"),0.527)</f>
        <v>0.527</v>
      </c>
      <c r="AA34" s="20">
        <f>IFERROR(__xludf.DUMMYFUNCTION("iferror(PERCENTRANK.INC(FILTER($R$2:$R$425, $T$2:$T$425&gt;4.1), $R34), 0.01)"),0.01)</f>
        <v>0.01</v>
      </c>
    </row>
    <row r="35" ht="14.25" customHeight="1">
      <c r="A35" s="14" t="s">
        <v>1646</v>
      </c>
      <c r="B35" s="14" t="s">
        <v>529</v>
      </c>
      <c r="C35" s="14">
        <v>23.0</v>
      </c>
      <c r="D35" s="14" t="s">
        <v>1613</v>
      </c>
      <c r="E35" s="14" t="s">
        <v>125</v>
      </c>
      <c r="F35" s="14">
        <v>1.0</v>
      </c>
      <c r="G35" s="14">
        <v>21.0</v>
      </c>
      <c r="H35" s="14">
        <v>12.0</v>
      </c>
      <c r="I35" s="42">
        <v>0.571</v>
      </c>
      <c r="J35" s="14">
        <v>1.0</v>
      </c>
      <c r="K35" s="14">
        <v>0.0</v>
      </c>
      <c r="L35" s="14">
        <v>1.0</v>
      </c>
      <c r="M35" s="14">
        <v>1.0</v>
      </c>
      <c r="N35" s="14">
        <v>229.0</v>
      </c>
      <c r="O35" s="20">
        <v>1.573148</v>
      </c>
      <c r="P35" s="20">
        <v>14.128126985431248</v>
      </c>
      <c r="Q35" s="15"/>
      <c r="R35" s="20">
        <v>1.573148</v>
      </c>
      <c r="U35" s="14">
        <f t="array" ref="U35">XLOOKUP(E35, 'Conference Match'!$A$2:$A$25, 'Conference Match'!$C$2:$C$25)</f>
        <v>0.95</v>
      </c>
      <c r="V35" s="20">
        <f t="shared" si="1"/>
        <v>0.22417359</v>
      </c>
      <c r="W35" s="20">
        <f t="shared" si="2"/>
        <v>1.615211636</v>
      </c>
      <c r="Y35" s="20">
        <f>IFERROR(__xludf.DUMMYFUNCTION("iferror(PERCENTRANK.INC(FILTER($R$2:$R$425, $T$2:$T$425&lt;3.75), $R35), 0.01)"),0.519)</f>
        <v>0.519</v>
      </c>
      <c r="Z35" s="20">
        <f>IFERROR(__xludf.DUMMYFUNCTION("iferror(PERCENTRANK.INC(FILTER($R$2:$R$425, $T$2:$T$425&lt;4.5), $R35), 0.01)"),0.509)</f>
        <v>0.509</v>
      </c>
      <c r="AA35" s="20">
        <f>IFERROR(__xludf.DUMMYFUNCTION("iferror(PERCENTRANK.INC(FILTER($R$2:$R$425, $T$2:$T$425&gt;4.1), $R35), 0.01)"),0.01)</f>
        <v>0.01</v>
      </c>
    </row>
    <row r="36" ht="14.25" customHeight="1">
      <c r="A36" s="14" t="s">
        <v>1647</v>
      </c>
      <c r="B36" s="14" t="s">
        <v>345</v>
      </c>
      <c r="C36" s="14">
        <v>39.0</v>
      </c>
      <c r="D36" s="14" t="s">
        <v>1613</v>
      </c>
      <c r="E36" s="14" t="s">
        <v>120</v>
      </c>
      <c r="F36" s="14">
        <v>0.0</v>
      </c>
      <c r="G36" s="14">
        <v>8.0</v>
      </c>
      <c r="H36" s="14">
        <v>6.0</v>
      </c>
      <c r="I36" s="42">
        <v>0.75</v>
      </c>
      <c r="J36" s="14">
        <v>0.0</v>
      </c>
      <c r="K36" s="14">
        <v>0.0</v>
      </c>
      <c r="L36" s="14">
        <v>2.0</v>
      </c>
      <c r="M36" s="14">
        <v>2.0</v>
      </c>
      <c r="N36" s="14">
        <v>130.0</v>
      </c>
      <c r="O36" s="20">
        <v>1.551</v>
      </c>
      <c r="P36" s="20">
        <v>13.315686685927336</v>
      </c>
      <c r="Q36" s="15"/>
      <c r="R36" s="20">
        <v>1.551</v>
      </c>
      <c r="U36" s="14">
        <f t="array" ref="U36">XLOOKUP(E36, 'Conference Match'!$A$2:$A$25, 'Conference Match'!$C$2:$C$25)</f>
        <v>0.95</v>
      </c>
      <c r="V36" s="20">
        <f t="shared" si="1"/>
        <v>0.2210175</v>
      </c>
      <c r="W36" s="20">
        <f t="shared" si="2"/>
        <v>1.521230563</v>
      </c>
      <c r="Y36" s="20">
        <f>IFERROR(__xludf.DUMMYFUNCTION("iferror(PERCENTRANK.INC(FILTER($R$2:$R$425, $T$2:$T$425&lt;3.75), $R36), 0.01)"),0.407)</f>
        <v>0.407</v>
      </c>
      <c r="Z36" s="20">
        <f>IFERROR(__xludf.DUMMYFUNCTION("iferror(PERCENTRANK.INC(FILTER($R$2:$R$425, $T$2:$T$425&lt;4.5), $R36), 0.01)"),0.4)</f>
        <v>0.4</v>
      </c>
      <c r="AA36" s="20">
        <f>IFERROR(__xludf.DUMMYFUNCTION("iferror(PERCENTRANK.INC(FILTER($R$2:$R$425, $T$2:$T$425&gt;4.1), $R36), 0.01)"),0.01)</f>
        <v>0.01</v>
      </c>
    </row>
    <row r="37" ht="14.25" customHeight="1">
      <c r="A37" s="14" t="s">
        <v>1648</v>
      </c>
      <c r="B37" s="14" t="s">
        <v>369</v>
      </c>
      <c r="C37" s="14">
        <v>19.0</v>
      </c>
      <c r="D37" s="14" t="s">
        <v>1613</v>
      </c>
      <c r="E37" s="14" t="s">
        <v>130</v>
      </c>
      <c r="F37" s="14">
        <v>13.0</v>
      </c>
      <c r="G37" s="14">
        <v>17.0</v>
      </c>
      <c r="H37" s="14">
        <v>9.0</v>
      </c>
      <c r="I37" s="42">
        <v>0.529</v>
      </c>
      <c r="J37" s="14">
        <v>0.0</v>
      </c>
      <c r="K37" s="14">
        <v>0.0</v>
      </c>
      <c r="L37" s="14">
        <v>1.0</v>
      </c>
      <c r="M37" s="14">
        <v>2.0</v>
      </c>
      <c r="N37" s="14">
        <v>196.0</v>
      </c>
      <c r="O37" s="20">
        <v>1.4536520000000002</v>
      </c>
      <c r="P37" s="20">
        <v>9.744734984820859</v>
      </c>
      <c r="Q37" s="15"/>
      <c r="R37" s="20">
        <v>1.4536520000000002</v>
      </c>
      <c r="U37" s="14">
        <f t="array" ref="U37">XLOOKUP(E37, 'Conference Match'!$A$2:$A$25, 'Conference Match'!$C$2:$C$25)</f>
        <v>1</v>
      </c>
      <c r="V37" s="20">
        <f t="shared" si="1"/>
        <v>0.2180478</v>
      </c>
      <c r="W37" s="20">
        <f t="shared" si="2"/>
        <v>1.432799754</v>
      </c>
      <c r="Y37" s="20">
        <f>IFERROR(__xludf.DUMMYFUNCTION("iferror(PERCENTRANK.INC(FILTER($R$2:$R$425, $T$2:$T$425&lt;3.75), $R37), 0.01)"),0.37)</f>
        <v>0.37</v>
      </c>
      <c r="Z37" s="20">
        <f>IFERROR(__xludf.DUMMYFUNCTION("iferror(PERCENTRANK.INC(FILTER($R$2:$R$425, $T$2:$T$425&lt;4.5), $R37), 0.01)"),0.364)</f>
        <v>0.364</v>
      </c>
      <c r="AA37" s="20">
        <f>IFERROR(__xludf.DUMMYFUNCTION("iferror(PERCENTRANK.INC(FILTER($R$2:$R$425, $T$2:$T$425&gt;4.1), $R37), 0.01)"),0.01)</f>
        <v>0.01</v>
      </c>
    </row>
    <row r="38" ht="14.25" customHeight="1">
      <c r="A38" s="14" t="s">
        <v>1649</v>
      </c>
      <c r="B38" s="14" t="s">
        <v>124</v>
      </c>
      <c r="C38" s="14">
        <v>18.0</v>
      </c>
      <c r="D38" s="14" t="s">
        <v>1613</v>
      </c>
      <c r="E38" s="14" t="s">
        <v>125</v>
      </c>
      <c r="F38" s="14">
        <v>18.0</v>
      </c>
      <c r="G38" s="14">
        <v>19.0</v>
      </c>
      <c r="H38" s="14">
        <v>13.0</v>
      </c>
      <c r="I38" s="42">
        <v>0.684</v>
      </c>
      <c r="J38" s="14">
        <v>0.0</v>
      </c>
      <c r="K38" s="14">
        <v>1.0</v>
      </c>
      <c r="L38" s="14">
        <v>1.0</v>
      </c>
      <c r="M38" s="14">
        <v>1.0</v>
      </c>
      <c r="N38" s="14">
        <v>123.0</v>
      </c>
      <c r="O38" s="20">
        <v>1.4717919999999998</v>
      </c>
      <c r="P38" s="20">
        <v>10.41015249579253</v>
      </c>
      <c r="Q38" s="15"/>
      <c r="R38" s="20">
        <v>1.4717919999999998</v>
      </c>
      <c r="U38" s="14">
        <f t="array" ref="U38">XLOOKUP(E38, 'Conference Match'!$A$2:$A$25, 'Conference Match'!$C$2:$C$25)</f>
        <v>0.95</v>
      </c>
      <c r="V38" s="20">
        <f t="shared" si="1"/>
        <v>0.20973036</v>
      </c>
      <c r="W38" s="20">
        <f t="shared" si="2"/>
        <v>1.185125597</v>
      </c>
      <c r="Y38" s="20">
        <f>IFERROR(__xludf.DUMMYFUNCTION("iferror(PERCENTRANK.INC(FILTER($R$2:$R$425, $T$2:$T$425&lt;3.75), $R38), 0.01)"),0.389)</f>
        <v>0.389</v>
      </c>
      <c r="Z38" s="20">
        <f>IFERROR(__xludf.DUMMYFUNCTION("iferror(PERCENTRANK.INC(FILTER($R$2:$R$425, $T$2:$T$425&lt;4.5), $R38), 0.01)"),0.382)</f>
        <v>0.382</v>
      </c>
      <c r="AA38" s="20">
        <f>IFERROR(__xludf.DUMMYFUNCTION("iferror(PERCENTRANK.INC(FILTER($R$2:$R$425, $T$2:$T$425&gt;4.1), $R38), 0.01)"),0.01)</f>
        <v>0.01</v>
      </c>
    </row>
    <row r="39" ht="14.25" customHeight="1">
      <c r="A39" s="14" t="s">
        <v>1650</v>
      </c>
      <c r="B39" s="14" t="s">
        <v>511</v>
      </c>
      <c r="C39" s="14">
        <v>13.0</v>
      </c>
      <c r="D39" s="14" t="s">
        <v>1613</v>
      </c>
      <c r="E39" s="14" t="s">
        <v>102</v>
      </c>
      <c r="F39" s="14">
        <v>0.0</v>
      </c>
      <c r="G39" s="14">
        <v>2.0</v>
      </c>
      <c r="H39" s="14">
        <v>1.0</v>
      </c>
      <c r="I39" s="42">
        <v>0.5</v>
      </c>
      <c r="J39" s="14">
        <v>1.0</v>
      </c>
      <c r="K39" s="14">
        <v>0.0</v>
      </c>
      <c r="L39" s="14">
        <v>0.0</v>
      </c>
      <c r="M39" s="14">
        <v>0.0</v>
      </c>
      <c r="N39" s="14">
        <v>72.0</v>
      </c>
      <c r="O39" s="20">
        <v>1.3939999999999997</v>
      </c>
      <c r="P39" s="20">
        <v>7.556560488432583</v>
      </c>
      <c r="Q39" s="15"/>
      <c r="R39" s="20">
        <v>1.3939999999999997</v>
      </c>
      <c r="U39" s="14">
        <f t="array" ref="U39">XLOOKUP(E39, 'Conference Match'!$A$2:$A$25, 'Conference Match'!$C$2:$C$25)</f>
        <v>1</v>
      </c>
      <c r="V39" s="20">
        <f t="shared" si="1"/>
        <v>0.2091</v>
      </c>
      <c r="W39" s="20">
        <f t="shared" si="2"/>
        <v>1.166354931</v>
      </c>
      <c r="Y39" s="20">
        <f>IFERROR(__xludf.DUMMYFUNCTION("iferror(PERCENTRANK.INC(FILTER($R$2:$R$425, $T$2:$T$425&lt;3.75), $R39), 0.01)"),0.352)</f>
        <v>0.352</v>
      </c>
      <c r="Z39" s="20">
        <f>IFERROR(__xludf.DUMMYFUNCTION("iferror(PERCENTRANK.INC(FILTER($R$2:$R$425, $T$2:$T$425&lt;4.5), $R39), 0.01)"),0.345)</f>
        <v>0.345</v>
      </c>
      <c r="AA39" s="20">
        <f>IFERROR(__xludf.DUMMYFUNCTION("iferror(PERCENTRANK.INC(FILTER($R$2:$R$425, $T$2:$T$425&gt;4.1), $R39), 0.01)"),0.01)</f>
        <v>0.01</v>
      </c>
    </row>
    <row r="40" ht="14.25" customHeight="1">
      <c r="A40" s="14" t="s">
        <v>1651</v>
      </c>
      <c r="B40" s="14" t="s">
        <v>443</v>
      </c>
      <c r="C40" s="14">
        <v>12.0</v>
      </c>
      <c r="D40" s="14" t="s">
        <v>1613</v>
      </c>
      <c r="E40" s="14" t="s">
        <v>130</v>
      </c>
      <c r="F40" s="14">
        <v>3.0</v>
      </c>
      <c r="G40" s="14">
        <v>12.0</v>
      </c>
      <c r="H40" s="14">
        <v>7.0</v>
      </c>
      <c r="I40" s="42">
        <v>0.583</v>
      </c>
      <c r="J40" s="14">
        <v>1.0</v>
      </c>
      <c r="K40" s="14">
        <v>0.0</v>
      </c>
      <c r="L40" s="14">
        <v>0.0</v>
      </c>
      <c r="M40" s="14">
        <v>0.0</v>
      </c>
      <c r="N40" s="14">
        <v>105.0</v>
      </c>
      <c r="O40" s="20">
        <v>1.393004</v>
      </c>
      <c r="P40" s="20">
        <v>7.520024885294345</v>
      </c>
      <c r="Q40" s="15"/>
      <c r="R40" s="20">
        <v>1.393004</v>
      </c>
      <c r="U40" s="14">
        <f t="array" ref="U40">XLOOKUP(E40, 'Conference Match'!$A$2:$A$25, 'Conference Match'!$C$2:$C$25)</f>
        <v>1</v>
      </c>
      <c r="V40" s="20">
        <f t="shared" si="1"/>
        <v>0.2089506</v>
      </c>
      <c r="W40" s="20">
        <f t="shared" si="2"/>
        <v>1.161906144</v>
      </c>
      <c r="Y40" s="20">
        <f>IFERROR(__xludf.DUMMYFUNCTION("iferror(PERCENTRANK.INC(FILTER($R$2:$R$425, $T$2:$T$425&lt;3.75), $R40), 0.01)"),0.333)</f>
        <v>0.333</v>
      </c>
      <c r="Z40" s="20">
        <f>IFERROR(__xludf.DUMMYFUNCTION("iferror(PERCENTRANK.INC(FILTER($R$2:$R$425, $T$2:$T$425&lt;4.5), $R40), 0.01)"),0.327)</f>
        <v>0.327</v>
      </c>
      <c r="AA40" s="20">
        <f>IFERROR(__xludf.DUMMYFUNCTION("iferror(PERCENTRANK.INC(FILTER($R$2:$R$425, $T$2:$T$425&gt;4.1), $R40), 0.01)"),0.01)</f>
        <v>0.01</v>
      </c>
    </row>
    <row r="41" ht="14.25" customHeight="1">
      <c r="A41" s="14" t="s">
        <v>1652</v>
      </c>
      <c r="B41" s="14" t="s">
        <v>161</v>
      </c>
      <c r="C41" s="14">
        <v>8.0</v>
      </c>
      <c r="D41" s="14" t="s">
        <v>1613</v>
      </c>
      <c r="E41" s="14" t="s">
        <v>130</v>
      </c>
      <c r="F41" s="14">
        <v>3.0</v>
      </c>
      <c r="G41" s="14">
        <v>35.0</v>
      </c>
      <c r="H41" s="14">
        <v>22.0</v>
      </c>
      <c r="I41" s="42">
        <v>0.629</v>
      </c>
      <c r="J41" s="14">
        <v>1.0</v>
      </c>
      <c r="K41" s="14">
        <v>0.0</v>
      </c>
      <c r="L41" s="14">
        <v>0.0</v>
      </c>
      <c r="M41" s="14">
        <v>0.0</v>
      </c>
      <c r="N41" s="14">
        <v>272.0</v>
      </c>
      <c r="O41" s="20">
        <v>1.3924519999999998</v>
      </c>
      <c r="P41" s="20">
        <v>7.49977623777194</v>
      </c>
      <c r="Q41" s="15"/>
      <c r="R41" s="20">
        <v>1.3924519999999998</v>
      </c>
      <c r="U41" s="14">
        <f t="array" ref="U41">XLOOKUP(E41, 'Conference Match'!$A$2:$A$25, 'Conference Match'!$C$2:$C$25)</f>
        <v>1</v>
      </c>
      <c r="V41" s="20">
        <f t="shared" si="1"/>
        <v>0.2088678</v>
      </c>
      <c r="W41" s="20">
        <f t="shared" si="2"/>
        <v>1.159440552</v>
      </c>
      <c r="Y41" s="20">
        <f>IFERROR(__xludf.DUMMYFUNCTION("iferror(PERCENTRANK.INC(FILTER($R$2:$R$425, $T$2:$T$425&lt;3.75), $R41), 0.01)"),0.315)</f>
        <v>0.315</v>
      </c>
      <c r="Z41" s="20">
        <f>IFERROR(__xludf.DUMMYFUNCTION("iferror(PERCENTRANK.INC(FILTER($R$2:$R$425, $T$2:$T$425&lt;4.5), $R41), 0.01)"),0.309)</f>
        <v>0.309</v>
      </c>
      <c r="AA41" s="20">
        <f>IFERROR(__xludf.DUMMYFUNCTION("iferror(PERCENTRANK.INC(FILTER($R$2:$R$425, $T$2:$T$425&gt;4.1), $R41), 0.01)"),0.01)</f>
        <v>0.01</v>
      </c>
    </row>
    <row r="42" ht="14.25" customHeight="1">
      <c r="A42" s="14" t="s">
        <v>1653</v>
      </c>
      <c r="B42" s="14" t="s">
        <v>351</v>
      </c>
      <c r="C42" s="14">
        <v>20.0</v>
      </c>
      <c r="D42" s="14" t="s">
        <v>1613</v>
      </c>
      <c r="E42" s="14" t="s">
        <v>130</v>
      </c>
      <c r="F42" s="14">
        <v>0.0</v>
      </c>
      <c r="G42" s="14">
        <v>4.0</v>
      </c>
      <c r="H42" s="14">
        <v>2.0</v>
      </c>
      <c r="I42" s="42">
        <v>0.5</v>
      </c>
      <c r="J42" s="14">
        <v>0.0</v>
      </c>
      <c r="K42" s="14">
        <v>0.0</v>
      </c>
      <c r="L42" s="14">
        <v>1.0</v>
      </c>
      <c r="M42" s="14">
        <v>1.0</v>
      </c>
      <c r="N42" s="14">
        <v>64.0</v>
      </c>
      <c r="O42" s="20">
        <v>1.3739999999999997</v>
      </c>
      <c r="P42" s="20">
        <v>6.822913839070195</v>
      </c>
      <c r="Q42" s="15"/>
      <c r="R42" s="20">
        <v>1.3739999999999997</v>
      </c>
      <c r="U42" s="14">
        <f t="array" ref="U42">XLOOKUP(E42, 'Conference Match'!$A$2:$A$25, 'Conference Match'!$C$2:$C$25)</f>
        <v>1</v>
      </c>
      <c r="V42" s="20">
        <f t="shared" si="1"/>
        <v>0.2061</v>
      </c>
      <c r="W42" s="20">
        <f t="shared" si="2"/>
        <v>1.077021859</v>
      </c>
      <c r="Y42" s="20">
        <f>IFERROR(__xludf.DUMMYFUNCTION("iferror(PERCENTRANK.INC(FILTER($R$2:$R$425, $T$2:$T$425&lt;3.75), $R42), 0.01)"),0.278)</f>
        <v>0.278</v>
      </c>
      <c r="Z42" s="20">
        <f>IFERROR(__xludf.DUMMYFUNCTION("iferror(PERCENTRANK.INC(FILTER($R$2:$R$425, $T$2:$T$425&lt;4.5), $R42), 0.01)"),0.273)</f>
        <v>0.273</v>
      </c>
      <c r="AA42" s="20">
        <f>IFERROR(__xludf.DUMMYFUNCTION("iferror(PERCENTRANK.INC(FILTER($R$2:$R$425, $T$2:$T$425&gt;4.1), $R42), 0.01)"),0.01)</f>
        <v>0.01</v>
      </c>
    </row>
    <row r="43" ht="14.25" customHeight="1">
      <c r="A43" s="14" t="s">
        <v>1654</v>
      </c>
      <c r="B43" s="14" t="s">
        <v>331</v>
      </c>
      <c r="C43" s="14">
        <v>3.0</v>
      </c>
      <c r="D43" s="14" t="s">
        <v>1613</v>
      </c>
      <c r="E43" s="14" t="s">
        <v>179</v>
      </c>
      <c r="F43" s="14">
        <v>2.0</v>
      </c>
      <c r="G43" s="14">
        <v>15.0</v>
      </c>
      <c r="H43" s="14">
        <v>9.0</v>
      </c>
      <c r="I43" s="42">
        <v>0.6</v>
      </c>
      <c r="J43" s="14">
        <v>0.0</v>
      </c>
      <c r="K43" s="14">
        <v>0.0</v>
      </c>
      <c r="L43" s="14">
        <v>1.0</v>
      </c>
      <c r="M43" s="14">
        <v>1.0</v>
      </c>
      <c r="N43" s="14">
        <v>254.0</v>
      </c>
      <c r="O43" s="20">
        <v>1.3728</v>
      </c>
      <c r="P43" s="20">
        <v>6.778895040108465</v>
      </c>
      <c r="Q43" s="15"/>
      <c r="R43" s="20">
        <v>1.3728</v>
      </c>
      <c r="U43" s="14">
        <f t="array" ref="U43">XLOOKUP(E43, 'Conference Match'!$A$2:$A$25, 'Conference Match'!$C$2:$C$25)</f>
        <v>1</v>
      </c>
      <c r="V43" s="20">
        <f t="shared" si="1"/>
        <v>0.20592</v>
      </c>
      <c r="W43" s="20">
        <f t="shared" si="2"/>
        <v>1.071661874</v>
      </c>
      <c r="Y43" s="20">
        <f>IFERROR(__xludf.DUMMYFUNCTION("iferror(PERCENTRANK.INC(FILTER($R$2:$R$425, $T$2:$T$425&lt;3.75), $R43), 0.01)"),0.259)</f>
        <v>0.259</v>
      </c>
      <c r="Z43" s="20">
        <f>IFERROR(__xludf.DUMMYFUNCTION("iferror(PERCENTRANK.INC(FILTER($R$2:$R$425, $T$2:$T$425&lt;4.5), $R43), 0.01)"),0.255)</f>
        <v>0.255</v>
      </c>
      <c r="AA43" s="20">
        <f>IFERROR(__xludf.DUMMYFUNCTION("iferror(PERCENTRANK.INC(FILTER($R$2:$R$425, $T$2:$T$425&gt;4.1), $R43), 0.01)"),0.01)</f>
        <v>0.01</v>
      </c>
    </row>
    <row r="44" ht="14.25" customHeight="1">
      <c r="A44" s="14" t="s">
        <v>1655</v>
      </c>
      <c r="B44" s="14" t="s">
        <v>930</v>
      </c>
      <c r="C44" s="14">
        <v>7.0</v>
      </c>
      <c r="D44" s="14" t="s">
        <v>1613</v>
      </c>
      <c r="E44" s="14" t="s">
        <v>164</v>
      </c>
      <c r="F44" s="14">
        <v>7.0</v>
      </c>
      <c r="G44" s="14">
        <v>20.0</v>
      </c>
      <c r="H44" s="14">
        <v>15.0</v>
      </c>
      <c r="I44" s="42">
        <v>0.75</v>
      </c>
      <c r="J44" s="14">
        <v>0.0</v>
      </c>
      <c r="K44" s="14">
        <v>0.0</v>
      </c>
      <c r="L44" s="14">
        <v>1.0</v>
      </c>
      <c r="M44" s="14">
        <v>1.0</v>
      </c>
      <c r="N44" s="14">
        <v>293.0</v>
      </c>
      <c r="O44" s="20">
        <v>1.371</v>
      </c>
      <c r="P44" s="20">
        <v>6.712866841665849</v>
      </c>
      <c r="Q44" s="15"/>
      <c r="R44" s="20">
        <v>1.371</v>
      </c>
      <c r="U44" s="14">
        <f t="array" ref="U44">XLOOKUP(E44, 'Conference Match'!$A$2:$A$25, 'Conference Match'!$C$2:$C$25)</f>
        <v>1</v>
      </c>
      <c r="V44" s="20">
        <f t="shared" si="1"/>
        <v>0.20565</v>
      </c>
      <c r="W44" s="20">
        <f t="shared" si="2"/>
        <v>1.063621898</v>
      </c>
      <c r="Y44" s="20">
        <f>IFERROR(__xludf.DUMMYFUNCTION("iferror(PERCENTRANK.INC(FILTER($R$2:$R$425, $T$2:$T$425&lt;3.75), $R44), 0.01)"),0.222)</f>
        <v>0.222</v>
      </c>
      <c r="Z44" s="20">
        <f>IFERROR(__xludf.DUMMYFUNCTION("iferror(PERCENTRANK.INC(FILTER($R$2:$R$425, $T$2:$T$425&lt;4.5), $R44), 0.01)"),0.218)</f>
        <v>0.218</v>
      </c>
      <c r="AA44" s="20">
        <f>IFERROR(__xludf.DUMMYFUNCTION("iferror(PERCENTRANK.INC(FILTER($R$2:$R$425, $T$2:$T$425&gt;4.1), $R44), 0.01)"),0.01)</f>
        <v>0.01</v>
      </c>
    </row>
    <row r="45" ht="14.25" customHeight="1">
      <c r="A45" s="14" t="s">
        <v>1656</v>
      </c>
      <c r="B45" s="14" t="s">
        <v>345</v>
      </c>
      <c r="C45" s="14">
        <v>18.0</v>
      </c>
      <c r="D45" s="14" t="s">
        <v>1613</v>
      </c>
      <c r="E45" s="14" t="s">
        <v>120</v>
      </c>
      <c r="F45" s="14">
        <v>1.0</v>
      </c>
      <c r="G45" s="14">
        <v>11.0</v>
      </c>
      <c r="H45" s="14">
        <v>8.0</v>
      </c>
      <c r="I45" s="42">
        <v>0.727</v>
      </c>
      <c r="J45" s="14">
        <v>0.0</v>
      </c>
      <c r="K45" s="14">
        <v>0.0</v>
      </c>
      <c r="L45" s="14">
        <v>1.0</v>
      </c>
      <c r="M45" s="14">
        <v>1.0</v>
      </c>
      <c r="N45" s="14">
        <v>124.0</v>
      </c>
      <c r="O45" s="20">
        <v>1.3712759999999997</v>
      </c>
      <c r="P45" s="20">
        <v>6.72299116542704</v>
      </c>
      <c r="Q45" s="15"/>
      <c r="R45" s="20">
        <v>1.3712759999999997</v>
      </c>
      <c r="U45" s="14">
        <f t="array" ref="U45">XLOOKUP(E45, 'Conference Match'!$A$2:$A$25, 'Conference Match'!$C$2:$C$25)</f>
        <v>0.95</v>
      </c>
      <c r="V45" s="20">
        <f t="shared" si="1"/>
        <v>0.19540683</v>
      </c>
      <c r="W45" s="20">
        <f t="shared" si="2"/>
        <v>0.7586039474</v>
      </c>
      <c r="Y45" s="20">
        <f>IFERROR(__xludf.DUMMYFUNCTION("iferror(PERCENTRANK.INC(FILTER($R$2:$R$425, $T$2:$T$425&lt;3.75), $R45), 0.01)"),0.241)</f>
        <v>0.241</v>
      </c>
      <c r="Z45" s="20">
        <f>IFERROR(__xludf.DUMMYFUNCTION("iferror(PERCENTRANK.INC(FILTER($R$2:$R$425, $T$2:$T$425&lt;4.5), $R45), 0.01)"),0.236)</f>
        <v>0.236</v>
      </c>
      <c r="AA45" s="20">
        <f>IFERROR(__xludf.DUMMYFUNCTION("iferror(PERCENTRANK.INC(FILTER($R$2:$R$425, $T$2:$T$425&gt;4.1), $R45), 0.01)"),0.01)</f>
        <v>0.01</v>
      </c>
    </row>
    <row r="46" ht="14.25" customHeight="1">
      <c r="A46" s="14" t="s">
        <v>1657</v>
      </c>
      <c r="B46" s="14" t="s">
        <v>349</v>
      </c>
      <c r="C46" s="14">
        <v>7.0</v>
      </c>
      <c r="D46" s="14" t="s">
        <v>1613</v>
      </c>
      <c r="E46" s="14" t="s">
        <v>164</v>
      </c>
      <c r="F46" s="14">
        <v>0.0</v>
      </c>
      <c r="G46" s="14">
        <v>10.0</v>
      </c>
      <c r="H46" s="14">
        <v>6.0</v>
      </c>
      <c r="I46" s="42">
        <v>0.6</v>
      </c>
      <c r="J46" s="14">
        <v>0.0</v>
      </c>
      <c r="K46" s="14">
        <v>1.0</v>
      </c>
      <c r="L46" s="14">
        <v>0.0</v>
      </c>
      <c r="M46" s="14">
        <v>0.0</v>
      </c>
      <c r="N46" s="14">
        <v>148.0</v>
      </c>
      <c r="O46" s="20">
        <v>1.2928</v>
      </c>
      <c r="P46" s="20">
        <v>3.8443084426589116</v>
      </c>
      <c r="Q46" s="15"/>
      <c r="R46" s="20">
        <v>1.2928</v>
      </c>
      <c r="U46" s="14">
        <f t="array" ref="U46">XLOOKUP(E46, 'Conference Match'!$A$2:$A$25, 'Conference Match'!$C$2:$C$25)</f>
        <v>1</v>
      </c>
      <c r="V46" s="20">
        <f t="shared" si="1"/>
        <v>0.19392</v>
      </c>
      <c r="W46" s="20">
        <f t="shared" si="2"/>
        <v>0.7143295832</v>
      </c>
      <c r="Y46" s="20">
        <f>IFERROR(__xludf.DUMMYFUNCTION("iferror(PERCENTRANK.INC(FILTER($R$2:$R$425, $T$2:$T$425&lt;3.75), $R46), 0.01)"),0.204)</f>
        <v>0.204</v>
      </c>
      <c r="Z46" s="20">
        <f>IFERROR(__xludf.DUMMYFUNCTION("iferror(PERCENTRANK.INC(FILTER($R$2:$R$425, $T$2:$T$425&lt;4.5), $R46), 0.01)"),0.2)</f>
        <v>0.2</v>
      </c>
      <c r="AA46" s="20">
        <f>IFERROR(__xludf.DUMMYFUNCTION("iferror(PERCENTRANK.INC(FILTER($R$2:$R$425, $T$2:$T$425&gt;4.1), $R46), 0.01)"),0.01)</f>
        <v>0.01</v>
      </c>
    </row>
    <row r="47" ht="14.25" customHeight="1">
      <c r="A47" s="14" t="s">
        <v>1658</v>
      </c>
      <c r="B47" s="14" t="s">
        <v>265</v>
      </c>
      <c r="C47" s="14">
        <v>10.0</v>
      </c>
      <c r="D47" s="14" t="s">
        <v>1613</v>
      </c>
      <c r="E47" s="14" t="s">
        <v>108</v>
      </c>
      <c r="F47" s="14">
        <v>2.0</v>
      </c>
      <c r="G47" s="14">
        <v>4.0</v>
      </c>
      <c r="H47" s="14">
        <v>1.0</v>
      </c>
      <c r="I47" s="42">
        <v>0.25</v>
      </c>
      <c r="J47" s="14">
        <v>0.0</v>
      </c>
      <c r="K47" s="14">
        <v>0.0</v>
      </c>
      <c r="L47" s="14">
        <v>0.0</v>
      </c>
      <c r="M47" s="14">
        <v>1.0</v>
      </c>
      <c r="N47" s="14">
        <v>133.0</v>
      </c>
      <c r="O47" s="20">
        <v>1.277</v>
      </c>
      <c r="P47" s="20">
        <v>3.264727589662624</v>
      </c>
      <c r="Q47" s="15"/>
      <c r="R47" s="20">
        <v>1.277</v>
      </c>
      <c r="U47" s="14">
        <f t="array" ref="U47">XLOOKUP(E47, 'Conference Match'!$A$2:$A$25, 'Conference Match'!$C$2:$C$25)</f>
        <v>0.95</v>
      </c>
      <c r="V47" s="20">
        <f t="shared" si="1"/>
        <v>0.1819725</v>
      </c>
      <c r="W47" s="20">
        <f t="shared" si="2"/>
        <v>0.3585606209</v>
      </c>
      <c r="Y47" s="20">
        <f>IFERROR(__xludf.DUMMYFUNCTION("iferror(PERCENTRANK.INC(FILTER($R$2:$R$425, $T$2:$T$425&lt;3.75), $R47), 0.01)"),0.185)</f>
        <v>0.185</v>
      </c>
      <c r="Z47" s="20">
        <f>IFERROR(__xludf.DUMMYFUNCTION("iferror(PERCENTRANK.INC(FILTER($R$2:$R$425, $T$2:$T$425&lt;4.5), $R47), 0.01)"),0.182)</f>
        <v>0.182</v>
      </c>
      <c r="AA47" s="20">
        <f>IFERROR(__xludf.DUMMYFUNCTION("iferror(PERCENTRANK.INC(FILTER($R$2:$R$425, $T$2:$T$425&gt;4.1), $R47), 0.01)"),0.01)</f>
        <v>0.01</v>
      </c>
    </row>
    <row r="48" ht="14.25" customHeight="1">
      <c r="A48" s="14" t="s">
        <v>1659</v>
      </c>
      <c r="B48" s="14" t="s">
        <v>930</v>
      </c>
      <c r="C48" s="14">
        <v>0.0</v>
      </c>
      <c r="D48" s="14" t="s">
        <v>1613</v>
      </c>
      <c r="E48" s="14" t="s">
        <v>164</v>
      </c>
      <c r="F48" s="14">
        <v>0.0</v>
      </c>
      <c r="G48" s="14">
        <v>4.0</v>
      </c>
      <c r="H48" s="14">
        <v>2.0</v>
      </c>
      <c r="I48" s="42">
        <v>0.5</v>
      </c>
      <c r="J48" s="14">
        <v>0.0</v>
      </c>
      <c r="K48" s="14">
        <v>0.0</v>
      </c>
      <c r="L48" s="14">
        <v>0.0</v>
      </c>
      <c r="M48" s="14">
        <v>0.0</v>
      </c>
      <c r="N48" s="14">
        <v>91.0</v>
      </c>
      <c r="O48" s="20">
        <v>1.194</v>
      </c>
      <c r="P48" s="20">
        <v>0.2200939948087165</v>
      </c>
      <c r="Q48" s="15"/>
      <c r="R48" s="20">
        <v>1.194</v>
      </c>
      <c r="U48" s="14">
        <f t="array" ref="U48">XLOOKUP(E48, 'Conference Match'!$A$2:$A$25, 'Conference Match'!$C$2:$C$25)</f>
        <v>1</v>
      </c>
      <c r="V48" s="20">
        <f t="shared" si="1"/>
        <v>0.1791</v>
      </c>
      <c r="W48" s="20">
        <f t="shared" si="2"/>
        <v>0.2730242037</v>
      </c>
      <c r="Y48" s="20">
        <f>IFERROR(__xludf.DUMMYFUNCTION("iferror(PERCENTRANK.INC(FILTER($R$2:$R$425, $T$2:$T$425&lt;3.75), $R48), 0.01)"),0.148)</f>
        <v>0.148</v>
      </c>
      <c r="Z48" s="20">
        <f>IFERROR(__xludf.DUMMYFUNCTION("iferror(PERCENTRANK.INC(FILTER($R$2:$R$425, $T$2:$T$425&lt;4.5), $R48), 0.01)"),0.145)</f>
        <v>0.145</v>
      </c>
      <c r="AA48" s="20">
        <f>IFERROR(__xludf.DUMMYFUNCTION("iferror(PERCENTRANK.INC(FILTER($R$2:$R$425, $T$2:$T$425&gt;4.1), $R48), 0.01)"),0.01)</f>
        <v>0.01</v>
      </c>
    </row>
    <row r="49" ht="14.25" customHeight="1">
      <c r="A49" s="14" t="s">
        <v>1660</v>
      </c>
      <c r="B49" s="14" t="s">
        <v>311</v>
      </c>
      <c r="C49" s="14">
        <v>7.0</v>
      </c>
      <c r="D49" s="14" t="s">
        <v>1613</v>
      </c>
      <c r="E49" s="14" t="s">
        <v>164</v>
      </c>
      <c r="F49" s="14">
        <v>3.0</v>
      </c>
      <c r="G49" s="14">
        <v>5.0</v>
      </c>
      <c r="H49" s="14">
        <v>3.0</v>
      </c>
      <c r="I49" s="42">
        <v>0.6</v>
      </c>
      <c r="J49" s="14">
        <v>0.0</v>
      </c>
      <c r="K49" s="14">
        <v>0.0</v>
      </c>
      <c r="L49" s="14">
        <v>0.0</v>
      </c>
      <c r="M49" s="14">
        <v>0.0</v>
      </c>
      <c r="N49" s="14">
        <v>73.0</v>
      </c>
      <c r="O49" s="20">
        <v>1.1928</v>
      </c>
      <c r="P49" s="20">
        <v>0.1760751958469781</v>
      </c>
      <c r="Q49" s="15"/>
      <c r="R49" s="20">
        <v>1.1928</v>
      </c>
      <c r="U49" s="14">
        <f t="array" ref="U49">XLOOKUP(E49, 'Conference Match'!$A$2:$A$25, 'Conference Match'!$C$2:$C$25)</f>
        <v>1</v>
      </c>
      <c r="V49" s="20">
        <f t="shared" si="1"/>
        <v>0.17892</v>
      </c>
      <c r="W49" s="20">
        <f t="shared" si="2"/>
        <v>0.2676642193</v>
      </c>
      <c r="Y49" s="20">
        <f>IFERROR(__xludf.DUMMYFUNCTION("iferror(PERCENTRANK.INC(FILTER($R$2:$R$425, $T$2:$T$425&lt;3.75), $R49), 0.01)"),0.111)</f>
        <v>0.111</v>
      </c>
      <c r="Z49" s="20">
        <f>IFERROR(__xludf.DUMMYFUNCTION("iferror(PERCENTRANK.INC(FILTER($R$2:$R$425, $T$2:$T$425&lt;4.5), $R49), 0.01)"),0.109)</f>
        <v>0.109</v>
      </c>
      <c r="AA49" s="20">
        <f>IFERROR(__xludf.DUMMYFUNCTION("iferror(PERCENTRANK.INC(FILTER($R$2:$R$425, $T$2:$T$425&gt;4.1), $R49), 0.01)"),0.01)</f>
        <v>0.01</v>
      </c>
    </row>
    <row r="50" ht="14.25" customHeight="1">
      <c r="A50" s="14" t="s">
        <v>1661</v>
      </c>
      <c r="B50" s="14" t="s">
        <v>351</v>
      </c>
      <c r="C50" s="14">
        <v>27.0</v>
      </c>
      <c r="D50" s="14" t="s">
        <v>1613</v>
      </c>
      <c r="E50" s="14" t="s">
        <v>130</v>
      </c>
      <c r="F50" s="14">
        <v>1.0</v>
      </c>
      <c r="G50" s="14">
        <v>8.0</v>
      </c>
      <c r="H50" s="14">
        <v>6.0</v>
      </c>
      <c r="I50" s="42">
        <v>0.75</v>
      </c>
      <c r="J50" s="14">
        <v>0.0</v>
      </c>
      <c r="K50" s="14">
        <v>0.0</v>
      </c>
      <c r="L50" s="14">
        <v>0.0</v>
      </c>
      <c r="M50" s="14">
        <v>0.0</v>
      </c>
      <c r="N50" s="14">
        <v>77.0</v>
      </c>
      <c r="O50" s="20">
        <v>1.1909999999999998</v>
      </c>
      <c r="P50" s="20">
        <v>0.11004699740435418</v>
      </c>
      <c r="Q50" s="15"/>
      <c r="R50" s="20">
        <v>1.1909999999999998</v>
      </c>
      <c r="U50" s="14">
        <f t="array" ref="U50">XLOOKUP(E50, 'Conference Match'!$A$2:$A$25, 'Conference Match'!$C$2:$C$25)</f>
        <v>1</v>
      </c>
      <c r="V50" s="20">
        <f t="shared" si="1"/>
        <v>0.17865</v>
      </c>
      <c r="W50" s="20">
        <f t="shared" si="2"/>
        <v>0.2596242428</v>
      </c>
      <c r="Y50" s="20">
        <f>IFERROR(__xludf.DUMMYFUNCTION("iferror(PERCENTRANK.INC(FILTER($R$2:$R$425, $T$2:$T$425&lt;3.75), $R50), 0.01)"),0.056)</f>
        <v>0.056</v>
      </c>
      <c r="Z50" s="20">
        <f>IFERROR(__xludf.DUMMYFUNCTION("iferror(PERCENTRANK.INC(FILTER($R$2:$R$425, $T$2:$T$425&lt;4.5), $R50), 0.01)"),0.055)</f>
        <v>0.055</v>
      </c>
      <c r="AA50" s="20">
        <f>IFERROR(__xludf.DUMMYFUNCTION("iferror(PERCENTRANK.INC(FILTER($R$2:$R$425, $T$2:$T$425&gt;4.1), $R50), 0.01)"),0.01)</f>
        <v>0.01</v>
      </c>
    </row>
    <row r="51" ht="14.25" customHeight="1">
      <c r="A51" s="14" t="s">
        <v>1662</v>
      </c>
      <c r="B51" s="14" t="s">
        <v>307</v>
      </c>
      <c r="C51" s="14">
        <v>21.0</v>
      </c>
      <c r="D51" s="14" t="s">
        <v>1613</v>
      </c>
      <c r="E51" s="14" t="s">
        <v>164</v>
      </c>
      <c r="F51" s="14">
        <v>2.0</v>
      </c>
      <c r="G51" s="14">
        <v>24.0</v>
      </c>
      <c r="H51" s="14">
        <v>18.0</v>
      </c>
      <c r="I51" s="42">
        <v>0.75</v>
      </c>
      <c r="J51" s="14">
        <v>0.0</v>
      </c>
      <c r="K51" s="14">
        <v>0.0</v>
      </c>
      <c r="L51" s="14">
        <v>0.0</v>
      </c>
      <c r="M51" s="14">
        <v>0.0</v>
      </c>
      <c r="N51" s="14">
        <v>216.0</v>
      </c>
      <c r="O51" s="20">
        <v>1.1909999999999998</v>
      </c>
      <c r="P51" s="20">
        <v>0.11004699740435418</v>
      </c>
      <c r="Q51" s="15"/>
      <c r="R51" s="20">
        <v>1.1909999999999998</v>
      </c>
      <c r="U51" s="14">
        <f t="array" ref="U51">XLOOKUP(E51, 'Conference Match'!$A$2:$A$25, 'Conference Match'!$C$2:$C$25)</f>
        <v>1</v>
      </c>
      <c r="V51" s="20">
        <f t="shared" si="1"/>
        <v>0.17865</v>
      </c>
      <c r="W51" s="20">
        <f t="shared" si="2"/>
        <v>0.2596242428</v>
      </c>
      <c r="Y51" s="20">
        <f>IFERROR(__xludf.DUMMYFUNCTION("iferror(PERCENTRANK.INC(FILTER($R$2:$R$425, $T$2:$T$425&lt;3.75), $R51), 0.01)"),0.056)</f>
        <v>0.056</v>
      </c>
      <c r="Z51" s="20">
        <f>IFERROR(__xludf.DUMMYFUNCTION("iferror(PERCENTRANK.INC(FILTER($R$2:$R$425, $T$2:$T$425&lt;4.5), $R51), 0.01)"),0.055)</f>
        <v>0.055</v>
      </c>
      <c r="AA51" s="20">
        <f>IFERROR(__xludf.DUMMYFUNCTION("iferror(PERCENTRANK.INC(FILTER($R$2:$R$425, $T$2:$T$425&gt;4.1), $R51), 0.01)"),0.01)</f>
        <v>0.01</v>
      </c>
    </row>
    <row r="52" ht="14.25" customHeight="1">
      <c r="A52" s="14" t="s">
        <v>1663</v>
      </c>
      <c r="B52" s="14" t="s">
        <v>930</v>
      </c>
      <c r="C52" s="14">
        <v>2.0</v>
      </c>
      <c r="D52" s="14" t="s">
        <v>1613</v>
      </c>
      <c r="E52" s="14" t="s">
        <v>164</v>
      </c>
      <c r="F52" s="14">
        <v>2.0</v>
      </c>
      <c r="G52" s="14">
        <v>6.0</v>
      </c>
      <c r="H52" s="14">
        <v>5.0</v>
      </c>
      <c r="I52" s="42">
        <v>0.833</v>
      </c>
      <c r="J52" s="14">
        <v>0.0</v>
      </c>
      <c r="K52" s="14">
        <v>0.0</v>
      </c>
      <c r="L52" s="14">
        <v>0.0</v>
      </c>
      <c r="M52" s="14">
        <v>0.0</v>
      </c>
      <c r="N52" s="14">
        <v>81.0</v>
      </c>
      <c r="O52" s="20">
        <v>1.190004</v>
      </c>
      <c r="P52" s="20">
        <v>0.07351139426611553</v>
      </c>
      <c r="Q52" s="15"/>
      <c r="R52" s="20">
        <v>1.190004</v>
      </c>
      <c r="U52" s="14">
        <f t="array" ref="U52">XLOOKUP(E52, 'Conference Match'!$A$2:$A$25, 'Conference Match'!$C$2:$C$25)</f>
        <v>1</v>
      </c>
      <c r="V52" s="20">
        <f t="shared" si="1"/>
        <v>0.1785006</v>
      </c>
      <c r="W52" s="20">
        <f t="shared" si="2"/>
        <v>0.2551754557</v>
      </c>
      <c r="Y52" s="20">
        <f>IFERROR(__xludf.DUMMYFUNCTION("iferror(PERCENTRANK.INC(FILTER($R$2:$R$425, $T$2:$T$425&lt;3.75), $R52), 0.01)"),0.019)</f>
        <v>0.019</v>
      </c>
      <c r="Z52" s="20">
        <f>IFERROR(__xludf.DUMMYFUNCTION("iferror(PERCENTRANK.INC(FILTER($R$2:$R$425, $T$2:$T$425&lt;4.5), $R52), 0.01)"),0.018)</f>
        <v>0.018</v>
      </c>
      <c r="AA52" s="20">
        <f>IFERROR(__xludf.DUMMYFUNCTION("iferror(PERCENTRANK.INC(FILTER($R$2:$R$425, $T$2:$T$425&gt;4.1), $R52), 0.01)"),0.01)</f>
        <v>0.01</v>
      </c>
    </row>
    <row r="53" ht="14.25" customHeight="1">
      <c r="A53" s="14" t="s">
        <v>1664</v>
      </c>
      <c r="B53" s="14" t="s">
        <v>239</v>
      </c>
      <c r="C53" s="14">
        <v>18.0</v>
      </c>
      <c r="D53" s="14" t="s">
        <v>1613</v>
      </c>
      <c r="E53" s="14" t="s">
        <v>164</v>
      </c>
      <c r="F53" s="14">
        <v>0.0</v>
      </c>
      <c r="G53" s="14">
        <v>6.0</v>
      </c>
      <c r="H53" s="14">
        <v>5.0</v>
      </c>
      <c r="I53" s="42">
        <v>0.833</v>
      </c>
      <c r="J53" s="14">
        <v>0.0</v>
      </c>
      <c r="K53" s="14">
        <v>0.0</v>
      </c>
      <c r="L53" s="14">
        <v>0.0</v>
      </c>
      <c r="M53" s="14">
        <v>0.0</v>
      </c>
      <c r="N53" s="14">
        <v>109.0</v>
      </c>
      <c r="O53" s="20">
        <v>1.190004</v>
      </c>
      <c r="P53" s="20">
        <v>0.07351139426611553</v>
      </c>
      <c r="Q53" s="15"/>
      <c r="R53" s="20">
        <v>1.190004</v>
      </c>
      <c r="U53" s="14">
        <f t="array" ref="U53">XLOOKUP(E53, 'Conference Match'!$A$2:$A$25, 'Conference Match'!$C$2:$C$25)</f>
        <v>1</v>
      </c>
      <c r="V53" s="20">
        <f t="shared" si="1"/>
        <v>0.1785006</v>
      </c>
      <c r="W53" s="20">
        <f t="shared" si="2"/>
        <v>0.2551754557</v>
      </c>
      <c r="Y53" s="20">
        <f>IFERROR(__xludf.DUMMYFUNCTION("iferror(PERCENTRANK.INC(FILTER($R$2:$R$425, $T$2:$T$425&lt;3.75), $R53), 0.01)"),0.019)</f>
        <v>0.019</v>
      </c>
      <c r="Z53" s="20">
        <f>IFERROR(__xludf.DUMMYFUNCTION("iferror(PERCENTRANK.INC(FILTER($R$2:$R$425, $T$2:$T$425&lt;4.5), $R53), 0.01)"),0.018)</f>
        <v>0.018</v>
      </c>
      <c r="AA53" s="20">
        <f>IFERROR(__xludf.DUMMYFUNCTION("iferror(PERCENTRANK.INC(FILTER($R$2:$R$425, $T$2:$T$425&gt;4.1), $R53), 0.01)"),0.01)</f>
        <v>0.01</v>
      </c>
    </row>
    <row r="54" ht="14.25" customHeight="1">
      <c r="A54" s="14" t="s">
        <v>1665</v>
      </c>
      <c r="B54" s="14" t="s">
        <v>161</v>
      </c>
      <c r="C54" s="14">
        <v>26.0</v>
      </c>
      <c r="D54" s="14" t="s">
        <v>1613</v>
      </c>
      <c r="E54" s="14" t="s">
        <v>130</v>
      </c>
      <c r="F54" s="14">
        <v>2.0</v>
      </c>
      <c r="G54" s="14">
        <v>5.0</v>
      </c>
      <c r="H54" s="14">
        <v>5.0</v>
      </c>
      <c r="I54" s="43">
        <v>1.0</v>
      </c>
      <c r="J54" s="14">
        <v>0.0</v>
      </c>
      <c r="K54" s="14">
        <v>0.0</v>
      </c>
      <c r="L54" s="14">
        <v>0.0</v>
      </c>
      <c r="M54" s="14">
        <v>0.0</v>
      </c>
      <c r="N54" s="14">
        <v>77.0</v>
      </c>
      <c r="O54" s="20">
        <v>1.188</v>
      </c>
      <c r="P54" s="20">
        <v>0.0</v>
      </c>
      <c r="Q54" s="15"/>
      <c r="R54" s="20">
        <v>1.188</v>
      </c>
      <c r="U54" s="14">
        <f t="array" ref="U54">XLOOKUP(E54, 'Conference Match'!$A$2:$A$25, 'Conference Match'!$C$2:$C$25)</f>
        <v>1</v>
      </c>
      <c r="V54" s="20">
        <f t="shared" si="1"/>
        <v>0.1782</v>
      </c>
      <c r="W54" s="20">
        <f t="shared" si="2"/>
        <v>0.2462242818</v>
      </c>
      <c r="Y54" s="20">
        <f>IFERROR(__xludf.DUMMYFUNCTION("iferror(PERCENTRANK.INC(FILTER($R$2:$R$425, $T$2:$T$425&lt;3.75), $R54), 0.01)"),0.0)</f>
        <v>0</v>
      </c>
      <c r="Z54" s="20">
        <f>IFERROR(__xludf.DUMMYFUNCTION("iferror(PERCENTRANK.INC(FILTER($R$2:$R$425, $T$2:$T$425&lt;4.5), $R54), 0.01)"),0.0)</f>
        <v>0</v>
      </c>
      <c r="AA54" s="20">
        <f>IFERROR(__xludf.DUMMYFUNCTION("iferror(PERCENTRANK.INC(FILTER($R$2:$R$425, $T$2:$T$425&gt;4.1), $R54), 0.01)"),0.01)</f>
        <v>0.01</v>
      </c>
    </row>
    <row r="55" ht="14.25" customHeight="1">
      <c r="A55" s="14" t="s">
        <v>1666</v>
      </c>
      <c r="B55" s="14" t="s">
        <v>529</v>
      </c>
      <c r="C55" s="14">
        <v>25.0</v>
      </c>
      <c r="D55" s="14" t="s">
        <v>1613</v>
      </c>
      <c r="E55" s="14" t="s">
        <v>125</v>
      </c>
      <c r="F55" s="14">
        <v>0.0</v>
      </c>
      <c r="G55" s="14">
        <v>6.0</v>
      </c>
      <c r="H55" s="14">
        <v>2.0</v>
      </c>
      <c r="I55" s="42">
        <v>0.333</v>
      </c>
      <c r="J55" s="14">
        <v>0.0</v>
      </c>
      <c r="K55" s="14">
        <v>0.0</v>
      </c>
      <c r="L55" s="14">
        <v>0.0</v>
      </c>
      <c r="M55" s="14">
        <v>0.0</v>
      </c>
      <c r="N55" s="14">
        <v>62.0</v>
      </c>
      <c r="O55" s="20">
        <v>1.1960039999999998</v>
      </c>
      <c r="P55" s="20">
        <v>0.2936053890748239</v>
      </c>
      <c r="Q55" s="15"/>
      <c r="R55" s="20">
        <v>1.1960039999999998</v>
      </c>
      <c r="U55" s="14">
        <f t="array" ref="U55">XLOOKUP(E55, 'Conference Match'!$A$2:$A$25, 'Conference Match'!$C$2:$C$25)</f>
        <v>0.95</v>
      </c>
      <c r="V55" s="20">
        <f t="shared" si="1"/>
        <v>0.17043057</v>
      </c>
      <c r="W55" s="20">
        <f t="shared" si="2"/>
        <v>0.01486859663</v>
      </c>
      <c r="Y55" s="20">
        <f>IFERROR(__xludf.DUMMYFUNCTION("iferror(PERCENTRANK.INC(FILTER($R$2:$R$425, $T$2:$T$425&lt;3.75), $R55), 0.01)"),0.167)</f>
        <v>0.167</v>
      </c>
      <c r="Z55" s="20">
        <f>IFERROR(__xludf.DUMMYFUNCTION("iferror(PERCENTRANK.INC(FILTER($R$2:$R$425, $T$2:$T$425&lt;4.5), $R55), 0.01)"),0.164)</f>
        <v>0.164</v>
      </c>
      <c r="AA55" s="20">
        <f>IFERROR(__xludf.DUMMYFUNCTION("iferror(PERCENTRANK.INC(FILTER($R$2:$R$425, $T$2:$T$425&gt;4.1), $R55), 0.01)"),0.01)</f>
        <v>0.01</v>
      </c>
    </row>
    <row r="56" ht="14.25" customHeight="1">
      <c r="A56" s="14" t="s">
        <v>1667</v>
      </c>
      <c r="B56" s="14" t="s">
        <v>577</v>
      </c>
      <c r="C56" s="14">
        <v>7.0</v>
      </c>
      <c r="D56" s="14" t="s">
        <v>1613</v>
      </c>
      <c r="E56" s="14" t="s">
        <v>120</v>
      </c>
      <c r="F56" s="14">
        <v>2.0</v>
      </c>
      <c r="G56" s="14">
        <v>9.0</v>
      </c>
      <c r="H56" s="14">
        <v>5.0</v>
      </c>
      <c r="I56" s="42">
        <v>0.556</v>
      </c>
      <c r="J56" s="14">
        <v>0.0</v>
      </c>
      <c r="K56" s="14">
        <v>0.0</v>
      </c>
      <c r="L56" s="14">
        <v>0.0</v>
      </c>
      <c r="M56" s="14">
        <v>0.0</v>
      </c>
      <c r="N56" s="14">
        <v>114.0</v>
      </c>
      <c r="O56" s="20">
        <v>1.193328</v>
      </c>
      <c r="P56" s="20">
        <v>0.19544346739014007</v>
      </c>
      <c r="Q56" s="15"/>
      <c r="R56" s="20">
        <v>1.193328</v>
      </c>
      <c r="U56" s="14">
        <f t="array" ref="U56">XLOOKUP(E56, 'Conference Match'!$A$2:$A$25, 'Conference Match'!$C$2:$C$25)</f>
        <v>0.95</v>
      </c>
      <c r="V56" s="20">
        <f t="shared" si="1"/>
        <v>0.17004924</v>
      </c>
      <c r="W56" s="20">
        <f t="shared" si="2"/>
        <v>0.003513469752</v>
      </c>
      <c r="Y56" s="20">
        <f>IFERROR(__xludf.DUMMYFUNCTION("iferror(PERCENTRANK.INC(FILTER($R$2:$R$425, $T$2:$T$425&lt;3.75), $R56), 0.01)"),0.13)</f>
        <v>0.13</v>
      </c>
      <c r="Z56" s="20">
        <f>IFERROR(__xludf.DUMMYFUNCTION("iferror(PERCENTRANK.INC(FILTER($R$2:$R$425, $T$2:$T$425&lt;4.5), $R56), 0.01)"),0.127)</f>
        <v>0.127</v>
      </c>
      <c r="AA56" s="20">
        <f>IFERROR(__xludf.DUMMYFUNCTION("iferror(PERCENTRANK.INC(FILTER($R$2:$R$425, $T$2:$T$425&gt;4.1), $R56), 0.01)"),0.01)</f>
        <v>0.01</v>
      </c>
    </row>
    <row r="57" ht="14.25" customHeight="1">
      <c r="A57" s="14" t="s">
        <v>1668</v>
      </c>
      <c r="B57" s="14" t="s">
        <v>124</v>
      </c>
      <c r="C57" s="14">
        <v>2.0</v>
      </c>
      <c r="D57" s="14" t="s">
        <v>1613</v>
      </c>
      <c r="E57" s="14" t="s">
        <v>125</v>
      </c>
      <c r="F57" s="14">
        <v>12.0</v>
      </c>
      <c r="G57" s="14">
        <v>8.0</v>
      </c>
      <c r="H57" s="14">
        <v>5.0</v>
      </c>
      <c r="I57" s="42">
        <v>0.625</v>
      </c>
      <c r="J57" s="14">
        <v>0.0</v>
      </c>
      <c r="K57" s="14">
        <v>0.0</v>
      </c>
      <c r="L57" s="14">
        <v>0.0</v>
      </c>
      <c r="M57" s="14">
        <v>0.0</v>
      </c>
      <c r="N57" s="14">
        <v>97.0</v>
      </c>
      <c r="O57" s="20">
        <v>1.1925</v>
      </c>
      <c r="P57" s="20">
        <v>0.16507049610653535</v>
      </c>
      <c r="Q57" s="15"/>
      <c r="R57" s="20">
        <v>1.1925</v>
      </c>
      <c r="U57" s="14">
        <f t="array" ref="U57">XLOOKUP(E57, 'Conference Match'!$A$2:$A$25, 'Conference Match'!$C$2:$C$25)</f>
        <v>0.95</v>
      </c>
      <c r="V57" s="20">
        <f t="shared" si="1"/>
        <v>0.16993125</v>
      </c>
      <c r="W57" s="20">
        <f t="shared" si="2"/>
        <v>0</v>
      </c>
      <c r="Y57" s="20">
        <f>IFERROR(__xludf.DUMMYFUNCTION("iferror(PERCENTRANK.INC(FILTER($R$2:$R$425, $T$2:$T$425&lt;3.75), $R57), 0.01)"),0.093)</f>
        <v>0.093</v>
      </c>
      <c r="Z57" s="20">
        <f>IFERROR(__xludf.DUMMYFUNCTION("iferror(PERCENTRANK.INC(FILTER($R$2:$R$425, $T$2:$T$425&lt;4.5), $R57), 0.01)"),0.091)</f>
        <v>0.091</v>
      </c>
      <c r="AA57" s="20">
        <f>IFERROR(__xludf.DUMMYFUNCTION("iferror(PERCENTRANK.INC(FILTER($R$2:$R$425, $T$2:$T$425&gt;4.1), $R57), 0.01)"),0.01)</f>
        <v>0.01</v>
      </c>
    </row>
    <row r="58" ht="14.25" customHeight="1">
      <c r="A58" s="17" t="s">
        <v>1669</v>
      </c>
      <c r="B58" s="17" t="s">
        <v>181</v>
      </c>
      <c r="C58" s="18">
        <v>5.0</v>
      </c>
      <c r="D58" s="17" t="s">
        <v>1613</v>
      </c>
      <c r="E58" s="17" t="s">
        <v>102</v>
      </c>
      <c r="F58" s="18">
        <v>2.0</v>
      </c>
      <c r="G58" s="18">
        <v>52.0</v>
      </c>
      <c r="H58" s="18">
        <v>35.0</v>
      </c>
      <c r="I58" s="19">
        <v>0.673</v>
      </c>
      <c r="J58" s="18">
        <v>1.0</v>
      </c>
      <c r="K58" s="18">
        <v>2.0</v>
      </c>
      <c r="L58" s="18">
        <v>8.0</v>
      </c>
      <c r="M58" s="18">
        <v>8.0</v>
      </c>
      <c r="N58" s="18">
        <v>283.0</v>
      </c>
      <c r="O58" s="22">
        <v>3.03</v>
      </c>
      <c r="P58" s="22">
        <v>59.73</v>
      </c>
      <c r="Q58" s="15"/>
      <c r="R58" s="36">
        <v>3.03</v>
      </c>
      <c r="U58" s="14">
        <f t="array" ref="U58">XLOOKUP(E58, 'Conference Match'!$A$2:$A$25, 'Conference Match'!$C$2:$C$25)</f>
        <v>1</v>
      </c>
      <c r="V58" s="20">
        <f t="shared" si="1"/>
        <v>0.4545</v>
      </c>
      <c r="W58" s="20">
        <f t="shared" si="2"/>
        <v>8.473800285</v>
      </c>
      <c r="Y58" s="20">
        <f>IFERROR(__xludf.DUMMYFUNCTION("iferror(PERCENTRANK.INC(FILTER($R$2:$R$425, $T$2:$T$425&lt;3.75), $R58), 0.01)"),1.0)</f>
        <v>1</v>
      </c>
      <c r="Z58" s="20">
        <f>IFERROR(__xludf.DUMMYFUNCTION("iferror(PERCENTRANK.INC(FILTER($R$2:$R$425, $T$2:$T$425&lt;4.5), $R58), 0.01)"),1.0)</f>
        <v>1</v>
      </c>
      <c r="AA58" s="20">
        <f>IFERROR(__xludf.DUMMYFUNCTION("iferror(PERCENTRANK.INC(FILTER($R$2:$R$425, $T$2:$T$425&gt;4.1), $R58), 0.01)"),0.01)</f>
        <v>0.01</v>
      </c>
    </row>
    <row r="59" ht="14.25" customHeight="1">
      <c r="A59" s="17" t="s">
        <v>1670</v>
      </c>
      <c r="B59" s="17" t="s">
        <v>1671</v>
      </c>
      <c r="C59" s="18">
        <v>3.0</v>
      </c>
      <c r="D59" s="17" t="s">
        <v>1613</v>
      </c>
      <c r="E59" s="17" t="s">
        <v>130</v>
      </c>
      <c r="F59" s="18">
        <v>23.0</v>
      </c>
      <c r="G59" s="18">
        <v>33.0</v>
      </c>
      <c r="H59" s="18">
        <v>20.0</v>
      </c>
      <c r="I59" s="19">
        <v>0.606</v>
      </c>
      <c r="J59" s="18">
        <v>2.0</v>
      </c>
      <c r="K59" s="18">
        <v>0.0</v>
      </c>
      <c r="L59" s="18">
        <v>3.0</v>
      </c>
      <c r="M59" s="18">
        <v>5.0</v>
      </c>
      <c r="N59" s="18">
        <v>240.0</v>
      </c>
      <c r="O59" s="22">
        <v>2.29</v>
      </c>
      <c r="P59" s="22">
        <v>35.79</v>
      </c>
      <c r="Q59" s="15"/>
      <c r="R59" s="36">
        <v>2.29</v>
      </c>
      <c r="U59" s="14">
        <f t="array" ref="U59">XLOOKUP(E59, 'Conference Match'!$A$2:$A$25, 'Conference Match'!$C$2:$C$25)</f>
        <v>1</v>
      </c>
      <c r="V59" s="20">
        <f t="shared" si="1"/>
        <v>0.3435</v>
      </c>
      <c r="W59" s="20">
        <f t="shared" si="2"/>
        <v>5.168476592</v>
      </c>
      <c r="Y59" s="20">
        <f>IFERROR(__xludf.DUMMYFUNCTION("iferror(PERCENTRANK.INC(FILTER($R$2:$R$425, $T$2:$T$425&lt;3.75), $R59), 0.01)"),0.907)</f>
        <v>0.907</v>
      </c>
      <c r="Z59" s="20">
        <f>IFERROR(__xludf.DUMMYFUNCTION("iferror(PERCENTRANK.INC(FILTER($R$2:$R$425, $T$2:$T$425&lt;4.5), $R59), 0.01)"),0.891)</f>
        <v>0.891</v>
      </c>
      <c r="AA59" s="20">
        <f>IFERROR(__xludf.DUMMYFUNCTION("iferror(PERCENTRANK.INC(FILTER($R$2:$R$425, $T$2:$T$425&gt;4.1), $R59), 0.01)"),0.551)</f>
        <v>0.551</v>
      </c>
    </row>
    <row r="60" ht="14.25" customHeight="1">
      <c r="A60" s="17" t="s">
        <v>1672</v>
      </c>
      <c r="B60" s="17" t="s">
        <v>655</v>
      </c>
      <c r="C60" s="18">
        <v>2.0</v>
      </c>
      <c r="D60" s="23" t="s">
        <v>1613</v>
      </c>
      <c r="E60" s="17" t="s">
        <v>188</v>
      </c>
      <c r="F60" s="18">
        <v>160.0</v>
      </c>
      <c r="G60" s="18">
        <v>37.0</v>
      </c>
      <c r="H60" s="18">
        <v>20.0</v>
      </c>
      <c r="I60" s="19">
        <v>0.54</v>
      </c>
      <c r="J60" s="18">
        <v>0.0</v>
      </c>
      <c r="K60" s="18">
        <v>0.0</v>
      </c>
      <c r="L60" s="18">
        <v>3.0</v>
      </c>
      <c r="M60" s="18">
        <v>6.0</v>
      </c>
      <c r="N60" s="18">
        <v>271.0</v>
      </c>
      <c r="O60" s="22">
        <v>1.97</v>
      </c>
      <c r="P60" s="22">
        <v>25.45</v>
      </c>
      <c r="Q60" s="15"/>
      <c r="R60" s="36">
        <v>1.97</v>
      </c>
      <c r="U60" s="14">
        <f t="array" ref="U60">XLOOKUP(E60, 'Conference Match'!$A$2:$A$25, 'Conference Match'!$C$2:$C$25)</f>
        <v>0.9</v>
      </c>
      <c r="V60" s="20">
        <f t="shared" si="1"/>
        <v>0.26595</v>
      </c>
      <c r="W60" s="20">
        <f t="shared" si="2"/>
        <v>2.859216661</v>
      </c>
      <c r="Y60" s="20">
        <f>IFERROR(__xludf.DUMMYFUNCTION("iferror(PERCENTRANK.INC(FILTER($R$2:$R$425, $T$2:$T$425&lt;3.75), $R60), 0.01)"),0.778)</f>
        <v>0.778</v>
      </c>
      <c r="Z60" s="20">
        <f>IFERROR(__xludf.DUMMYFUNCTION("iferror(PERCENTRANK.INC(FILTER($R$2:$R$425, $T$2:$T$425&lt;4.5), $R60), 0.01)"),0.764)</f>
        <v>0.764</v>
      </c>
      <c r="AA60" s="20">
        <f>IFERROR(__xludf.DUMMYFUNCTION("iferror(PERCENTRANK.INC(FILTER($R$2:$R$425, $T$2:$T$425&gt;4.1), $R60), 0.01)"),0.194)</f>
        <v>0.194</v>
      </c>
    </row>
    <row r="61" ht="14.25" customHeight="1">
      <c r="I61" s="42"/>
      <c r="O61" s="20"/>
      <c r="P61" s="20"/>
      <c r="Q61" s="15"/>
      <c r="R61" s="20"/>
      <c r="V61" s="20"/>
      <c r="W61" s="20"/>
      <c r="Y61" s="20">
        <f>IFERROR(__xludf.DUMMYFUNCTION("iferror(PERCENTRANK.INC(FILTER($R$2:$R$425, $T$2:$T$425&lt;3.75), $R61), 0.01)"),0.01)</f>
        <v>0.01</v>
      </c>
      <c r="Z61" s="20">
        <f>IFERROR(__xludf.DUMMYFUNCTION("iferror(PERCENTRANK.INC(FILTER($R$2:$R$425, $T$2:$T$425&lt;4.5), $R61), 0.01)"),0.01)</f>
        <v>0.01</v>
      </c>
      <c r="AA61" s="20">
        <f>IFERROR(__xludf.DUMMYFUNCTION("iferror(PERCENTRANK.INC(FILTER($R$2:$R$425, $T$2:$T$425&gt;4.1), $R61), 0.01)"),0.01)</f>
        <v>0.01</v>
      </c>
    </row>
    <row r="62" ht="14.25" customHeight="1">
      <c r="I62" s="42"/>
      <c r="O62" s="20"/>
      <c r="P62" s="20"/>
      <c r="Q62" s="15"/>
      <c r="R62" s="20"/>
      <c r="V62" s="20"/>
      <c r="W62" s="20"/>
      <c r="Y62" s="20">
        <f>IFERROR(__xludf.DUMMYFUNCTION("iferror(PERCENTRANK.INC(FILTER($R$2:$R$425, $T$2:$T$425&lt;3.75), $R62), 0.01)"),0.01)</f>
        <v>0.01</v>
      </c>
      <c r="Z62" s="20">
        <f>IFERROR(__xludf.DUMMYFUNCTION("iferror(PERCENTRANK.INC(FILTER($R$2:$R$425, $T$2:$T$425&lt;4.5), $R62), 0.01)"),0.01)</f>
        <v>0.01</v>
      </c>
      <c r="AA62" s="20">
        <f>IFERROR(__xludf.DUMMYFUNCTION("iferror(PERCENTRANK.INC(FILTER($R$2:$R$425, $T$2:$T$425&gt;4.1), $R62), 0.01)"),0.01)</f>
        <v>0.01</v>
      </c>
    </row>
    <row r="63" ht="14.25" customHeight="1">
      <c r="I63" s="43"/>
      <c r="O63" s="20"/>
      <c r="P63" s="20"/>
      <c r="Q63" s="15"/>
      <c r="R63" s="20"/>
      <c r="V63" s="20"/>
      <c r="W63" s="20"/>
      <c r="Y63" s="20">
        <f>IFERROR(__xludf.DUMMYFUNCTION("iferror(PERCENTRANK.INC(FILTER($R$2:$R$425, $T$2:$T$425&lt;3.75), $R63), 0.01)"),0.01)</f>
        <v>0.01</v>
      </c>
      <c r="Z63" s="20">
        <f>IFERROR(__xludf.DUMMYFUNCTION("iferror(PERCENTRANK.INC(FILTER($R$2:$R$425, $T$2:$T$425&lt;4.5), $R63), 0.01)"),0.01)</f>
        <v>0.01</v>
      </c>
      <c r="AA63" s="20">
        <f>IFERROR(__xludf.DUMMYFUNCTION("iferror(PERCENTRANK.INC(FILTER($R$2:$R$425, $T$2:$T$425&gt;4.1), $R63), 0.01)"),0.01)</f>
        <v>0.01</v>
      </c>
    </row>
    <row r="64" ht="14.25" customHeight="1">
      <c r="I64" s="42"/>
      <c r="O64" s="20"/>
      <c r="P64" s="20"/>
      <c r="Q64" s="15"/>
      <c r="R64" s="20"/>
      <c r="V64" s="20"/>
      <c r="W64" s="20"/>
      <c r="Y64" s="20">
        <f>IFERROR(__xludf.DUMMYFUNCTION("iferror(PERCENTRANK.INC(FILTER($R$2:$R$425, $T$2:$T$425&lt;3.75), $R64), 0.01)"),0.01)</f>
        <v>0.01</v>
      </c>
      <c r="Z64" s="20">
        <f>IFERROR(__xludf.DUMMYFUNCTION("iferror(PERCENTRANK.INC(FILTER($R$2:$R$425, $T$2:$T$425&lt;4.5), $R64), 0.01)"),0.01)</f>
        <v>0.01</v>
      </c>
      <c r="AA64" s="20">
        <f>IFERROR(__xludf.DUMMYFUNCTION("iferror(PERCENTRANK.INC(FILTER($R$2:$R$425, $T$2:$T$425&gt;4.1), $R64), 0.01)"),0.01)</f>
        <v>0.01</v>
      </c>
    </row>
    <row r="65" ht="14.25" customHeight="1">
      <c r="I65" s="42"/>
      <c r="O65" s="20"/>
      <c r="P65" s="20"/>
      <c r="Q65" s="15"/>
      <c r="R65" s="20"/>
      <c r="V65" s="20"/>
      <c r="W65" s="20"/>
      <c r="Y65" s="20">
        <f>IFERROR(__xludf.DUMMYFUNCTION("iferror(PERCENTRANK.INC(FILTER($R$2:$R$425, $T$2:$T$425&lt;3.75), $R65), 0.01)"),0.01)</f>
        <v>0.01</v>
      </c>
      <c r="Z65" s="20">
        <f>IFERROR(__xludf.DUMMYFUNCTION("iferror(PERCENTRANK.INC(FILTER($R$2:$R$425, $T$2:$T$425&lt;4.5), $R65), 0.01)"),0.01)</f>
        <v>0.01</v>
      </c>
      <c r="AA65" s="20">
        <f>IFERROR(__xludf.DUMMYFUNCTION("iferror(PERCENTRANK.INC(FILTER($R$2:$R$425, $T$2:$T$425&gt;4.1), $R65), 0.01)"),0.01)</f>
        <v>0.01</v>
      </c>
    </row>
    <row r="66" ht="14.25" customHeight="1">
      <c r="I66" s="42"/>
      <c r="O66" s="20"/>
      <c r="P66" s="20"/>
      <c r="Q66" s="15"/>
      <c r="R66" s="20"/>
      <c r="V66" s="20"/>
      <c r="W66" s="20"/>
      <c r="Y66" s="20">
        <f>IFERROR(__xludf.DUMMYFUNCTION("iferror(PERCENTRANK.INC(FILTER($R$2:$R$425, $T$2:$T$425&lt;3.75), $R66), 0.01)"),0.01)</f>
        <v>0.01</v>
      </c>
      <c r="Z66" s="20">
        <f>IFERROR(__xludf.DUMMYFUNCTION("iferror(PERCENTRANK.INC(FILTER($R$2:$R$425, $T$2:$T$425&lt;4.5), $R66), 0.01)"),0.01)</f>
        <v>0.01</v>
      </c>
      <c r="AA66" s="20">
        <f>IFERROR(__xludf.DUMMYFUNCTION("iferror(PERCENTRANK.INC(FILTER($R$2:$R$425, $T$2:$T$425&gt;4.1), $R66), 0.01)"),0.01)</f>
        <v>0.01</v>
      </c>
    </row>
    <row r="67" ht="14.25" customHeight="1">
      <c r="I67" s="42"/>
      <c r="O67" s="20"/>
      <c r="P67" s="20"/>
      <c r="Q67" s="15"/>
      <c r="R67" s="20"/>
      <c r="V67" s="20"/>
      <c r="W67" s="20"/>
      <c r="Y67" s="20">
        <f>IFERROR(__xludf.DUMMYFUNCTION("iferror(PERCENTRANK.INC(FILTER($R$2:$R$425, $T$2:$T$425&lt;3.75), $R67), 0.01)"),0.01)</f>
        <v>0.01</v>
      </c>
      <c r="Z67" s="20">
        <f>IFERROR(__xludf.DUMMYFUNCTION("iferror(PERCENTRANK.INC(FILTER($R$2:$R$425, $T$2:$T$425&lt;4.5), $R67), 0.01)"),0.01)</f>
        <v>0.01</v>
      </c>
      <c r="AA67" s="20">
        <f>IFERROR(__xludf.DUMMYFUNCTION("iferror(PERCENTRANK.INC(FILTER($R$2:$R$425, $T$2:$T$425&gt;4.1), $R67), 0.01)"),0.01)</f>
        <v>0.01</v>
      </c>
    </row>
    <row r="68" ht="14.25" customHeight="1">
      <c r="I68" s="42"/>
      <c r="O68" s="20"/>
      <c r="P68" s="20"/>
      <c r="Q68" s="15"/>
      <c r="R68" s="20"/>
      <c r="V68" s="20"/>
      <c r="W68" s="20"/>
      <c r="Y68" s="20">
        <f>IFERROR(__xludf.DUMMYFUNCTION("iferror(PERCENTRANK.INC(FILTER($R$2:$R$425, $T$2:$T$425&lt;3.75), $R68), 0.01)"),0.01)</f>
        <v>0.01</v>
      </c>
      <c r="Z68" s="20">
        <f>IFERROR(__xludf.DUMMYFUNCTION("iferror(PERCENTRANK.INC(FILTER($R$2:$R$425, $T$2:$T$425&lt;4.5), $R68), 0.01)"),0.01)</f>
        <v>0.01</v>
      </c>
      <c r="AA68" s="20">
        <f>IFERROR(__xludf.DUMMYFUNCTION("iferror(PERCENTRANK.INC(FILTER($R$2:$R$425, $T$2:$T$425&gt;4.1), $R68), 0.01)"),0.01)</f>
        <v>0.01</v>
      </c>
    </row>
    <row r="69" ht="14.25" customHeight="1">
      <c r="I69" s="42"/>
      <c r="O69" s="20"/>
      <c r="P69" s="20"/>
      <c r="Q69" s="15"/>
      <c r="R69" s="20"/>
      <c r="V69" s="20"/>
      <c r="W69" s="20"/>
      <c r="Y69" s="20">
        <f>IFERROR(__xludf.DUMMYFUNCTION("iferror(PERCENTRANK.INC(FILTER($R$2:$R$425, $T$2:$T$425&lt;3.75), $R69), 0.01)"),0.01)</f>
        <v>0.01</v>
      </c>
      <c r="Z69" s="20">
        <f>IFERROR(__xludf.DUMMYFUNCTION("iferror(PERCENTRANK.INC(FILTER($R$2:$R$425, $T$2:$T$425&lt;4.5), $R69), 0.01)"),0.01)</f>
        <v>0.01</v>
      </c>
      <c r="AA69" s="20">
        <f>IFERROR(__xludf.DUMMYFUNCTION("iferror(PERCENTRANK.INC(FILTER($R$2:$R$425, $T$2:$T$425&gt;4.1), $R69), 0.01)"),0.01)</f>
        <v>0.01</v>
      </c>
    </row>
    <row r="70" ht="14.25" customHeight="1">
      <c r="I70" s="42"/>
      <c r="O70" s="20"/>
      <c r="P70" s="20"/>
      <c r="Q70" s="15"/>
      <c r="R70" s="20"/>
      <c r="V70" s="20"/>
      <c r="W70" s="20"/>
      <c r="Y70" s="20">
        <f>IFERROR(__xludf.DUMMYFUNCTION("iferror(PERCENTRANK.INC(FILTER($R$2:$R$425, $T$2:$T$425&lt;3.75), $R70), 0.01)"),0.01)</f>
        <v>0.01</v>
      </c>
      <c r="Z70" s="20">
        <f>IFERROR(__xludf.DUMMYFUNCTION("iferror(PERCENTRANK.INC(FILTER($R$2:$R$425, $T$2:$T$425&lt;4.5), $R70), 0.01)"),0.01)</f>
        <v>0.01</v>
      </c>
      <c r="AA70" s="20">
        <f>IFERROR(__xludf.DUMMYFUNCTION("iferror(PERCENTRANK.INC(FILTER($R$2:$R$425, $T$2:$T$425&gt;4.1), $R70), 0.01)"),0.01)</f>
        <v>0.01</v>
      </c>
    </row>
    <row r="71" ht="14.25" customHeight="1">
      <c r="I71" s="42"/>
      <c r="O71" s="20"/>
      <c r="P71" s="20"/>
      <c r="Q71" s="15"/>
      <c r="R71" s="20"/>
      <c r="V71" s="20"/>
      <c r="W71" s="20"/>
      <c r="Y71" s="20">
        <f>IFERROR(__xludf.DUMMYFUNCTION("iferror(PERCENTRANK.INC(FILTER($R$2:$R$425, $T$2:$T$425&lt;3.75), $R71), 0.01)"),0.01)</f>
        <v>0.01</v>
      </c>
      <c r="Z71" s="20">
        <f>IFERROR(__xludf.DUMMYFUNCTION("iferror(PERCENTRANK.INC(FILTER($R$2:$R$425, $T$2:$T$425&lt;4.5), $R71), 0.01)"),0.01)</f>
        <v>0.01</v>
      </c>
      <c r="AA71" s="20">
        <f>IFERROR(__xludf.DUMMYFUNCTION("iferror(PERCENTRANK.INC(FILTER($R$2:$R$425, $T$2:$T$425&gt;4.1), $R71), 0.01)"),0.01)</f>
        <v>0.01</v>
      </c>
    </row>
    <row r="72" ht="14.25" customHeight="1">
      <c r="I72" s="42"/>
      <c r="O72" s="20"/>
      <c r="P72" s="20"/>
      <c r="Q72" s="15"/>
      <c r="R72" s="20"/>
      <c r="V72" s="20"/>
      <c r="W72" s="20"/>
      <c r="Y72" s="20">
        <f>IFERROR(__xludf.DUMMYFUNCTION("iferror(PERCENTRANK.INC(FILTER($R$2:$R$425, $T$2:$T$425&lt;3.75), $R72), 0.01)"),0.01)</f>
        <v>0.01</v>
      </c>
      <c r="Z72" s="20">
        <f>IFERROR(__xludf.DUMMYFUNCTION("iferror(PERCENTRANK.INC(FILTER($R$2:$R$425, $T$2:$T$425&lt;4.5), $R72), 0.01)"),0.01)</f>
        <v>0.01</v>
      </c>
      <c r="AA72" s="20">
        <f>IFERROR(__xludf.DUMMYFUNCTION("iferror(PERCENTRANK.INC(FILTER($R$2:$R$425, $T$2:$T$425&gt;4.1), $R72), 0.01)"),0.01)</f>
        <v>0.01</v>
      </c>
    </row>
    <row r="73" ht="14.25" customHeight="1">
      <c r="I73" s="42"/>
      <c r="O73" s="20"/>
      <c r="P73" s="20"/>
      <c r="Q73" s="15"/>
      <c r="R73" s="20"/>
      <c r="V73" s="20"/>
      <c r="W73" s="20"/>
      <c r="Y73" s="20">
        <f>IFERROR(__xludf.DUMMYFUNCTION("iferror(PERCENTRANK.INC(FILTER($R$2:$R$425, $T$2:$T$425&lt;3.75), $R73), 0.01)"),0.01)</f>
        <v>0.01</v>
      </c>
      <c r="Z73" s="20">
        <f>IFERROR(__xludf.DUMMYFUNCTION("iferror(PERCENTRANK.INC(FILTER($R$2:$R$425, $T$2:$T$425&lt;4.5), $R73), 0.01)"),0.01)</f>
        <v>0.01</v>
      </c>
      <c r="AA73" s="20">
        <f>IFERROR(__xludf.DUMMYFUNCTION("iferror(PERCENTRANK.INC(FILTER($R$2:$R$425, $T$2:$T$425&gt;4.1), $R73), 0.01)"),0.01)</f>
        <v>0.01</v>
      </c>
    </row>
    <row r="74" ht="14.25" customHeight="1">
      <c r="I74" s="42"/>
      <c r="O74" s="20"/>
      <c r="P74" s="20"/>
      <c r="Q74" s="15"/>
      <c r="R74" s="20"/>
      <c r="V74" s="20"/>
      <c r="W74" s="20"/>
      <c r="Y74" s="20">
        <f>IFERROR(__xludf.DUMMYFUNCTION("iferror(PERCENTRANK.INC(FILTER($R$2:$R$425, $T$2:$T$425&lt;3.75), $R74), 0.01)"),0.01)</f>
        <v>0.01</v>
      </c>
      <c r="Z74" s="20">
        <f>IFERROR(__xludf.DUMMYFUNCTION("iferror(PERCENTRANK.INC(FILTER($R$2:$R$425, $T$2:$T$425&lt;4.5), $R74), 0.01)"),0.01)</f>
        <v>0.01</v>
      </c>
      <c r="AA74" s="20">
        <f>IFERROR(__xludf.DUMMYFUNCTION("iferror(PERCENTRANK.INC(FILTER($R$2:$R$425, $T$2:$T$425&gt;4.1), $R74), 0.01)"),0.01)</f>
        <v>0.01</v>
      </c>
    </row>
    <row r="75" ht="14.25" customHeight="1">
      <c r="I75" s="43"/>
      <c r="O75" s="20"/>
      <c r="P75" s="20"/>
      <c r="Q75" s="15"/>
      <c r="R75" s="20"/>
      <c r="V75" s="20"/>
      <c r="W75" s="20"/>
      <c r="Y75" s="20">
        <f>IFERROR(__xludf.DUMMYFUNCTION("iferror(PERCENTRANK.INC(FILTER($R$2:$R$425, $T$2:$T$425&lt;3.75), $R75), 0.01)"),0.01)</f>
        <v>0.01</v>
      </c>
      <c r="Z75" s="20">
        <f>IFERROR(__xludf.DUMMYFUNCTION("iferror(PERCENTRANK.INC(FILTER($R$2:$R$425, $T$2:$T$425&lt;4.5), $R75), 0.01)"),0.01)</f>
        <v>0.01</v>
      </c>
      <c r="AA75" s="20">
        <f>IFERROR(__xludf.DUMMYFUNCTION("iferror(PERCENTRANK.INC(FILTER($R$2:$R$425, $T$2:$T$425&gt;4.1), $R75), 0.01)"),0.01)</f>
        <v>0.01</v>
      </c>
    </row>
    <row r="76" ht="14.25" customHeight="1">
      <c r="I76" s="42"/>
      <c r="O76" s="20"/>
      <c r="P76" s="20"/>
      <c r="Q76" s="15"/>
      <c r="R76" s="20"/>
      <c r="V76" s="20"/>
      <c r="W76" s="20"/>
      <c r="Y76" s="20">
        <f>IFERROR(__xludf.DUMMYFUNCTION("iferror(PERCENTRANK.INC(FILTER($R$2:$R$425, $T$2:$T$425&lt;3.75), $R76), 0.01)"),0.01)</f>
        <v>0.01</v>
      </c>
      <c r="Z76" s="20">
        <f>IFERROR(__xludf.DUMMYFUNCTION("iferror(PERCENTRANK.INC(FILTER($R$2:$R$425, $T$2:$T$425&lt;4.5), $R76), 0.01)"),0.01)</f>
        <v>0.01</v>
      </c>
      <c r="AA76" s="20">
        <f>IFERROR(__xludf.DUMMYFUNCTION("iferror(PERCENTRANK.INC(FILTER($R$2:$R$425, $T$2:$T$425&gt;4.1), $R76), 0.01)"),0.01)</f>
        <v>0.01</v>
      </c>
    </row>
    <row r="77" ht="14.25" customHeight="1">
      <c r="I77" s="42"/>
      <c r="O77" s="20"/>
      <c r="P77" s="20"/>
      <c r="Q77" s="15"/>
      <c r="R77" s="20"/>
      <c r="V77" s="20"/>
      <c r="W77" s="20"/>
      <c r="Y77" s="20">
        <f>IFERROR(__xludf.DUMMYFUNCTION("iferror(PERCENTRANK.INC(FILTER($R$2:$R$425, $T$2:$T$425&lt;3.75), $R77), 0.01)"),0.01)</f>
        <v>0.01</v>
      </c>
      <c r="Z77" s="20">
        <f>IFERROR(__xludf.DUMMYFUNCTION("iferror(PERCENTRANK.INC(FILTER($R$2:$R$425, $T$2:$T$425&lt;4.5), $R77), 0.01)"),0.01)</f>
        <v>0.01</v>
      </c>
      <c r="AA77" s="20">
        <f>IFERROR(__xludf.DUMMYFUNCTION("iferror(PERCENTRANK.INC(FILTER($R$2:$R$425, $T$2:$T$425&gt;4.1), $R77), 0.01)"),0.01)</f>
        <v>0.01</v>
      </c>
    </row>
    <row r="78" ht="14.25" customHeight="1">
      <c r="I78" s="42"/>
      <c r="O78" s="20"/>
      <c r="P78" s="20"/>
      <c r="Q78" s="15"/>
      <c r="R78" s="20"/>
      <c r="V78" s="20"/>
      <c r="W78" s="20"/>
      <c r="Y78" s="20">
        <f>IFERROR(__xludf.DUMMYFUNCTION("iferror(PERCENTRANK.INC(FILTER($R$2:$R$425, $T$2:$T$425&lt;3.75), $R78), 0.01)"),0.01)</f>
        <v>0.01</v>
      </c>
      <c r="Z78" s="20">
        <f>IFERROR(__xludf.DUMMYFUNCTION("iferror(PERCENTRANK.INC(FILTER($R$2:$R$425, $T$2:$T$425&lt;4.5), $R78), 0.01)"),0.01)</f>
        <v>0.01</v>
      </c>
      <c r="AA78" s="20">
        <f>IFERROR(__xludf.DUMMYFUNCTION("iferror(PERCENTRANK.INC(FILTER($R$2:$R$425, $T$2:$T$425&gt;4.1), $R78), 0.01)"),0.01)</f>
        <v>0.01</v>
      </c>
    </row>
    <row r="79" ht="14.25" customHeight="1">
      <c r="I79" s="42"/>
      <c r="O79" s="20"/>
      <c r="P79" s="20"/>
      <c r="Q79" s="15"/>
      <c r="R79" s="20"/>
      <c r="V79" s="20"/>
      <c r="W79" s="20"/>
      <c r="Y79" s="20">
        <f>IFERROR(__xludf.DUMMYFUNCTION("iferror(PERCENTRANK.INC(FILTER($R$2:$R$425, $T$2:$T$425&lt;3.75), $R79), 0.01)"),0.01)</f>
        <v>0.01</v>
      </c>
      <c r="Z79" s="20">
        <f>IFERROR(__xludf.DUMMYFUNCTION("iferror(PERCENTRANK.INC(FILTER($R$2:$R$425, $T$2:$T$425&lt;4.5), $R79), 0.01)"),0.01)</f>
        <v>0.01</v>
      </c>
      <c r="AA79" s="20">
        <f>IFERROR(__xludf.DUMMYFUNCTION("iferror(PERCENTRANK.INC(FILTER($R$2:$R$425, $T$2:$T$425&gt;4.1), $R79), 0.01)"),0.01)</f>
        <v>0.01</v>
      </c>
    </row>
    <row r="80" ht="14.25" customHeight="1">
      <c r="I80" s="42"/>
      <c r="O80" s="20"/>
      <c r="P80" s="20"/>
      <c r="Q80" s="15"/>
      <c r="R80" s="20"/>
      <c r="V80" s="20"/>
      <c r="W80" s="20"/>
      <c r="Y80" s="20">
        <f>IFERROR(__xludf.DUMMYFUNCTION("iferror(PERCENTRANK.INC(FILTER($R$2:$R$425, $T$2:$T$425&lt;3.75), $R80), 0.01)"),0.01)</f>
        <v>0.01</v>
      </c>
      <c r="Z80" s="20">
        <f>IFERROR(__xludf.DUMMYFUNCTION("iferror(PERCENTRANK.INC(FILTER($R$2:$R$425, $T$2:$T$425&lt;4.5), $R80), 0.01)"),0.01)</f>
        <v>0.01</v>
      </c>
      <c r="AA80" s="20">
        <f>IFERROR(__xludf.DUMMYFUNCTION("iferror(PERCENTRANK.INC(FILTER($R$2:$R$425, $T$2:$T$425&gt;4.1), $R80), 0.01)"),0.01)</f>
        <v>0.01</v>
      </c>
    </row>
    <row r="81" ht="14.25" customHeight="1">
      <c r="I81" s="42"/>
      <c r="O81" s="20"/>
      <c r="P81" s="20"/>
      <c r="Q81" s="15"/>
      <c r="R81" s="20"/>
      <c r="V81" s="20"/>
      <c r="W81" s="20"/>
      <c r="Y81" s="20">
        <f>IFERROR(__xludf.DUMMYFUNCTION("iferror(PERCENTRANK.INC(FILTER($R$2:$R$425, $T$2:$T$425&lt;3.75), $R81), 0.01)"),0.01)</f>
        <v>0.01</v>
      </c>
      <c r="Z81" s="20">
        <f>IFERROR(__xludf.DUMMYFUNCTION("iferror(PERCENTRANK.INC(FILTER($R$2:$R$425, $T$2:$T$425&lt;4.5), $R81), 0.01)"),0.01)</f>
        <v>0.01</v>
      </c>
      <c r="AA81" s="20">
        <f>IFERROR(__xludf.DUMMYFUNCTION("iferror(PERCENTRANK.INC(FILTER($R$2:$R$425, $T$2:$T$425&gt;4.1), $R81), 0.01)"),0.01)</f>
        <v>0.01</v>
      </c>
    </row>
    <row r="82" ht="14.25" customHeight="1">
      <c r="I82" s="42"/>
      <c r="O82" s="20"/>
      <c r="P82" s="20"/>
      <c r="Q82" s="15"/>
      <c r="R82" s="20"/>
      <c r="V82" s="20"/>
      <c r="W82" s="20"/>
      <c r="Y82" s="20">
        <f>IFERROR(__xludf.DUMMYFUNCTION("iferror(PERCENTRANK.INC(FILTER($R$2:$R$425, $T$2:$T$425&lt;3.75), $R82), 0.01)"),0.01)</f>
        <v>0.01</v>
      </c>
      <c r="Z82" s="20">
        <f>IFERROR(__xludf.DUMMYFUNCTION("iferror(PERCENTRANK.INC(FILTER($R$2:$R$425, $T$2:$T$425&lt;4.5), $R82), 0.01)"),0.01)</f>
        <v>0.01</v>
      </c>
      <c r="AA82" s="20">
        <f>IFERROR(__xludf.DUMMYFUNCTION("iferror(PERCENTRANK.INC(FILTER($R$2:$R$425, $T$2:$T$425&gt;4.1), $R82), 0.01)"),0.01)</f>
        <v>0.01</v>
      </c>
    </row>
    <row r="83" ht="14.25" customHeight="1">
      <c r="I83" s="42"/>
      <c r="O83" s="20"/>
      <c r="P83" s="20"/>
      <c r="Q83" s="15"/>
      <c r="R83" s="20"/>
      <c r="V83" s="20"/>
      <c r="W83" s="20"/>
      <c r="Y83" s="20">
        <f>IFERROR(__xludf.DUMMYFUNCTION("iferror(PERCENTRANK.INC(FILTER($R$2:$R$425, $T$2:$T$425&lt;3.75), $R83), 0.01)"),0.01)</f>
        <v>0.01</v>
      </c>
      <c r="Z83" s="20">
        <f>IFERROR(__xludf.DUMMYFUNCTION("iferror(PERCENTRANK.INC(FILTER($R$2:$R$425, $T$2:$T$425&lt;4.5), $R83), 0.01)"),0.01)</f>
        <v>0.01</v>
      </c>
      <c r="AA83" s="20">
        <f>IFERROR(__xludf.DUMMYFUNCTION("iferror(PERCENTRANK.INC(FILTER($R$2:$R$425, $T$2:$T$425&gt;4.1), $R83), 0.01)"),0.01)</f>
        <v>0.01</v>
      </c>
    </row>
    <row r="84" ht="14.25" customHeight="1">
      <c r="I84" s="42"/>
      <c r="O84" s="20"/>
      <c r="P84" s="20"/>
      <c r="Q84" s="15"/>
      <c r="R84" s="20"/>
      <c r="V84" s="20"/>
      <c r="W84" s="20"/>
      <c r="Y84" s="20">
        <f>IFERROR(__xludf.DUMMYFUNCTION("iferror(PERCENTRANK.INC(FILTER($R$2:$R$425, $T$2:$T$425&lt;3.75), $R84), 0.01)"),0.01)</f>
        <v>0.01</v>
      </c>
      <c r="Z84" s="20">
        <f>IFERROR(__xludf.DUMMYFUNCTION("iferror(PERCENTRANK.INC(FILTER($R$2:$R$425, $T$2:$T$425&lt;4.5), $R84), 0.01)"),0.01)</f>
        <v>0.01</v>
      </c>
      <c r="AA84" s="20">
        <f>IFERROR(__xludf.DUMMYFUNCTION("iferror(PERCENTRANK.INC(FILTER($R$2:$R$425, $T$2:$T$425&gt;4.1), $R84), 0.01)"),0.01)</f>
        <v>0.01</v>
      </c>
    </row>
    <row r="85" ht="14.25" customHeight="1">
      <c r="I85" s="42"/>
      <c r="O85" s="20"/>
      <c r="P85" s="20"/>
      <c r="Q85" s="15"/>
      <c r="R85" s="20"/>
      <c r="V85" s="20"/>
      <c r="W85" s="20"/>
      <c r="Y85" s="20">
        <f>IFERROR(__xludf.DUMMYFUNCTION("iferror(PERCENTRANK.INC(FILTER($R$2:$R$425, $T$2:$T$425&lt;3.75), $R85), 0.01)"),0.01)</f>
        <v>0.01</v>
      </c>
      <c r="Z85" s="20">
        <f>IFERROR(__xludf.DUMMYFUNCTION("iferror(PERCENTRANK.INC(FILTER($R$2:$R$425, $T$2:$T$425&lt;4.5), $R85), 0.01)"),0.01)</f>
        <v>0.01</v>
      </c>
      <c r="AA85" s="20">
        <f>IFERROR(__xludf.DUMMYFUNCTION("iferror(PERCENTRANK.INC(FILTER($R$2:$R$425, $T$2:$T$425&gt;4.1), $R85), 0.01)"),0.01)</f>
        <v>0.01</v>
      </c>
    </row>
    <row r="86" ht="14.25" customHeight="1">
      <c r="I86" s="42"/>
      <c r="O86" s="20"/>
      <c r="P86" s="20"/>
      <c r="Q86" s="15"/>
      <c r="R86" s="20"/>
      <c r="V86" s="20"/>
      <c r="W86" s="20"/>
      <c r="Y86" s="20">
        <f>IFERROR(__xludf.DUMMYFUNCTION("iferror(PERCENTRANK.INC(FILTER($R$2:$R$425, $T$2:$T$425&lt;3.75), $R86), 0.01)"),0.01)</f>
        <v>0.01</v>
      </c>
      <c r="Z86" s="20">
        <f>IFERROR(__xludf.DUMMYFUNCTION("iferror(PERCENTRANK.INC(FILTER($R$2:$R$425, $T$2:$T$425&lt;4.5), $R86), 0.01)"),0.01)</f>
        <v>0.01</v>
      </c>
      <c r="AA86" s="20">
        <f>IFERROR(__xludf.DUMMYFUNCTION("iferror(PERCENTRANK.INC(FILTER($R$2:$R$425, $T$2:$T$425&gt;4.1), $R86), 0.01)"),0.01)</f>
        <v>0.01</v>
      </c>
    </row>
    <row r="87" ht="14.25" customHeight="1">
      <c r="I87" s="42"/>
      <c r="O87" s="20"/>
      <c r="P87" s="20"/>
      <c r="Q87" s="15"/>
      <c r="R87" s="20"/>
      <c r="V87" s="20"/>
      <c r="W87" s="20"/>
      <c r="Y87" s="20">
        <f>IFERROR(__xludf.DUMMYFUNCTION("iferror(PERCENTRANK.INC(FILTER($R$2:$R$425, $T$2:$T$425&lt;3.75), $R87), 0.01)"),0.01)</f>
        <v>0.01</v>
      </c>
      <c r="Z87" s="20">
        <f>IFERROR(__xludf.DUMMYFUNCTION("iferror(PERCENTRANK.INC(FILTER($R$2:$R$425, $T$2:$T$425&lt;4.5), $R87), 0.01)"),0.01)</f>
        <v>0.01</v>
      </c>
      <c r="AA87" s="20">
        <f>IFERROR(__xludf.DUMMYFUNCTION("iferror(PERCENTRANK.INC(FILTER($R$2:$R$425, $T$2:$T$425&gt;4.1), $R87), 0.01)"),0.01)</f>
        <v>0.01</v>
      </c>
    </row>
    <row r="88" ht="14.25" customHeight="1">
      <c r="I88" s="42"/>
      <c r="O88" s="20"/>
      <c r="P88" s="20"/>
      <c r="Q88" s="15"/>
      <c r="R88" s="20"/>
      <c r="V88" s="20"/>
      <c r="W88" s="20"/>
      <c r="Y88" s="20">
        <f>IFERROR(__xludf.DUMMYFUNCTION("iferror(PERCENTRANK.INC(FILTER($R$2:$R$425, $T$2:$T$425&lt;3.75), $R88), 0.01)"),0.01)</f>
        <v>0.01</v>
      </c>
      <c r="Z88" s="20">
        <f>IFERROR(__xludf.DUMMYFUNCTION("iferror(PERCENTRANK.INC(FILTER($R$2:$R$425, $T$2:$T$425&lt;4.5), $R88), 0.01)"),0.01)</f>
        <v>0.01</v>
      </c>
      <c r="AA88" s="20">
        <f>IFERROR(__xludf.DUMMYFUNCTION("iferror(PERCENTRANK.INC(FILTER($R$2:$R$425, $T$2:$T$425&gt;4.1), $R88),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1212</v>
      </c>
      <c r="B1" s="14" t="s">
        <v>1673</v>
      </c>
      <c r="C1" s="14" t="s">
        <v>1674</v>
      </c>
    </row>
    <row r="2" ht="14.25" customHeight="1">
      <c r="A2" s="14" t="s">
        <v>125</v>
      </c>
      <c r="B2" s="14" t="s">
        <v>1675</v>
      </c>
      <c r="C2" s="14">
        <v>0.95</v>
      </c>
    </row>
    <row r="3" ht="14.25" customHeight="1">
      <c r="A3" s="14" t="s">
        <v>149</v>
      </c>
      <c r="B3" s="14" t="s">
        <v>1675</v>
      </c>
      <c r="C3" s="14">
        <v>0.95</v>
      </c>
    </row>
    <row r="4" ht="14.25" customHeight="1">
      <c r="A4" s="14" t="s">
        <v>108</v>
      </c>
      <c r="B4" s="14" t="s">
        <v>1675</v>
      </c>
      <c r="C4" s="14">
        <v>0.95</v>
      </c>
    </row>
    <row r="5" ht="14.25" customHeight="1">
      <c r="A5" s="14" t="s">
        <v>152</v>
      </c>
      <c r="B5" s="14" t="s">
        <v>1675</v>
      </c>
      <c r="C5" s="14">
        <v>0.95</v>
      </c>
    </row>
    <row r="6" ht="14.25" customHeight="1">
      <c r="A6" s="14" t="s">
        <v>120</v>
      </c>
      <c r="B6" s="14" t="s">
        <v>1675</v>
      </c>
      <c r="C6" s="14">
        <v>0.95</v>
      </c>
    </row>
    <row r="7" ht="14.25" customHeight="1">
      <c r="A7" s="14" t="s">
        <v>508</v>
      </c>
      <c r="B7" s="14" t="s">
        <v>1675</v>
      </c>
      <c r="C7" s="14">
        <v>0.95</v>
      </c>
    </row>
    <row r="8" ht="14.25" customHeight="1">
      <c r="A8" s="14" t="s">
        <v>169</v>
      </c>
      <c r="B8" s="14" t="s">
        <v>1676</v>
      </c>
      <c r="C8" s="14">
        <v>0.9</v>
      </c>
    </row>
    <row r="9" ht="14.25" customHeight="1">
      <c r="A9" s="14" t="s">
        <v>176</v>
      </c>
      <c r="B9" s="14" t="s">
        <v>1676</v>
      </c>
      <c r="C9" s="14">
        <v>0.9</v>
      </c>
    </row>
    <row r="10" ht="14.25" customHeight="1">
      <c r="A10" s="14" t="s">
        <v>105</v>
      </c>
      <c r="B10" s="14" t="s">
        <v>1676</v>
      </c>
      <c r="C10" s="14">
        <v>0.9</v>
      </c>
    </row>
    <row r="11" ht="14.25" customHeight="1">
      <c r="A11" s="14" t="s">
        <v>188</v>
      </c>
      <c r="B11" s="14" t="s">
        <v>1676</v>
      </c>
      <c r="C11" s="14">
        <v>0.9</v>
      </c>
    </row>
    <row r="12" ht="14.25" customHeight="1">
      <c r="A12" s="14" t="s">
        <v>117</v>
      </c>
      <c r="B12" s="14" t="s">
        <v>1676</v>
      </c>
      <c r="C12" s="14">
        <v>0.9</v>
      </c>
    </row>
    <row r="13" ht="14.25" customHeight="1">
      <c r="A13" s="14" t="s">
        <v>146</v>
      </c>
      <c r="B13" s="14" t="s">
        <v>1676</v>
      </c>
      <c r="C13" s="14">
        <v>0.9</v>
      </c>
    </row>
    <row r="14" ht="14.25" customHeight="1">
      <c r="A14" s="14" t="s">
        <v>157</v>
      </c>
      <c r="B14" s="14" t="s">
        <v>1676</v>
      </c>
      <c r="C14" s="14">
        <v>0.9</v>
      </c>
    </row>
    <row r="15" ht="14.25" customHeight="1">
      <c r="A15" s="14" t="s">
        <v>111</v>
      </c>
      <c r="B15" s="14" t="s">
        <v>1676</v>
      </c>
      <c r="C15" s="14">
        <v>0.9</v>
      </c>
    </row>
    <row r="16" ht="14.25" customHeight="1">
      <c r="A16" s="14" t="s">
        <v>135</v>
      </c>
      <c r="B16" s="14" t="s">
        <v>1676</v>
      </c>
      <c r="C16" s="14">
        <v>0.9</v>
      </c>
    </row>
    <row r="17" ht="14.25" customHeight="1">
      <c r="A17" s="14" t="s">
        <v>100</v>
      </c>
      <c r="B17" s="14" t="s">
        <v>1676</v>
      </c>
      <c r="C17" s="14">
        <v>0.9</v>
      </c>
    </row>
    <row r="18" ht="14.25" customHeight="1">
      <c r="A18" s="14" t="s">
        <v>141</v>
      </c>
      <c r="B18" s="14" t="s">
        <v>1676</v>
      </c>
      <c r="C18" s="14">
        <v>0.9</v>
      </c>
    </row>
    <row r="19" ht="14.25" customHeight="1">
      <c r="A19" s="14" t="s">
        <v>209</v>
      </c>
      <c r="B19" s="14" t="s">
        <v>1676</v>
      </c>
      <c r="C19" s="14">
        <v>0.9</v>
      </c>
    </row>
    <row r="20" ht="14.25" customHeight="1">
      <c r="A20" s="14" t="s">
        <v>138</v>
      </c>
      <c r="B20" s="14" t="s">
        <v>1676</v>
      </c>
      <c r="C20" s="14">
        <v>0.9</v>
      </c>
    </row>
    <row r="21" ht="14.25" customHeight="1">
      <c r="A21" s="14" t="s">
        <v>219</v>
      </c>
      <c r="B21" s="14" t="s">
        <v>1677</v>
      </c>
      <c r="C21" s="14">
        <v>1.0</v>
      </c>
    </row>
    <row r="22" ht="14.25" customHeight="1">
      <c r="A22" s="14" t="s">
        <v>130</v>
      </c>
      <c r="B22" s="14" t="s">
        <v>1677</v>
      </c>
      <c r="C22" s="14">
        <v>1.0</v>
      </c>
    </row>
    <row r="23" ht="14.25" customHeight="1">
      <c r="A23" s="14" t="s">
        <v>102</v>
      </c>
      <c r="B23" s="14" t="s">
        <v>1677</v>
      </c>
      <c r="C23" s="14">
        <v>1.0</v>
      </c>
    </row>
    <row r="24" ht="14.25" customHeight="1">
      <c r="A24" s="14" t="s">
        <v>164</v>
      </c>
      <c r="B24" s="14" t="s">
        <v>1677</v>
      </c>
      <c r="C24" s="14">
        <v>1.0</v>
      </c>
    </row>
    <row r="25" ht="14.25" customHeight="1">
      <c r="A25" s="14" t="s">
        <v>179</v>
      </c>
      <c r="B25" s="14" t="s">
        <v>1677</v>
      </c>
      <c r="C25" s="14">
        <v>1.0</v>
      </c>
    </row>
    <row r="26" ht="14.25" customHeight="1">
      <c r="A26" s="16" t="s">
        <v>114</v>
      </c>
      <c r="B26" s="16" t="s">
        <v>1678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