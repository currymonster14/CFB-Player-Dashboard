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Sheet'!$A$1:$AD$422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Sheet'!$A$2:$W$87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HRFkLfSlicKpTmFoC0jzrYxtF+gw4OzD9KdCt35Z7I4="/>
    </ext>
  </extLst>
</workbook>
</file>

<file path=xl/sharedStrings.xml><?xml version="1.0" encoding="utf-8"?>
<sst xmlns="http://schemas.openxmlformats.org/spreadsheetml/2006/main" count="5363" uniqueCount="1738">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</sst>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2" si="1">IFERROR((I2*0.35+K2*7+L2*6+J2/25-M2*10-(N2/F2)*50-(O2/G2)*40)/50,0)</f>
        <v>5.549792725</v>
      </c>
      <c r="Q2" s="20">
        <f t="shared" ref="Q2:Q422" si="2">100*(P2-MIN($P$2:$P$691))/(MAX($P$2:$P$691) - MIN($P$2:$P$691))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2" si="4">100*(X2-MIN($X$2:$X$691))/(MAX($X$2:$X$691) - MIN($X$2:$X$691))</f>
        <v>95.35681187</v>
      </c>
      <c r="Z2" s="20">
        <f t="shared" ref="Z2:Z53" si="5">Y2-Q2</f>
        <v>22.11611639</v>
      </c>
      <c r="AA2" s="20"/>
      <c r="AB2" s="20">
        <f>IFERROR(__xludf.DUMMYFUNCTION("iferror(PERCENTRANK.INC(FILTER($X$2:$X$422, $U$2:$U$422&lt;3.75), $X2), 1)"),1.0)</f>
        <v>1</v>
      </c>
      <c r="AC2" s="20">
        <f>IFERROR(__xludf.DUMMYFUNCTION("iferror(PERCENTRANK.INC(FILTER($X$2:$X$422, $U$2:$U$422&lt;4.25), $X2), 1)"),1.0)</f>
        <v>1</v>
      </c>
      <c r="AD2" s="20">
        <f>IFERROR(__xludf.DUMMYFUNCTION("iferror(PERCENTRANK.INC(FILTER($X$2:$X$422, $U$2:$U$422&gt;=4.1), $X2), 0.01)"),0.92)</f>
        <v>0.92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26.35651384</v>
      </c>
      <c r="AA3" s="20"/>
      <c r="AB3" s="20">
        <f>IFERROR(__xludf.DUMMYFUNCTION("iferror(PERCENTRANK.INC(FILTER($X$2:$X$422, $U$2:$U$422&lt;3.75), $X3), 1)"),1.0)</f>
        <v>1</v>
      </c>
      <c r="AC3" s="20">
        <f>IFERROR(__xludf.DUMMYFUNCTION("iferror(PERCENTRANK.INC(FILTER($X$2:$X$422, $U$2:$U$422&lt;4.25), $X3), 1)"),1.0)</f>
        <v>1</v>
      </c>
      <c r="AD3" s="20">
        <f>IFERROR(__xludf.DUMMYFUNCTION("iferror(PERCENTRANK.INC(FILTER($X$2:$X$422, $U$2:$U$422&gt;=4.1), $X3), 0.01)"),0.88)</f>
        <v>0.88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41.89246819</v>
      </c>
      <c r="AA4" s="20"/>
      <c r="AB4" s="20">
        <f>IFERROR(__xludf.DUMMYFUNCTION("iferror(PERCENTRANK.INC(FILTER($X$2:$X$422, $U$2:$U$422&lt;3.75), $X4), 1)"),1.0)</f>
        <v>1</v>
      </c>
      <c r="AC4" s="20">
        <f>IFERROR(__xludf.DUMMYFUNCTION("iferror(PERCENTRANK.INC(FILTER($X$2:$X$422, $U$2:$U$422&lt;4.25), $X4), 1)"),1.0)</f>
        <v>1</v>
      </c>
      <c r="AD4" s="20">
        <f>IFERROR(__xludf.DUMMYFUNCTION("iferror(PERCENTRANK.INC(FILTER($X$2:$X$422, $U$2:$U$422&gt;=4.1), $X4), 0.01)"),0.84)</f>
        <v>0.84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40.42686634</v>
      </c>
      <c r="AA5" s="20"/>
      <c r="AB5" s="20">
        <f>IFERROR(__xludf.DUMMYFUNCTION("iferror(PERCENTRANK.INC(FILTER($X$2:$X$422, $U$2:$U$422&lt;3.75), $X5), 1)"),1.0)</f>
        <v>1</v>
      </c>
      <c r="AC5" s="20">
        <f>IFERROR(__xludf.DUMMYFUNCTION("iferror(PERCENTRANK.INC(FILTER($X$2:$X$422, $U$2:$U$422&lt;4.25), $X5), 1)"),1.0)</f>
        <v>1</v>
      </c>
      <c r="AD5" s="20">
        <f>IFERROR(__xludf.DUMMYFUNCTION("iferror(PERCENTRANK.INC(FILTER($X$2:$X$422, $U$2:$U$422&gt;=4.1), $X5), 0.01)"),0.8)</f>
        <v>0.8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31.29378823</v>
      </c>
      <c r="AA6" s="20"/>
      <c r="AB6" s="20">
        <f>IFERROR(__xludf.DUMMYFUNCTION("iferror(PERCENTRANK.INC(FILTER($X$2:$X$422, $U$2:$U$422&lt;3.75), $X6), 1)"),0.997)</f>
        <v>0.997</v>
      </c>
      <c r="AC6" s="20">
        <f>IFERROR(__xludf.DUMMYFUNCTION("iferror(PERCENTRANK.INC(FILTER($X$2:$X$422, $U$2:$U$422&lt;4.25), $X6), 1)"),0.996)</f>
        <v>0.996</v>
      </c>
      <c r="AD6" s="20">
        <f>IFERROR(__xludf.DUMMYFUNCTION("iferror(PERCENTRANK.INC(FILTER($X$2:$X$422, $U$2:$U$422&gt;=4.1), $X6), 0.01)"),0.76)</f>
        <v>0.76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54.1525442</v>
      </c>
      <c r="AA7" s="20"/>
      <c r="AB7" s="20">
        <f>IFERROR(__xludf.DUMMYFUNCTION("iferror(PERCENTRANK.INC(FILTER($X$2:$X$422, $U$2:$U$422&lt;3.75), $X7), 1)"),0.997)</f>
        <v>0.997</v>
      </c>
      <c r="AC7" s="20">
        <f>IFERROR(__xludf.DUMMYFUNCTION("iferror(PERCENTRANK.INC(FILTER($X$2:$X$422, $U$2:$U$422&lt;4.25), $X7), 1)"),0.996)</f>
        <v>0.996</v>
      </c>
      <c r="AD7" s="20">
        <f>IFERROR(__xludf.DUMMYFUNCTION("iferror(PERCENTRANK.INC(FILTER($X$2:$X$422, $U$2:$U$422&gt;=4.1), $X7), 0.01)"),0.72)</f>
        <v>0.72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40.21013761</v>
      </c>
      <c r="AA8" s="20"/>
      <c r="AB8" s="20">
        <f>IFERROR(__xludf.DUMMYFUNCTION("iferror(PERCENTRANK.INC(FILTER($X$2:$X$422, $U$2:$U$422&lt;3.75), $X8), 1)"),0.997)</f>
        <v>0.997</v>
      </c>
      <c r="AC8" s="20">
        <f>IFERROR(__xludf.DUMMYFUNCTION("iferror(PERCENTRANK.INC(FILTER($X$2:$X$422, $U$2:$U$422&lt;4.25), $X8), 1)"),0.996)</f>
        <v>0.996</v>
      </c>
      <c r="AD8" s="20">
        <f>IFERROR(__xludf.DUMMYFUNCTION("iferror(PERCENTRANK.INC(FILTER($X$2:$X$422, $U$2:$U$422&gt;=4.1), $X8), 0.01)"),0.68)</f>
        <v>0.68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28.08065136</v>
      </c>
      <c r="AA9" s="20"/>
      <c r="AB9" s="20">
        <f>IFERROR(__xludf.DUMMYFUNCTION("iferror(PERCENTRANK.INC(FILTER($X$2:$X$422, $U$2:$U$422&lt;3.75), $X9), 1)"),0.997)</f>
        <v>0.997</v>
      </c>
      <c r="AC9" s="20">
        <f>IFERROR(__xludf.DUMMYFUNCTION("iferror(PERCENTRANK.INC(FILTER($X$2:$X$422, $U$2:$U$422&lt;4.25), $X9), 1)"),0.996)</f>
        <v>0.996</v>
      </c>
      <c r="AD9" s="20">
        <f>IFERROR(__xludf.DUMMYFUNCTION("iferror(PERCENTRANK.INC(FILTER($X$2:$X$422, $U$2:$U$422&gt;=4.1), $X9), 0.01)"),0.64)</f>
        <v>0.64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42.81529397</v>
      </c>
      <c r="AA10" s="20"/>
      <c r="AB10" s="20">
        <f>IFERROR(__xludf.DUMMYFUNCTION("iferror(PERCENTRANK.INC(FILTER($X$2:$X$422, $U$2:$U$422&lt;3.75), $X10), 1)"),0.996)</f>
        <v>0.996</v>
      </c>
      <c r="AC10" s="20">
        <f>IFERROR(__xludf.DUMMYFUNCTION("iferror(PERCENTRANK.INC(FILTER($X$2:$X$422, $U$2:$U$422&lt;4.25), $X10), 1)"),0.995)</f>
        <v>0.995</v>
      </c>
      <c r="AD10" s="20">
        <f>IFERROR(__xludf.DUMMYFUNCTION("iferror(PERCENTRANK.INC(FILTER($X$2:$X$422, $U$2:$U$422&gt;=4.1), $X10), 0.01)"),0.56)</f>
        <v>0.56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23.86244159</v>
      </c>
      <c r="AA11" s="20"/>
      <c r="AB11" s="20">
        <f>IFERROR(__xludf.DUMMYFUNCTION("iferror(PERCENTRANK.INC(FILTER($X$2:$X$422, $U$2:$U$422&lt;3.75), $X11), 1)"),0.996)</f>
        <v>0.996</v>
      </c>
      <c r="AC11" s="20">
        <f>IFERROR(__xludf.DUMMYFUNCTION("iferror(PERCENTRANK.INC(FILTER($X$2:$X$422, $U$2:$U$422&lt;4.25), $X11), 1)"),0.992)</f>
        <v>0.992</v>
      </c>
      <c r="AD11" s="20">
        <f>IFERROR(__xludf.DUMMYFUNCTION("iferror(PERCENTRANK.INC(FILTER($X$2:$X$422, $U$2:$U$422&gt;=4.1), $X11), 0.01)"),0.44)</f>
        <v>0.44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26.09910012</v>
      </c>
      <c r="AA12" s="20"/>
      <c r="AB12" s="20">
        <f>IFERROR(__xludf.DUMMYFUNCTION("iferror(PERCENTRANK.INC(FILTER($X$2:$X$422, $U$2:$U$422&lt;3.75), $X12), 1)"),0.995)</f>
        <v>0.995</v>
      </c>
      <c r="AC12" s="20">
        <f>IFERROR(__xludf.DUMMYFUNCTION("iferror(PERCENTRANK.INC(FILTER($X$2:$X$422, $U$2:$U$422&lt;4.25), $X12), 1)"),0.99)</f>
        <v>0.99</v>
      </c>
      <c r="AD12" s="20">
        <f>IFERROR(__xludf.DUMMYFUNCTION("iferror(PERCENTRANK.INC(FILTER($X$2:$X$422, $U$2:$U$422&gt;=4.1), $X12), 0.01)"),0.4)</f>
        <v>0.4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38.71887568</v>
      </c>
      <c r="AA13" s="20"/>
      <c r="AB13" s="20">
        <f>IFERROR(__xludf.DUMMYFUNCTION("iferror(PERCENTRANK.INC(FILTER($X$2:$X$422, $U$2:$U$422&lt;3.75), $X13), 1)"),0.995)</f>
        <v>0.995</v>
      </c>
      <c r="AC13" s="20">
        <f>IFERROR(__xludf.DUMMYFUNCTION("iferror(PERCENTRANK.INC(FILTER($X$2:$X$422, $U$2:$U$422&lt;4.25), $X13), 1)"),0.987)</f>
        <v>0.987</v>
      </c>
      <c r="AD13" s="20">
        <f>IFERROR(__xludf.DUMMYFUNCTION("iferror(PERCENTRANK.INC(FILTER($X$2:$X$422, $U$2:$U$422&gt;=4.1), $X13), 0.01)"),0.347)</f>
        <v>0.347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41.26420036</v>
      </c>
      <c r="AA14" s="20"/>
      <c r="AB14" s="20">
        <f>IFERROR(__xludf.DUMMYFUNCTION("iferror(PERCENTRANK.INC(FILTER($X$2:$X$422, $U$2:$U$422&lt;3.75), $X14), 1)"),0.995)</f>
        <v>0.995</v>
      </c>
      <c r="AC14" s="20">
        <f>IFERROR(__xludf.DUMMYFUNCTION("iferror(PERCENTRANK.INC(FILTER($X$2:$X$422, $U$2:$U$422&lt;4.25), $X14), 1)"),0.986)</f>
        <v>0.986</v>
      </c>
      <c r="AD14" s="20">
        <f>IFERROR(__xludf.DUMMYFUNCTION("iferror(PERCENTRANK.INC(FILTER($X$2:$X$422, $U$2:$U$422&gt;=4.1), $X14), 0.01)"),0.32)</f>
        <v>0.32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44.2633479</v>
      </c>
      <c r="AA15" s="20"/>
      <c r="AB15" s="20">
        <f>IFERROR(__xludf.DUMMYFUNCTION("iferror(PERCENTRANK.INC(FILTER($X$2:$X$422, $U$2:$U$422&lt;3.75), $X15), 1)"),0.995)</f>
        <v>0.995</v>
      </c>
      <c r="AC15" s="20">
        <f>IFERROR(__xludf.DUMMYFUNCTION("iferror(PERCENTRANK.INC(FILTER($X$2:$X$422, $U$2:$U$422&lt;4.25), $X15), 1)"),0.985)</f>
        <v>0.985</v>
      </c>
      <c r="AD15" s="20">
        <f>IFERROR(__xludf.DUMMYFUNCTION("iferror(PERCENTRANK.INC(FILTER($X$2:$X$422, $U$2:$U$422&gt;=4.1), $X15), 0.01)"),0.28)</f>
        <v>0.28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37.52879318</v>
      </c>
      <c r="AA16" s="20"/>
      <c r="AB16" s="20">
        <f>IFERROR(__xludf.DUMMYFUNCTION("iferror(PERCENTRANK.INC(FILTER($X$2:$X$422, $U$2:$U$422&lt;3.75), $X16), 1)"),0.995)</f>
        <v>0.995</v>
      </c>
      <c r="AC16" s="20">
        <f>IFERROR(__xludf.DUMMYFUNCTION("iferror(PERCENTRANK.INC(FILTER($X$2:$X$422, $U$2:$U$422&lt;4.25), $X16), 1)"),0.982)</f>
        <v>0.982</v>
      </c>
      <c r="AD16" s="20">
        <f>IFERROR(__xludf.DUMMYFUNCTION("iferror(PERCENTRANK.INC(FILTER($X$2:$X$422, $U$2:$U$422&gt;=4.1), $X16), 0.01)"),0.237)</f>
        <v>0.237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23.88355008</v>
      </c>
      <c r="AA17" s="20"/>
      <c r="AB17" s="20">
        <f>IFERROR(__xludf.DUMMYFUNCTION("iferror(PERCENTRANK.INC(FILTER($X$2:$X$422, $U$2:$U$422&lt;3.75), $X17), 1)"),0.992)</f>
        <v>0.992</v>
      </c>
      <c r="AC17" s="20">
        <f>IFERROR(__xludf.DUMMYFUNCTION("iferror(PERCENTRANK.INC(FILTER($X$2:$X$422, $U$2:$U$422&lt;4.25), $X17), 1)"),0.98)</f>
        <v>0.98</v>
      </c>
      <c r="AD17" s="20">
        <f>IFERROR(__xludf.DUMMYFUNCTION("iferror(PERCENTRANK.INC(FILTER($X$2:$X$422, $U$2:$U$422&gt;=4.1), $X17), 0.01)"),0.229)</f>
        <v>0.229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48.44882822</v>
      </c>
      <c r="AA18" s="20"/>
      <c r="AB18" s="20">
        <f>IFERROR(__xludf.DUMMYFUNCTION("iferror(PERCENTRANK.INC(FILTER($X$2:$X$422, $U$2:$U$422&lt;3.75), $X18), 1)"),0.99)</f>
        <v>0.99</v>
      </c>
      <c r="AC18" s="20">
        <f>IFERROR(__xludf.DUMMYFUNCTION("iferror(PERCENTRANK.INC(FILTER($X$2:$X$422, $U$2:$U$422&lt;4.25), $X18), 1)"),0.975)</f>
        <v>0.975</v>
      </c>
      <c r="AD18" s="20">
        <f>IFERROR(__xludf.DUMMYFUNCTION("iferror(PERCENTRANK.INC(FILTER($X$2:$X$422, $U$2:$U$422&gt;=4.1), $X18), 0.01)"),0.222)</f>
        <v>0.222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24.05358316</v>
      </c>
      <c r="AA19" s="20"/>
      <c r="AB19" s="20">
        <f>IFERROR(__xludf.DUMMYFUNCTION("iferror(PERCENTRANK.INC(FILTER($X$2:$X$422, $U$2:$U$422&lt;3.75), $X19), 1)"),0.99)</f>
        <v>0.99</v>
      </c>
      <c r="AC19" s="20">
        <f>IFERROR(__xludf.DUMMYFUNCTION("iferror(PERCENTRANK.INC(FILTER($X$2:$X$422, $U$2:$U$422&lt;4.25), $X19), 1)"),0.977)</f>
        <v>0.977</v>
      </c>
      <c r="AD19" s="20">
        <f>IFERROR(__xludf.DUMMYFUNCTION("iferror(PERCENTRANK.INC(FILTER($X$2:$X$422, $U$2:$U$422&gt;=4.1), $X19), 0.01)"),0.222)</f>
        <v>0.222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56.46523855</v>
      </c>
      <c r="AA20" s="20"/>
      <c r="AB20" s="20">
        <f>IFERROR(__xludf.DUMMYFUNCTION("iferror(PERCENTRANK.INC(FILTER($X$2:$X$422, $U$2:$U$422&lt;3.75), $X20), 1)"),0.988)</f>
        <v>0.988</v>
      </c>
      <c r="AC20" s="20">
        <f>IFERROR(__xludf.DUMMYFUNCTION("iferror(PERCENTRANK.INC(FILTER($X$2:$X$422, $U$2:$U$422&lt;4.25), $X20), 1)"),0.973)</f>
        <v>0.973</v>
      </c>
      <c r="AD20" s="20">
        <f>IFERROR(__xludf.DUMMYFUNCTION("iferror(PERCENTRANK.INC(FILTER($X$2:$X$422, $U$2:$U$422&gt;=4.1), $X20), 0.01)"),0.2)</f>
        <v>0.2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37.24422743</v>
      </c>
      <c r="AA21" s="20"/>
      <c r="AB21" s="20">
        <f>IFERROR(__xludf.DUMMYFUNCTION("iferror(PERCENTRANK.INC(FILTER($X$2:$X$422, $U$2:$U$422&lt;3.75), $X21), 1)"),0.987)</f>
        <v>0.987</v>
      </c>
      <c r="AC21" s="20">
        <f>IFERROR(__xludf.DUMMYFUNCTION("iferror(PERCENTRANK.INC(FILTER($X$2:$X$422, $U$2:$U$422&lt;4.25), $X21), 1)"),0.972)</f>
        <v>0.972</v>
      </c>
      <c r="AD21" s="20">
        <f>IFERROR(__xludf.DUMMYFUNCTION("iferror(PERCENTRANK.INC(FILTER($X$2:$X$422, $U$2:$U$422&gt;=4.1), $X21), 0.01)"),0.19)</f>
        <v>0.19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33.40369053</v>
      </c>
      <c r="AA22" s="20"/>
      <c r="AB22" s="20">
        <f>IFERROR(__xludf.DUMMYFUNCTION("iferror(PERCENTRANK.INC(FILTER($X$2:$X$422, $U$2:$U$422&lt;3.75), $X22), 1)"),0.987)</f>
        <v>0.987</v>
      </c>
      <c r="AC22" s="20">
        <f>IFERROR(__xludf.DUMMYFUNCTION("iferror(PERCENTRANK.INC(FILTER($X$2:$X$422, $U$2:$U$422&lt;4.25), $X22), 1)"),0.97)</f>
        <v>0.97</v>
      </c>
      <c r="AD22" s="20">
        <f>IFERROR(__xludf.DUMMYFUNCTION("iferror(PERCENTRANK.INC(FILTER($X$2:$X$422, $U$2:$U$422&gt;=4.1), $X22), 0.01)"),0.174)</f>
        <v>0.174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52.36621941</v>
      </c>
      <c r="AA23" s="20"/>
      <c r="AB23" s="20">
        <f>IFERROR(__xludf.DUMMYFUNCTION("iferror(PERCENTRANK.INC(FILTER($X$2:$X$422, $U$2:$U$422&lt;3.75), $X23), 1)"),0.987)</f>
        <v>0.987</v>
      </c>
      <c r="AC23" s="20">
        <f>IFERROR(__xludf.DUMMYFUNCTION("iferror(PERCENTRANK.INC(FILTER($X$2:$X$422, $U$2:$U$422&lt;4.25), $X23), 1)"),0.967)</f>
        <v>0.967</v>
      </c>
      <c r="AD23" s="20">
        <f>IFERROR(__xludf.DUMMYFUNCTION("iferror(PERCENTRANK.INC(FILTER($X$2:$X$422, $U$2:$U$422&gt;=4.1), $X23), 0.01)"),0.16)</f>
        <v>0.16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38.08688475</v>
      </c>
      <c r="AA24" s="20"/>
      <c r="AB24" s="20">
        <f>IFERROR(__xludf.DUMMYFUNCTION("iferror(PERCENTRANK.INC(FILTER($X$2:$X$422, $U$2:$U$422&lt;3.75), $X24), 1)"),0.986)</f>
        <v>0.986</v>
      </c>
      <c r="AC24" s="20">
        <f>IFERROR(__xludf.DUMMYFUNCTION("iferror(PERCENTRANK.INC(FILTER($X$2:$X$422, $U$2:$U$422&lt;4.25), $X24), 1)"),0.965)</f>
        <v>0.965</v>
      </c>
      <c r="AD24" s="20">
        <f>IFERROR(__xludf.DUMMYFUNCTION("iferror(PERCENTRANK.INC(FILTER($X$2:$X$422, $U$2:$U$422&gt;=4.1), $X24), 0.01)"),0.117)</f>
        <v>0.117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66.18003425</v>
      </c>
      <c r="AA25" s="20"/>
      <c r="AB25" s="20">
        <f>IFERROR(__xludf.DUMMYFUNCTION("iferror(PERCENTRANK.INC(FILTER($X$2:$X$422, $U$2:$U$422&lt;3.75), $X25), 1)"),0.997)</f>
        <v>0.997</v>
      </c>
      <c r="AC25" s="20">
        <f>IFERROR(__xludf.DUMMYFUNCTION("iferror(PERCENTRANK.INC(FILTER($X$2:$X$422, $U$2:$U$422&lt;4.25), $X25), 1)"),0.997)</f>
        <v>0.997</v>
      </c>
      <c r="AD25" s="20">
        <f>IFERROR(__xludf.DUMMYFUNCTION("iferror(PERCENTRANK.INC(FILTER($X$2:$X$422, $U$2:$U$422&gt;=4.1), $X25), 0.01)"),0.787)</f>
        <v>0.787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45.26226186</v>
      </c>
      <c r="AA26" s="20"/>
      <c r="AB26" s="20">
        <f>IFERROR(__xludf.DUMMYFUNCTION("iferror(PERCENTRANK.INC(FILTER($X$2:$X$422, $U$2:$U$422&lt;3.75), $X26), 1)"),0.982)</f>
        <v>0.982</v>
      </c>
      <c r="AC26" s="20">
        <f>IFERROR(__xludf.DUMMYFUNCTION("iferror(PERCENTRANK.INC(FILTER($X$2:$X$422, $U$2:$U$422&lt;4.25), $X26), 1)"),0.955)</f>
        <v>0.955</v>
      </c>
      <c r="AD26" s="20">
        <f>IFERROR(__xludf.DUMMYFUNCTION("iferror(PERCENTRANK.INC(FILTER($X$2:$X$422, $U$2:$U$422&gt;=4.1), $X26), 0.01)"),0.075)</f>
        <v>0.075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-45.14813495</v>
      </c>
      <c r="AA27" s="20"/>
      <c r="AB27" s="20">
        <f>IFERROR(__xludf.DUMMYFUNCTION("iferror(PERCENTRANK.INC(FILTER($X$2:$X$422, $U$2:$U$422&lt;3.75), $X27), 1)"),0.969)</f>
        <v>0.969</v>
      </c>
      <c r="AC27" s="20">
        <f>IFERROR(__xludf.DUMMYFUNCTION("iferror(PERCENTRANK.INC(FILTER($X$2:$X$422, $U$2:$U$422&lt;4.25), $X27), 1)"),0.942)</f>
        <v>0.942</v>
      </c>
      <c r="AD27" s="20">
        <f>IFERROR(__xludf.DUMMYFUNCTION("iferror(PERCENTRANK.INC(FILTER($X$2:$X$422, $U$2:$U$422&gt;=4.1), $X27), 0.01)"),0.063)</f>
        <v>0.063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10.3449518</v>
      </c>
      <c r="AA28" s="20"/>
      <c r="AB28" s="20">
        <f>IFERROR(__xludf.DUMMYFUNCTION("iferror(PERCENTRANK.INC(FILTER($X$2:$X$422, $U$2:$U$422&lt;3.75), $X28), 1)"),1.0)</f>
        <v>1</v>
      </c>
      <c r="AC28" s="20">
        <f>IFERROR(__xludf.DUMMYFUNCTION("iferror(PERCENTRANK.INC(FILTER($X$2:$X$422, $U$2:$U$422&lt;4.25), $X28), 1)"),1.0)</f>
        <v>1</v>
      </c>
      <c r="AD28" s="20">
        <f>IFERROR(__xludf.DUMMYFUNCTION("iferror(PERCENTRANK.INC(FILTER($X$2:$X$422, $U$2:$U$422&gt;=4.1), $X28), 0.01)"),0.96)</f>
        <v>0.96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-32.98863876</v>
      </c>
      <c r="AA29" s="20"/>
      <c r="AB29" s="20">
        <f>IFERROR(__xludf.DUMMYFUNCTION("iferror(PERCENTRANK.INC(FILTER($X$2:$X$422, $U$2:$U$422&lt;3.75), $X29), 1)"),0.938)</f>
        <v>0.938</v>
      </c>
      <c r="AC29" s="20">
        <f>IFERROR(__xludf.DUMMYFUNCTION("iferror(PERCENTRANK.INC(FILTER($X$2:$X$422, $U$2:$U$422&lt;4.25), $X29), 1)"),0.912)</f>
        <v>0.912</v>
      </c>
      <c r="AD29" s="20">
        <f>IFERROR(__xludf.DUMMYFUNCTION("iferror(PERCENTRANK.INC(FILTER($X$2:$X$422, $U$2:$U$422&gt;=4.1), $X29), 0.01)"),0.056)</f>
        <v>0.056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-31.83576178</v>
      </c>
      <c r="AA30" s="20"/>
      <c r="AB30" s="20">
        <f>IFERROR(__xludf.DUMMYFUNCTION("iferror(PERCENTRANK.INC(FILTER($X$2:$X$422, $U$2:$U$422&lt;3.75), $X30), 1)"),0.943)</f>
        <v>0.943</v>
      </c>
      <c r="AC30" s="20">
        <f>IFERROR(__xludf.DUMMYFUNCTION("iferror(PERCENTRANK.INC(FILTER($X$2:$X$422, $U$2:$U$422&lt;4.25), $X30), 1)"),0.917)</f>
        <v>0.917</v>
      </c>
      <c r="AD30" s="20">
        <f>IFERROR(__xludf.DUMMYFUNCTION("iferror(PERCENTRANK.INC(FILTER($X$2:$X$422, $U$2:$U$422&gt;=4.1), $X30), 0.01)"),0.056)</f>
        <v>0.056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-32.76421894</v>
      </c>
      <c r="AA31" s="20"/>
      <c r="AB31" s="20">
        <f>IFERROR(__xludf.DUMMYFUNCTION("iferror(PERCENTRANK.INC(FILTER($X$2:$X$422, $U$2:$U$422&lt;3.75), $X31), 1)"),0.951)</f>
        <v>0.951</v>
      </c>
      <c r="AC31" s="20">
        <f>IFERROR(__xludf.DUMMYFUNCTION("iferror(PERCENTRANK.INC(FILTER($X$2:$X$422, $U$2:$U$422&lt;4.25), $X31), 1)"),0.925)</f>
        <v>0.925</v>
      </c>
      <c r="AD31" s="20">
        <f>IFERROR(__xludf.DUMMYFUNCTION("iferror(PERCENTRANK.INC(FILTER($X$2:$X$422, $U$2:$U$422&gt;=4.1), $X31), 0.01)"),0.059)</f>
        <v>0.059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-29.63112231</v>
      </c>
      <c r="AA32" s="20"/>
      <c r="AB32" s="20">
        <f>IFERROR(__xludf.DUMMYFUNCTION("iferror(PERCENTRANK.INC(FILTER($X$2:$X$422, $U$2:$U$422&lt;3.75), $X32), 1)"),0.936)</f>
        <v>0.936</v>
      </c>
      <c r="AC32" s="20">
        <f>IFERROR(__xludf.DUMMYFUNCTION("iferror(PERCENTRANK.INC(FILTER($X$2:$X$422, $U$2:$U$422&lt;4.25), $X32), 1)"),0.91)</f>
        <v>0.91</v>
      </c>
      <c r="AD32" s="20">
        <f>IFERROR(__xludf.DUMMYFUNCTION("iferror(PERCENTRANK.INC(FILTER($X$2:$X$422, $U$2:$U$422&gt;=4.1), $X32), 0.01)"),0.055)</f>
        <v>0.055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-31.69804591</v>
      </c>
      <c r="AA33" s="20"/>
      <c r="AB33" s="20">
        <f>IFERROR(__xludf.DUMMYFUNCTION("iferror(PERCENTRANK.INC(FILTER($X$2:$X$422, $U$2:$U$422&lt;3.75), $X33), 1)"),0.946)</f>
        <v>0.946</v>
      </c>
      <c r="AC33" s="20">
        <f>IFERROR(__xludf.DUMMYFUNCTION("iferror(PERCENTRANK.INC(FILTER($X$2:$X$422, $U$2:$U$422&lt;4.25), $X33), 1)"),0.92)</f>
        <v>0.92</v>
      </c>
      <c r="AD33" s="20">
        <f>IFERROR(__xludf.DUMMYFUNCTION("iferror(PERCENTRANK.INC(FILTER($X$2:$X$422, $U$2:$U$422&gt;=4.1), $X33), 0.01)"),0.057)</f>
        <v>0.057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-19.75003612</v>
      </c>
      <c r="AA34" s="20"/>
      <c r="AB34" s="20">
        <f>IFERROR(__xludf.DUMMYFUNCTION("iferror(PERCENTRANK.INC(FILTER($X$2:$X$422, $U$2:$U$422&lt;3.75), $X34), 1)"),0.966)</f>
        <v>0.966</v>
      </c>
      <c r="AC34" s="20">
        <f>IFERROR(__xludf.DUMMYFUNCTION("iferror(PERCENTRANK.INC(FILTER($X$2:$X$422, $U$2:$U$422&lt;4.25), $X34), 1)"),0.94)</f>
        <v>0.94</v>
      </c>
      <c r="AD34" s="20">
        <f>IFERROR(__xludf.DUMMYFUNCTION("iferror(PERCENTRANK.INC(FILTER($X$2:$X$422, $U$2:$U$422&gt;=4.1), $X34), 0.01)"),0.062)</f>
        <v>0.062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-24.68151984</v>
      </c>
      <c r="AA35" s="20"/>
      <c r="AB35" s="20">
        <f>IFERROR(__xludf.DUMMYFUNCTION("iferror(PERCENTRANK.INC(FILTER($X$2:$X$422, $U$2:$U$422&lt;3.75), $X35), 1)"),0.93)</f>
        <v>0.93</v>
      </c>
      <c r="AC35" s="20">
        <f>IFERROR(__xludf.DUMMYFUNCTION("iferror(PERCENTRANK.INC(FILTER($X$2:$X$422, $U$2:$U$422&lt;4.25), $X35), 1)"),0.905)</f>
        <v>0.905</v>
      </c>
      <c r="AD35" s="20">
        <f>IFERROR(__xludf.DUMMYFUNCTION("iferror(PERCENTRANK.INC(FILTER($X$2:$X$422, $U$2:$U$422&gt;=4.1), $X35), 0.01)"),0.055)</f>
        <v>0.055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-23.96228115</v>
      </c>
      <c r="AA36" s="20"/>
      <c r="AB36" s="20">
        <f>IFERROR(__xludf.DUMMYFUNCTION("iferror(PERCENTRANK.INC(FILTER($X$2:$X$422, $U$2:$U$422&lt;3.75), $X36), 1)"),0.925)</f>
        <v>0.925</v>
      </c>
      <c r="AC36" s="20">
        <f>IFERROR(__xludf.DUMMYFUNCTION("iferror(PERCENTRANK.INC(FILTER($X$2:$X$422, $U$2:$U$422&lt;4.25), $X36), 1)"),0.9)</f>
        <v>0.9</v>
      </c>
      <c r="AD36" s="20">
        <f>IFERROR(__xludf.DUMMYFUNCTION("iferror(PERCENTRANK.INC(FILTER($X$2:$X$422, $U$2:$U$422&gt;=4.1), $X36), 0.01)"),0.055)</f>
        <v>0.055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-22.57200809</v>
      </c>
      <c r="AA37" s="20"/>
      <c r="AB37" s="20">
        <f>IFERROR(__xludf.DUMMYFUNCTION("iferror(PERCENTRANK.INC(FILTER($X$2:$X$422, $U$2:$U$422&lt;3.75), $X37), 1)"),0.866)</f>
        <v>0.866</v>
      </c>
      <c r="AC37" s="20">
        <f>IFERROR(__xludf.DUMMYFUNCTION("iferror(PERCENTRANK.INC(FILTER($X$2:$X$422, $U$2:$U$422&lt;4.25), $X37), 1)"),0.842)</f>
        <v>0.842</v>
      </c>
      <c r="AD37" s="20">
        <f>IFERROR(__xludf.DUMMYFUNCTION("iferror(PERCENTRANK.INC(FILTER($X$2:$X$422, $U$2:$U$422&gt;=4.1), $X37), 0.01)"),0.053)</f>
        <v>0.053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-21.16492984</v>
      </c>
      <c r="AA38" s="20"/>
      <c r="AB38" s="20">
        <f>IFERROR(__xludf.DUMMYFUNCTION("iferror(PERCENTRANK.INC(FILTER($X$2:$X$422, $U$2:$U$422&lt;3.75), $X38), 1)"),0.902)</f>
        <v>0.902</v>
      </c>
      <c r="AC38" s="20">
        <f>IFERROR(__xludf.DUMMYFUNCTION("iferror(PERCENTRANK.INC(FILTER($X$2:$X$422, $U$2:$U$422&lt;4.25), $X38), 1)"),0.877)</f>
        <v>0.877</v>
      </c>
      <c r="AD38" s="20">
        <f>IFERROR(__xludf.DUMMYFUNCTION("iferror(PERCENTRANK.INC(FILTER($X$2:$X$422, $U$2:$U$422&gt;=4.1), $X38), 0.01)"),0.054)</f>
        <v>0.054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-17.70410371</v>
      </c>
      <c r="AA39" s="20"/>
      <c r="AB39" s="20">
        <f>IFERROR(__xludf.DUMMYFUNCTION("iferror(PERCENTRANK.INC(FILTER($X$2:$X$422, $U$2:$U$422&lt;3.75), $X39), 1)"),0.948)</f>
        <v>0.948</v>
      </c>
      <c r="AC39" s="20">
        <f>IFERROR(__xludf.DUMMYFUNCTION("iferror(PERCENTRANK.INC(FILTER($X$2:$X$422, $U$2:$U$422&lt;4.25), $X39), 1)"),0.922)</f>
        <v>0.922</v>
      </c>
      <c r="AD39" s="20">
        <f>IFERROR(__xludf.DUMMYFUNCTION("iferror(PERCENTRANK.INC(FILTER($X$2:$X$422, $U$2:$U$422&gt;=4.1), $X39), 0.01)"),0.058)</f>
        <v>0.058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-23.33630362</v>
      </c>
      <c r="AA40" s="20"/>
      <c r="AB40" s="20">
        <f>IFERROR(__xludf.DUMMYFUNCTION("iferror(PERCENTRANK.INC(FILTER($X$2:$X$422, $U$2:$U$422&lt;3.75), $X40), 1)"),0.835)</f>
        <v>0.835</v>
      </c>
      <c r="AC40" s="20">
        <f>IFERROR(__xludf.DUMMYFUNCTION("iferror(PERCENTRANK.INC(FILTER($X$2:$X$422, $U$2:$U$422&lt;4.25), $X40), 1)"),0.812)</f>
        <v>0.812</v>
      </c>
      <c r="AD40" s="20">
        <f>IFERROR(__xludf.DUMMYFUNCTION("iferror(PERCENTRANK.INC(FILTER($X$2:$X$422, $U$2:$U$422&gt;=4.1), $X40), 0.01)"),0.053)</f>
        <v>0.053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-19.70798774</v>
      </c>
      <c r="AA41" s="20"/>
      <c r="AB41" s="20">
        <f>IFERROR(__xludf.DUMMYFUNCTION("iferror(PERCENTRANK.INC(FILTER($X$2:$X$422, $U$2:$U$422&lt;3.75), $X41), 1)"),0.848)</f>
        <v>0.848</v>
      </c>
      <c r="AC41" s="20">
        <f>IFERROR(__xludf.DUMMYFUNCTION("iferror(PERCENTRANK.INC(FILTER($X$2:$X$422, $U$2:$U$422&lt;4.25), $X41), 1)"),0.825)</f>
        <v>0.825</v>
      </c>
      <c r="AD41" s="20">
        <f>IFERROR(__xludf.DUMMYFUNCTION("iferror(PERCENTRANK.INC(FILTER($X$2:$X$422, $U$2:$U$422&gt;=4.1), $X41), 0.01)"),0.053)</f>
        <v>0.053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-19.15203979</v>
      </c>
      <c r="AA42" s="20"/>
      <c r="AB42" s="20">
        <f>IFERROR(__xludf.DUMMYFUNCTION("iferror(PERCENTRANK.INC(FILTER($X$2:$X$422, $U$2:$U$422&lt;3.75), $X42), 1)"),0.92)</f>
        <v>0.92</v>
      </c>
      <c r="AC42" s="20">
        <f>IFERROR(__xludf.DUMMYFUNCTION("iferror(PERCENTRANK.INC(FILTER($X$2:$X$422, $U$2:$U$422&lt;4.25), $X42), 1)"),0.895)</f>
        <v>0.895</v>
      </c>
      <c r="AD42" s="20">
        <f>IFERROR(__xludf.DUMMYFUNCTION("iferror(PERCENTRANK.INC(FILTER($X$2:$X$422, $U$2:$U$422&gt;=4.1), $X42), 0.01)"),0.055)</f>
        <v>0.055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-18.6617569</v>
      </c>
      <c r="AA43" s="20"/>
      <c r="AB43" s="20">
        <f>IFERROR(__xludf.DUMMYFUNCTION("iferror(PERCENTRANK.INC(FILTER($X$2:$X$422, $U$2:$U$422&lt;3.75), $X43), 1)"),0.876)</f>
        <v>0.876</v>
      </c>
      <c r="AC43" s="20">
        <f>IFERROR(__xludf.DUMMYFUNCTION("iferror(PERCENTRANK.INC(FILTER($X$2:$X$422, $U$2:$U$422&lt;4.25), $X43), 1)"),0.852)</f>
        <v>0.852</v>
      </c>
      <c r="AD43" s="20">
        <f>IFERROR(__xludf.DUMMYFUNCTION("iferror(PERCENTRANK.INC(FILTER($X$2:$X$422, $U$2:$U$422&gt;=4.1), $X43), 0.01)"),0.054)</f>
        <v>0.054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-21.63600485</v>
      </c>
      <c r="AA44" s="20"/>
      <c r="AB44" s="20">
        <f>IFERROR(__xludf.DUMMYFUNCTION("iferror(PERCENTRANK.INC(FILTER($X$2:$X$422, $U$2:$U$422&lt;3.75), $X44), 1)"),0.869)</f>
        <v>0.869</v>
      </c>
      <c r="AC44" s="20">
        <f>IFERROR(__xludf.DUMMYFUNCTION("iferror(PERCENTRANK.INC(FILTER($X$2:$X$422, $U$2:$U$422&lt;4.25), $X44), 1)"),0.845)</f>
        <v>0.845</v>
      </c>
      <c r="AD44" s="20">
        <f>IFERROR(__xludf.DUMMYFUNCTION("iferror(PERCENTRANK.INC(FILTER($X$2:$X$422, $U$2:$U$422&gt;=4.1), $X44), 0.01)"),0.053)</f>
        <v>0.053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-18.46946312</v>
      </c>
      <c r="AA45" s="20"/>
      <c r="AB45" s="20">
        <f>IFERROR(__xludf.DUMMYFUNCTION("iferror(PERCENTRANK.INC(FILTER($X$2:$X$422, $U$2:$U$422&lt;3.75), $X45), 1)"),0.874)</f>
        <v>0.874</v>
      </c>
      <c r="AC45" s="20">
        <f>IFERROR(__xludf.DUMMYFUNCTION("iferror(PERCENTRANK.INC(FILTER($X$2:$X$422, $U$2:$U$422&lt;4.25), $X45), 1)"),0.85)</f>
        <v>0.85</v>
      </c>
      <c r="AD45" s="20">
        <f>IFERROR(__xludf.DUMMYFUNCTION("iferror(PERCENTRANK.INC(FILTER($X$2:$X$422, $U$2:$U$422&gt;=4.1), $X45), 0.01)"),0.054)</f>
        <v>0.054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-19.21560882</v>
      </c>
      <c r="AA46" s="20"/>
      <c r="AB46" s="20">
        <f>IFERROR(__xludf.DUMMYFUNCTION("iferror(PERCENTRANK.INC(FILTER($X$2:$X$422, $U$2:$U$422&lt;3.75), $X46), 1)"),0.907)</f>
        <v>0.907</v>
      </c>
      <c r="AC46" s="20">
        <f>IFERROR(__xludf.DUMMYFUNCTION("iferror(PERCENTRANK.INC(FILTER($X$2:$X$422, $U$2:$U$422&lt;4.25), $X46), 1)"),0.882)</f>
        <v>0.882</v>
      </c>
      <c r="AD46" s="20">
        <f>IFERROR(__xludf.DUMMYFUNCTION("iferror(PERCENTRANK.INC(FILTER($X$2:$X$422, $U$2:$U$422&gt;=4.1), $X46), 0.01)"),0.054)</f>
        <v>0.054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-7.799840455</v>
      </c>
      <c r="AA47" s="20"/>
      <c r="AB47" s="20">
        <f>IFERROR(__xludf.DUMMYFUNCTION("iferror(PERCENTRANK.INC(FILTER($X$2:$X$422, $U$2:$U$422&lt;3.75), $X47), 1)"),0.974)</f>
        <v>0.974</v>
      </c>
      <c r="AC47" s="20">
        <f>IFERROR(__xludf.DUMMYFUNCTION("iferror(PERCENTRANK.INC(FILTER($X$2:$X$422, $U$2:$U$422&lt;4.25), $X47), 1)"),0.947)</f>
        <v>0.947</v>
      </c>
      <c r="AD47" s="20">
        <f>IFERROR(__xludf.DUMMYFUNCTION("iferror(PERCENTRANK.INC(FILTER($X$2:$X$422, $U$2:$U$422&gt;=4.1), $X47), 0.01)"),0.066)</f>
        <v>0.066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-20.46452142</v>
      </c>
      <c r="AA48" s="20"/>
      <c r="AB48" s="20">
        <f>IFERROR(__xludf.DUMMYFUNCTION("iferror(PERCENTRANK.INC(FILTER($X$2:$X$422, $U$2:$U$422&lt;3.75), $X48), 1)"),0.861)</f>
        <v>0.861</v>
      </c>
      <c r="AC48" s="20">
        <f>IFERROR(__xludf.DUMMYFUNCTION("iferror(PERCENTRANK.INC(FILTER($X$2:$X$422, $U$2:$U$422&lt;4.25), $X48), 1)"),0.837)</f>
        <v>0.837</v>
      </c>
      <c r="AD48" s="20">
        <f>IFERROR(__xludf.DUMMYFUNCTION("iferror(PERCENTRANK.INC(FILTER($X$2:$X$422, $U$2:$U$422&gt;=4.1), $X48), 0.01)"),0.053)</f>
        <v>0.053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-16.44402074</v>
      </c>
      <c r="AA49" s="20"/>
      <c r="AB49" s="20">
        <f>IFERROR(__xludf.DUMMYFUNCTION("iferror(PERCENTRANK.INC(FILTER($X$2:$X$422, $U$2:$U$422&lt;3.75), $X49), 1)"),0.912)</f>
        <v>0.912</v>
      </c>
      <c r="AC49" s="20">
        <f>IFERROR(__xludf.DUMMYFUNCTION("iferror(PERCENTRANK.INC(FILTER($X$2:$X$422, $U$2:$U$422&lt;4.25), $X49), 1)"),0.887)</f>
        <v>0.887</v>
      </c>
      <c r="AD49" s="20">
        <f>IFERROR(__xludf.DUMMYFUNCTION("iferror(PERCENTRANK.INC(FILTER($X$2:$X$422, $U$2:$U$422&gt;=4.1), $X49), 0.01)"),0.054)</f>
        <v>0.054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-22.71078307</v>
      </c>
      <c r="AA50" s="20"/>
      <c r="AB50" s="20">
        <f>IFERROR(__xludf.DUMMYFUNCTION("iferror(PERCENTRANK.INC(FILTER($X$2:$X$422, $U$2:$U$422&lt;3.75), $X50), 1)"),0.662)</f>
        <v>0.662</v>
      </c>
      <c r="AC50" s="20">
        <f>IFERROR(__xludf.DUMMYFUNCTION("iferror(PERCENTRANK.INC(FILTER($X$2:$X$422, $U$2:$U$422&lt;4.25), $X50), 1)"),0.644)</f>
        <v>0.644</v>
      </c>
      <c r="AD50" s="20">
        <f>IFERROR(__xludf.DUMMYFUNCTION("iferror(PERCENTRANK.INC(FILTER($X$2:$X$422, $U$2:$U$422&gt;=4.1), $X50), 0.01)"),0.048)</f>
        <v>0.048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-16.22696416</v>
      </c>
      <c r="AA51" s="20"/>
      <c r="AB51" s="20">
        <f>IFERROR(__xludf.DUMMYFUNCTION("iferror(PERCENTRANK.INC(FILTER($X$2:$X$422, $U$2:$U$422&lt;3.75), $X51), 1)"),0.905)</f>
        <v>0.905</v>
      </c>
      <c r="AC51" s="20">
        <f>IFERROR(__xludf.DUMMYFUNCTION("iferror(PERCENTRANK.INC(FILTER($X$2:$X$422, $U$2:$U$422&lt;4.25), $X51), 1)"),0.88)</f>
        <v>0.88</v>
      </c>
      <c r="AD51" s="20">
        <f>IFERROR(__xludf.DUMMYFUNCTION("iferror(PERCENTRANK.INC(FILTER($X$2:$X$422, $U$2:$U$422&gt;=4.1), $X51), 0.01)"),0.054)</f>
        <v>0.054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-16.35749013</v>
      </c>
      <c r="AA52" s="20"/>
      <c r="AB52" s="20">
        <f>IFERROR(__xludf.DUMMYFUNCTION("iferror(PERCENTRANK.INC(FILTER($X$2:$X$422, $U$2:$U$422&lt;3.75), $X52), 1)"),0.884)</f>
        <v>0.884</v>
      </c>
      <c r="AC52" s="20">
        <f>IFERROR(__xludf.DUMMYFUNCTION("iferror(PERCENTRANK.INC(FILTER($X$2:$X$422, $U$2:$U$422&lt;4.25), $X52), 1)"),0.86)</f>
        <v>0.86</v>
      </c>
      <c r="AD52" s="20">
        <f>IFERROR(__xludf.DUMMYFUNCTION("iferror(PERCENTRANK.INC(FILTER($X$2:$X$422, $U$2:$U$422&gt;=4.1), $X52), 0.01)"),0.054)</f>
        <v>0.054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-35.02423669</v>
      </c>
      <c r="AA53" s="20"/>
      <c r="AB53" s="20">
        <f>IFERROR(__xludf.DUMMYFUNCTION("iferror(PERCENTRANK.INC(FILTER($X$2:$X$422, $U$2:$U$422&lt;3.75), $X53), 1)"),0.064)</f>
        <v>0.064</v>
      </c>
      <c r="AC53" s="20">
        <f>IFERROR(__xludf.DUMMYFUNCTION("iferror(PERCENTRANK.INC(FILTER($X$2:$X$422, $U$2:$U$422&lt;4.25), $X53), 1)"),0.063)</f>
        <v>0.063</v>
      </c>
      <c r="AD53" s="20">
        <f>IFERROR(__xludf.DUMMYFUNCTION("iferror(PERCENTRANK.INC(FILTER($X$2:$X$422, $U$2:$U$422&gt;=4.1),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IFERROR(__xludf.DUMMYFUNCTION("iferror(PERCENTRANK.INC(FILTER($X$2:$X$422, $U$2:$U$422&lt;3.75), $X54), 1)"),0.827)</f>
        <v>0.827</v>
      </c>
      <c r="AC54" s="20">
        <f>IFERROR(__xludf.DUMMYFUNCTION("iferror(PERCENTRANK.INC(FILTER($X$2:$X$422, $U$2:$U$422&lt;4.25), $X54), 1)"),0.805)</f>
        <v>0.805</v>
      </c>
      <c r="AD54" s="20">
        <f>IFERROR(__xludf.DUMMYFUNCTION("iferror(PERCENTRANK.INC(FILTER($X$2:$X$422, $U$2:$U$422&gt;=4.1), $X54), 0.01)"),0.052)</f>
        <v>0.052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2" si="6">Y55-Q55</f>
        <v>-26.3175964</v>
      </c>
      <c r="AA55" s="20"/>
      <c r="AB55" s="20">
        <f>IFERROR(__xludf.DUMMYFUNCTION("iferror(PERCENTRANK.INC(FILTER($X$2:$X$422, $U$2:$U$422&lt;3.75), $X55), 1)"),0.26)</f>
        <v>0.26</v>
      </c>
      <c r="AC55" s="20">
        <f>IFERROR(__xludf.DUMMYFUNCTION("iferror(PERCENTRANK.INC(FILTER($X$2:$X$422, $U$2:$U$422&lt;4.25), $X55), 1)"),0.253)</f>
        <v>0.253</v>
      </c>
      <c r="AD55" s="20">
        <f>IFERROR(__xludf.DUMMYFUNCTION("iferror(PERCENTRANK.INC(FILTER($X$2:$X$422, $U$2:$U$422&gt;=4.1),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25.61871463</v>
      </c>
      <c r="AA56" s="20"/>
      <c r="AB56" s="20">
        <f>IFERROR(__xludf.DUMMYFUNCTION("iferror(PERCENTRANK.INC(FILTER($X$2:$X$422, $U$2:$U$422&lt;3.75), $X56), 1)"),1.0)</f>
        <v>1</v>
      </c>
      <c r="AC56" s="20">
        <f>IFERROR(__xludf.DUMMYFUNCTION("iferror(PERCENTRANK.INC(FILTER($X$2:$X$422, $U$2:$U$422&lt;4.25), $X56), 1)"),1.0)</f>
        <v>1</v>
      </c>
      <c r="AD56" s="20">
        <f>IFERROR(__xludf.DUMMYFUNCTION("iferror(PERCENTRANK.INC(FILTER($X$2:$X$422, $U$2:$U$422&gt;=4.1), $X56), 0.01)"),0.826)</f>
        <v>0.826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-17.45910845</v>
      </c>
      <c r="AA57" s="20"/>
      <c r="AB57" s="20">
        <f>IFERROR(__xludf.DUMMYFUNCTION("iferror(PERCENTRANK.INC(FILTER($X$2:$X$422, $U$2:$U$422&lt;3.75), $X57), 1)"),0.879)</f>
        <v>0.879</v>
      </c>
      <c r="AC57" s="20">
        <f>IFERROR(__xludf.DUMMYFUNCTION("iferror(PERCENTRANK.INC(FILTER($X$2:$X$422, $U$2:$U$422&lt;4.25), $X57), 1)"),0.855)</f>
        <v>0.855</v>
      </c>
      <c r="AD57" s="20">
        <f>IFERROR(__xludf.DUMMYFUNCTION("iferror(PERCENTRANK.INC(FILTER($X$2:$X$422, $U$2:$U$422&gt;=4.1), $X57), 0.01)"),0.054)</f>
        <v>0.054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-17.0900805</v>
      </c>
      <c r="AA58" s="20"/>
      <c r="AB58" s="20">
        <f>IFERROR(__xludf.DUMMYFUNCTION("iferror(PERCENTRANK.INC(FILTER($X$2:$X$422, $U$2:$U$422&lt;3.75), $X58), 1)"),0.887)</f>
        <v>0.887</v>
      </c>
      <c r="AC58" s="20">
        <f>IFERROR(__xludf.DUMMYFUNCTION("iferror(PERCENTRANK.INC(FILTER($X$2:$X$422, $U$2:$U$422&lt;4.25), $X58), 1)"),0.862)</f>
        <v>0.862</v>
      </c>
      <c r="AD58" s="20">
        <f>IFERROR(__xludf.DUMMYFUNCTION("iferror(PERCENTRANK.INC(FILTER($X$2:$X$422, $U$2:$U$422&gt;=4.1), $X58), 0.01)"),0.054)</f>
        <v>0.054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-16.6062484</v>
      </c>
      <c r="AA59" s="20"/>
      <c r="AB59" s="20">
        <f>IFERROR(__xludf.DUMMYFUNCTION("iferror(PERCENTRANK.INC(FILTER($X$2:$X$422, $U$2:$U$422&lt;3.75), $X59), 1)"),0.881)</f>
        <v>0.881</v>
      </c>
      <c r="AC59" s="20">
        <f>IFERROR(__xludf.DUMMYFUNCTION("iferror(PERCENTRANK.INC(FILTER($X$2:$X$422, $U$2:$U$422&lt;4.25), $X59), 1)"),0.857)</f>
        <v>0.857</v>
      </c>
      <c r="AD59" s="20">
        <f>IFERROR(__xludf.DUMMYFUNCTION("iferror(PERCENTRANK.INC(FILTER($X$2:$X$422, $U$2:$U$422&gt;=4.1), $X59), 0.01)"),0.054)</f>
        <v>0.054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-16.70686615</v>
      </c>
      <c r="AA60" s="20"/>
      <c r="AB60" s="20">
        <f>IFERROR(__xludf.DUMMYFUNCTION("iferror(PERCENTRANK.INC(FILTER($X$2:$X$422, $U$2:$U$422&lt;3.75), $X60), 1)"),0.84)</f>
        <v>0.84</v>
      </c>
      <c r="AC60" s="20">
        <f>IFERROR(__xludf.DUMMYFUNCTION("iferror(PERCENTRANK.INC(FILTER($X$2:$X$422, $U$2:$U$422&lt;4.25), $X60), 1)"),0.817)</f>
        <v>0.817</v>
      </c>
      <c r="AD60" s="20">
        <f>IFERROR(__xludf.DUMMYFUNCTION("iferror(PERCENTRANK.INC(FILTER($X$2:$X$422, $U$2:$U$422&gt;=4.1), $X60), 0.01)"),0.053)</f>
        <v>0.053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-16.55602237</v>
      </c>
      <c r="AA61" s="20"/>
      <c r="AB61" s="20">
        <f>IFERROR(__xludf.DUMMYFUNCTION("iferror(PERCENTRANK.INC(FILTER($X$2:$X$422, $U$2:$U$422&lt;3.75), $X61), 1)"),0.851)</f>
        <v>0.851</v>
      </c>
      <c r="AC61" s="20">
        <f>IFERROR(__xludf.DUMMYFUNCTION("iferror(PERCENTRANK.INC(FILTER($X$2:$X$422, $U$2:$U$422&lt;4.25), $X61), 1)"),0.827)</f>
        <v>0.827</v>
      </c>
      <c r="AD61" s="20">
        <f>IFERROR(__xludf.DUMMYFUNCTION("iferror(PERCENTRANK.INC(FILTER($X$2:$X$422, $U$2:$U$422&gt;=4.1), $X61), 0.01)"),0.053)</f>
        <v>0.053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-16.03501522</v>
      </c>
      <c r="AA62" s="20"/>
      <c r="AB62" s="20">
        <f>IFERROR(__xludf.DUMMYFUNCTION("iferror(PERCENTRANK.INC(FILTER($X$2:$X$422, $U$2:$U$422&lt;3.75), $X62), 1)"),0.853)</f>
        <v>0.853</v>
      </c>
      <c r="AC62" s="20">
        <f>IFERROR(__xludf.DUMMYFUNCTION("iferror(PERCENTRANK.INC(FILTER($X$2:$X$422, $U$2:$U$422&lt;4.25), $X62), 1)"),0.83)</f>
        <v>0.83</v>
      </c>
      <c r="AD62" s="20">
        <f>IFERROR(__xludf.DUMMYFUNCTION("iferror(PERCENTRANK.INC(FILTER($X$2:$X$422, $U$2:$U$422&gt;=4.1), $X62), 0.01)"),0.053)</f>
        <v>0.053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-15.21134855</v>
      </c>
      <c r="AA63" s="20"/>
      <c r="AB63" s="20">
        <f>IFERROR(__xludf.DUMMYFUNCTION("iferror(PERCENTRANK.INC(FILTER($X$2:$X$422, $U$2:$U$422&lt;3.75), $X63), 1)"),0.897)</f>
        <v>0.897</v>
      </c>
      <c r="AC63" s="20">
        <f>IFERROR(__xludf.DUMMYFUNCTION("iferror(PERCENTRANK.INC(FILTER($X$2:$X$422, $U$2:$U$422&lt;4.25), $X63), 1)"),0.872)</f>
        <v>0.872</v>
      </c>
      <c r="AD63" s="20">
        <f>IFERROR(__xludf.DUMMYFUNCTION("iferror(PERCENTRANK.INC(FILTER($X$2:$X$422, $U$2:$U$422&gt;=4.1), $X63), 0.01)"),0.054)</f>
        <v>0.054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-12.81458681</v>
      </c>
      <c r="AA64" s="20"/>
      <c r="AB64" s="20">
        <f>IFERROR(__xludf.DUMMYFUNCTION("iferror(PERCENTRANK.INC(FILTER($X$2:$X$422, $U$2:$U$422&lt;3.75), $X64), 1)"),0.82)</f>
        <v>0.82</v>
      </c>
      <c r="AC64" s="20">
        <f>IFERROR(__xludf.DUMMYFUNCTION("iferror(PERCENTRANK.INC(FILTER($X$2:$X$422, $U$2:$U$422&lt;4.25), $X64), 1)"),0.797)</f>
        <v>0.797</v>
      </c>
      <c r="AD64" s="20">
        <f>IFERROR(__xludf.DUMMYFUNCTION("iferror(PERCENTRANK.INC(FILTER($X$2:$X$422, $U$2:$U$422&gt;=4.1), $X64), 0.01)"),0.052)</f>
        <v>0.052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-14.34699046</v>
      </c>
      <c r="AA65" s="20"/>
      <c r="AB65" s="20">
        <f>IFERROR(__xludf.DUMMYFUNCTION("iferror(PERCENTRANK.INC(FILTER($X$2:$X$422, $U$2:$U$422&lt;3.75), $X65), 1)"),0.871)</f>
        <v>0.871</v>
      </c>
      <c r="AC65" s="20">
        <f>IFERROR(__xludf.DUMMYFUNCTION("iferror(PERCENTRANK.INC(FILTER($X$2:$X$422, $U$2:$U$422&lt;4.25), $X65), 1)"),0.847)</f>
        <v>0.847</v>
      </c>
      <c r="AD65" s="20">
        <f>IFERROR(__xludf.DUMMYFUNCTION("iferror(PERCENTRANK.INC(FILTER($X$2:$X$422, $U$2:$U$422&gt;=4.1), $X65), 0.01)"),0.053)</f>
        <v>0.053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-14.06538302</v>
      </c>
      <c r="AA66" s="20"/>
      <c r="AB66" s="20">
        <f>IFERROR(__xludf.DUMMYFUNCTION("iferror(PERCENTRANK.INC(FILTER($X$2:$X$422, $U$2:$U$422&lt;3.75), $X66), 1)"),0.796)</f>
        <v>0.796</v>
      </c>
      <c r="AC66" s="20">
        <f>IFERROR(__xludf.DUMMYFUNCTION("iferror(PERCENTRANK.INC(FILTER($X$2:$X$422, $U$2:$U$422&lt;4.25), $X66), 1)"),0.774)</f>
        <v>0.774</v>
      </c>
      <c r="AD66" s="20">
        <f>IFERROR(__xludf.DUMMYFUNCTION("iferror(PERCENTRANK.INC(FILTER($X$2:$X$422, $U$2:$U$422&gt;=4.1), $X66), 0.01)"),0.051)</f>
        <v>0.051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-13.92648009</v>
      </c>
      <c r="AA67" s="20"/>
      <c r="AB67" s="20">
        <f>IFERROR(__xludf.DUMMYFUNCTION("iferror(PERCENTRANK.INC(FILTER($X$2:$X$422, $U$2:$U$422&lt;3.75), $X67), 1)"),0.856)</f>
        <v>0.856</v>
      </c>
      <c r="AC67" s="20">
        <f>IFERROR(__xludf.DUMMYFUNCTION("iferror(PERCENTRANK.INC(FILTER($X$2:$X$422, $U$2:$U$422&lt;4.25), $X67), 1)"),0.832)</f>
        <v>0.832</v>
      </c>
      <c r="AD67" s="20">
        <f>IFERROR(__xludf.DUMMYFUNCTION("iferror(PERCENTRANK.INC(FILTER($X$2:$X$422, $U$2:$U$422&gt;=4.1), $X67), 0.01)"),0.053)</f>
        <v>0.053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-11.60845521</v>
      </c>
      <c r="AA68" s="20"/>
      <c r="AB68" s="20">
        <f>IFERROR(__xludf.DUMMYFUNCTION("iferror(PERCENTRANK.INC(FILTER($X$2:$X$422, $U$2:$U$422&lt;3.75), $X68), 1)"),0.863)</f>
        <v>0.863</v>
      </c>
      <c r="AC68" s="20">
        <f>IFERROR(__xludf.DUMMYFUNCTION("iferror(PERCENTRANK.INC(FILTER($X$2:$X$422, $U$2:$U$422&lt;4.25), $X68), 1)"),0.84)</f>
        <v>0.84</v>
      </c>
      <c r="AD68" s="20">
        <f>IFERROR(__xludf.DUMMYFUNCTION("iferror(PERCENTRANK.INC(FILTER($X$2:$X$422, $U$2:$U$422&gt;=4.1), $X68), 0.01)"),0.053)</f>
        <v>0.053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-10.95246971</v>
      </c>
      <c r="AA69" s="20"/>
      <c r="AB69" s="20">
        <f>IFERROR(__xludf.DUMMYFUNCTION("iferror(PERCENTRANK.INC(FILTER($X$2:$X$422, $U$2:$U$422&lt;3.75), $X69), 1)"),0.899)</f>
        <v>0.899</v>
      </c>
      <c r="AC69" s="20">
        <f>IFERROR(__xludf.DUMMYFUNCTION("iferror(PERCENTRANK.INC(FILTER($X$2:$X$422, $U$2:$U$422&lt;4.25), $X69), 1)"),0.875)</f>
        <v>0.875</v>
      </c>
      <c r="AD69" s="20">
        <f>IFERROR(__xludf.DUMMYFUNCTION("iferror(PERCENTRANK.INC(FILTER($X$2:$X$422, $U$2:$U$422&gt;=4.1), $X69), 0.01)"),0.054)</f>
        <v>0.054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-12.36941676</v>
      </c>
      <c r="AA70" s="20"/>
      <c r="AB70" s="20">
        <f>IFERROR(__xludf.DUMMYFUNCTION("iferror(PERCENTRANK.INC(FILTER($X$2:$X$422, $U$2:$U$422&lt;3.75), $X70), 1)"),0.809)</f>
        <v>0.809</v>
      </c>
      <c r="AC70" s="20">
        <f>IFERROR(__xludf.DUMMYFUNCTION("iferror(PERCENTRANK.INC(FILTER($X$2:$X$422, $U$2:$U$422&lt;4.25), $X70), 1)"),0.787)</f>
        <v>0.787</v>
      </c>
      <c r="AD70" s="20">
        <f>IFERROR(__xludf.DUMMYFUNCTION("iferror(PERCENTRANK.INC(FILTER($X$2:$X$422, $U$2:$U$422&gt;=4.1), $X70), 0.01)"),0.052)</f>
        <v>0.052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-12.28109541</v>
      </c>
      <c r="AA71" s="20"/>
      <c r="AB71" s="20">
        <f>IFERROR(__xludf.DUMMYFUNCTION("iferror(PERCENTRANK.INC(FILTER($X$2:$X$422, $U$2:$U$422&lt;3.75), $X71), 1)"),0.791)</f>
        <v>0.791</v>
      </c>
      <c r="AC71" s="20">
        <f>IFERROR(__xludf.DUMMYFUNCTION("iferror(PERCENTRANK.INC(FILTER($X$2:$X$422, $U$2:$U$422&lt;4.25), $X71), 1)"),0.769)</f>
        <v>0.769</v>
      </c>
      <c r="AD71" s="20">
        <f>IFERROR(__xludf.DUMMYFUNCTION("iferror(PERCENTRANK.INC(FILTER($X$2:$X$422, $U$2:$U$422&gt;=4.1), $X71), 0.01)"),0.051)</f>
        <v>0.051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-11.78959359</v>
      </c>
      <c r="AA72" s="20"/>
      <c r="AB72" s="20">
        <f>IFERROR(__xludf.DUMMYFUNCTION("iferror(PERCENTRANK.INC(FILTER($X$2:$X$422, $U$2:$U$422&lt;3.75), $X72), 1)"),0.807)</f>
        <v>0.807</v>
      </c>
      <c r="AC72" s="20">
        <f>IFERROR(__xludf.DUMMYFUNCTION("iferror(PERCENTRANK.INC(FILTER($X$2:$X$422, $U$2:$U$422&lt;4.25), $X72), 1)"),0.784)</f>
        <v>0.784</v>
      </c>
      <c r="AD72" s="20">
        <f>IFERROR(__xludf.DUMMYFUNCTION("iferror(PERCENTRANK.INC(FILTER($X$2:$X$422, $U$2:$U$422&gt;=4.1), $X72), 0.01)"),0.052)</f>
        <v>0.052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-14.65572474</v>
      </c>
      <c r="AA73" s="20"/>
      <c r="AB73" s="20">
        <f>IFERROR(__xludf.DUMMYFUNCTION("iferror(PERCENTRANK.INC(FILTER($X$2:$X$422, $U$2:$U$422&lt;3.75), $X73), 1)"),0.729)</f>
        <v>0.729</v>
      </c>
      <c r="AC73" s="20">
        <f>IFERROR(__xludf.DUMMYFUNCTION("iferror(PERCENTRANK.INC(FILTER($X$2:$X$422, $U$2:$U$422&lt;4.25), $X73), 1)"),0.709)</f>
        <v>0.709</v>
      </c>
      <c r="AD73" s="20">
        <f>IFERROR(__xludf.DUMMYFUNCTION("iferror(PERCENTRANK.INC(FILTER($X$2:$X$422, $U$2:$U$422&gt;=4.1), $X73), 0.01)"),0.049)</f>
        <v>0.049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-5.839716712</v>
      </c>
      <c r="AA74" s="20"/>
      <c r="AB74" s="20">
        <f>IFERROR(__xludf.DUMMYFUNCTION("iferror(PERCENTRANK.INC(FILTER($X$2:$X$422, $U$2:$U$422&lt;3.75), $X74), 1)"),0.954)</f>
        <v>0.954</v>
      </c>
      <c r="AC74" s="20">
        <f>IFERROR(__xludf.DUMMYFUNCTION("iferror(PERCENTRANK.INC(FILTER($X$2:$X$422, $U$2:$U$422&lt;4.25), $X74), 1)"),0.927)</f>
        <v>0.927</v>
      </c>
      <c r="AD74" s="20">
        <f>IFERROR(__xludf.DUMMYFUNCTION("iferror(PERCENTRANK.INC(FILTER($X$2:$X$422, $U$2:$U$422&gt;=4.1), $X74), 0.01)"),0.06)</f>
        <v>0.06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-19.16056276</v>
      </c>
      <c r="AA75" s="20"/>
      <c r="AB75" s="20">
        <f>IFERROR(__xludf.DUMMYFUNCTION("iferror(PERCENTRANK.INC(FILTER($X$2:$X$422, $U$2:$U$422&lt;3.75), $X75), 1)"),0.26)</f>
        <v>0.26</v>
      </c>
      <c r="AC75" s="20">
        <f>IFERROR(__xludf.DUMMYFUNCTION("iferror(PERCENTRANK.INC(FILTER($X$2:$X$422, $U$2:$U$422&lt;4.25), $X75), 1)"),0.253)</f>
        <v>0.253</v>
      </c>
      <c r="AD75" s="20">
        <f>IFERROR(__xludf.DUMMYFUNCTION("iferror(PERCENTRANK.INC(FILTER($X$2:$X$422, $U$2:$U$422&gt;=4.1),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-11.51044954</v>
      </c>
      <c r="AA76" s="20"/>
      <c r="AB76" s="20">
        <f>IFERROR(__xludf.DUMMYFUNCTION("iferror(PERCENTRANK.INC(FILTER($X$2:$X$422, $U$2:$U$422&lt;3.75), $X76), 1)"),0.804)</f>
        <v>0.804</v>
      </c>
      <c r="AC76" s="20">
        <f>IFERROR(__xludf.DUMMYFUNCTION("iferror(PERCENTRANK.INC(FILTER($X$2:$X$422, $U$2:$U$422&lt;4.25), $X76), 1)"),0.782)</f>
        <v>0.782</v>
      </c>
      <c r="AD76" s="20">
        <f>IFERROR(__xludf.DUMMYFUNCTION("iferror(PERCENTRANK.INC(FILTER($X$2:$X$422, $U$2:$U$422&gt;=4.1), $X76), 0.01)"),0.052)</f>
        <v>0.052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-11.55108489</v>
      </c>
      <c r="AA77" s="20"/>
      <c r="AB77" s="20">
        <f>IFERROR(__xludf.DUMMYFUNCTION("iferror(PERCENTRANK.INC(FILTER($X$2:$X$422, $U$2:$U$422&lt;3.75), $X77), 1)"),0.784)</f>
        <v>0.784</v>
      </c>
      <c r="AC77" s="20">
        <f>IFERROR(__xludf.DUMMYFUNCTION("iferror(PERCENTRANK.INC(FILTER($X$2:$X$422, $U$2:$U$422&lt;4.25), $X77), 1)"),0.762)</f>
        <v>0.762</v>
      </c>
      <c r="AD77" s="20">
        <f>IFERROR(__xludf.DUMMYFUNCTION("iferror(PERCENTRANK.INC(FILTER($X$2:$X$422, $U$2:$U$422&gt;=4.1), $X77), 0.01)"),0.051)</f>
        <v>0.051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-10.62109867</v>
      </c>
      <c r="AA78" s="20"/>
      <c r="AB78" s="20">
        <f>IFERROR(__xludf.DUMMYFUNCTION("iferror(PERCENTRANK.INC(FILTER($X$2:$X$422, $U$2:$U$422&lt;3.75), $X78), 1)"),0.763)</f>
        <v>0.763</v>
      </c>
      <c r="AC78" s="20">
        <f>IFERROR(__xludf.DUMMYFUNCTION("iferror(PERCENTRANK.INC(FILTER($X$2:$X$422, $U$2:$U$422&lt;4.25), $X78), 1)"),0.742)</f>
        <v>0.742</v>
      </c>
      <c r="AD78" s="20">
        <f>IFERROR(__xludf.DUMMYFUNCTION("iferror(PERCENTRANK.INC(FILTER($X$2:$X$422, $U$2:$U$422&gt;=4.1), $X78), 0.01)"),0.05)</f>
        <v>0.05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-8.249609303</v>
      </c>
      <c r="AA79" s="20"/>
      <c r="AB79" s="20">
        <f>IFERROR(__xludf.DUMMYFUNCTION("iferror(PERCENTRANK.INC(FILTER($X$2:$X$422, $U$2:$U$422&lt;3.75), $X79), 1)"),0.858)</f>
        <v>0.858</v>
      </c>
      <c r="AC79" s="20">
        <f>IFERROR(__xludf.DUMMYFUNCTION("iferror(PERCENTRANK.INC(FILTER($X$2:$X$422, $U$2:$U$422&lt;4.25), $X79), 1)"),0.835)</f>
        <v>0.835</v>
      </c>
      <c r="AD79" s="20">
        <f>IFERROR(__xludf.DUMMYFUNCTION("iferror(PERCENTRANK.INC(FILTER($X$2:$X$422, $U$2:$U$422&gt;=4.1), $X79), 0.01)"),0.053)</f>
        <v>0.053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-30.62425121</v>
      </c>
      <c r="AA80" s="20"/>
      <c r="AB80" s="20">
        <f>IFERROR(__xludf.DUMMYFUNCTION("iferror(PERCENTRANK.INC(FILTER($X$2:$X$422, $U$2:$U$422&lt;3.75), $X80), 1)"),0.015)</f>
        <v>0.015</v>
      </c>
      <c r="AC80" s="20">
        <f>IFERROR(__xludf.DUMMYFUNCTION("iferror(PERCENTRANK.INC(FILTER($X$2:$X$422, $U$2:$U$422&lt;4.25), $X80), 1)"),0.015)</f>
        <v>0.015</v>
      </c>
      <c r="AD80" s="20">
        <f>IFERROR(__xludf.DUMMYFUNCTION("iferror(PERCENTRANK.INC(FILTER($X$2:$X$422, $U$2:$U$422&gt;=4.1),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-9.717238558</v>
      </c>
      <c r="AA81" s="20"/>
      <c r="AB81" s="20">
        <f>IFERROR(__xludf.DUMMYFUNCTION("iferror(PERCENTRANK.INC(FILTER($X$2:$X$422, $U$2:$U$422&lt;3.75), $X81), 1)"),0.83)</f>
        <v>0.83</v>
      </c>
      <c r="AC81" s="20">
        <f>IFERROR(__xludf.DUMMYFUNCTION("iferror(PERCENTRANK.INC(FILTER($X$2:$X$422, $U$2:$U$422&lt;4.25), $X81), 1)"),0.807)</f>
        <v>0.807</v>
      </c>
      <c r="AD81" s="20">
        <f>IFERROR(__xludf.DUMMYFUNCTION("iferror(PERCENTRANK.INC(FILTER($X$2:$X$422, $U$2:$U$422&gt;=4.1), $X81), 0.01)"),0.052)</f>
        <v>0.052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-6.322388286</v>
      </c>
      <c r="AA82" s="20"/>
      <c r="AB82" s="20">
        <f>IFERROR(__xludf.DUMMYFUNCTION("iferror(PERCENTRANK.INC(FILTER($X$2:$X$422, $U$2:$U$422&lt;3.75), $X82), 1)"),0.923)</f>
        <v>0.923</v>
      </c>
      <c r="AC82" s="20">
        <f>IFERROR(__xludf.DUMMYFUNCTION("iferror(PERCENTRANK.INC(FILTER($X$2:$X$422, $U$2:$U$422&lt;4.25), $X82), 1)"),0.897)</f>
        <v>0.897</v>
      </c>
      <c r="AD82" s="20">
        <f>IFERROR(__xludf.DUMMYFUNCTION("iferror(PERCENTRANK.INC(FILTER($X$2:$X$422, $U$2:$U$422&gt;=4.1), $X82), 0.01)"),0.055)</f>
        <v>0.055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-10.99831058</v>
      </c>
      <c r="AA83" s="20"/>
      <c r="AB83" s="20">
        <f>IFERROR(__xludf.DUMMYFUNCTION("iferror(PERCENTRANK.INC(FILTER($X$2:$X$422, $U$2:$U$422&lt;3.75), $X83), 1)"),0.765)</f>
        <v>0.765</v>
      </c>
      <c r="AC83" s="20">
        <f>IFERROR(__xludf.DUMMYFUNCTION("iferror(PERCENTRANK.INC(FILTER($X$2:$X$422, $U$2:$U$422&lt;4.25), $X83), 1)"),0.744)</f>
        <v>0.744</v>
      </c>
      <c r="AD83" s="20">
        <f>IFERROR(__xludf.DUMMYFUNCTION("iferror(PERCENTRANK.INC(FILTER($X$2:$X$422, $U$2:$U$422&gt;=4.1), $X83), 0.01)"),0.05)</f>
        <v>0.05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-9.657222769</v>
      </c>
      <c r="AA84" s="20"/>
      <c r="AB84" s="20">
        <f>IFERROR(__xludf.DUMMYFUNCTION("iferror(PERCENTRANK.INC(FILTER($X$2:$X$422, $U$2:$U$422&lt;3.75), $X84), 1)"),0.814)</f>
        <v>0.814</v>
      </c>
      <c r="AC84" s="20">
        <f>IFERROR(__xludf.DUMMYFUNCTION("iferror(PERCENTRANK.INC(FILTER($X$2:$X$422, $U$2:$U$422&lt;4.25), $X84), 1)"),0.792)</f>
        <v>0.792</v>
      </c>
      <c r="AD84" s="20">
        <f>IFERROR(__xludf.DUMMYFUNCTION("iferror(PERCENTRANK.INC(FILTER($X$2:$X$422, $U$2:$U$422&gt;=4.1), $X84), 0.01)"),0.052)</f>
        <v>0.052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-10.16800218</v>
      </c>
      <c r="AA85" s="20"/>
      <c r="AB85" s="20">
        <f>IFERROR(__xludf.DUMMYFUNCTION("iferror(PERCENTRANK.INC(FILTER($X$2:$X$422, $U$2:$U$422&lt;3.75), $X85), 1)"),0.789)</f>
        <v>0.789</v>
      </c>
      <c r="AC85" s="20">
        <f>IFERROR(__xludf.DUMMYFUNCTION("iferror(PERCENTRANK.INC(FILTER($X$2:$X$422, $U$2:$U$422&lt;4.25), $X85), 1)"),0.767)</f>
        <v>0.767</v>
      </c>
      <c r="AD85" s="20">
        <f>IFERROR(__xludf.DUMMYFUNCTION("iferror(PERCENTRANK.INC(FILTER($X$2:$X$422, $U$2:$U$422&gt;=4.1), $X85), 0.01)"),0.051)</f>
        <v>0.051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-12.47180571</v>
      </c>
      <c r="AA86" s="20"/>
      <c r="AB86" s="20">
        <f>IFERROR(__xludf.DUMMYFUNCTION("iferror(PERCENTRANK.INC(FILTER($X$2:$X$422, $U$2:$U$422&lt;3.75), $X86), 1)"),0.572)</f>
        <v>0.572</v>
      </c>
      <c r="AC86" s="20">
        <f>IFERROR(__xludf.DUMMYFUNCTION("iferror(PERCENTRANK.INC(FILTER($X$2:$X$422, $U$2:$U$422&lt;4.25), $X86), 1)"),0.556)</f>
        <v>0.556</v>
      </c>
      <c r="AD86" s="20">
        <f>IFERROR(__xludf.DUMMYFUNCTION("iferror(PERCENTRANK.INC(FILTER($X$2:$X$422, $U$2:$U$422&gt;=4.1), $X86), 0.01)"),0.045)</f>
        <v>0.045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-10.04782913</v>
      </c>
      <c r="AA87" s="20"/>
      <c r="AB87" s="20">
        <f>IFERROR(__xludf.DUMMYFUNCTION("iferror(PERCENTRANK.INC(FILTER($X$2:$X$422, $U$2:$U$422&lt;3.75), $X87), 1)"),0.778)</f>
        <v>0.778</v>
      </c>
      <c r="AC87" s="20">
        <f>IFERROR(__xludf.DUMMYFUNCTION("iferror(PERCENTRANK.INC(FILTER($X$2:$X$422, $U$2:$U$422&lt;4.25), $X87), 1)"),0.757)</f>
        <v>0.757</v>
      </c>
      <c r="AD87" s="20">
        <f>IFERROR(__xludf.DUMMYFUNCTION("iferror(PERCENTRANK.INC(FILTER($X$2:$X$422, $U$2:$U$422&gt;=4.1), $X87), 0.01)"),0.051)</f>
        <v>0.051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-7.085576553</v>
      </c>
      <c r="AA88" s="20"/>
      <c r="AB88" s="20">
        <f>IFERROR(__xludf.DUMMYFUNCTION("iferror(PERCENTRANK.INC(FILTER($X$2:$X$422, $U$2:$U$422&lt;3.75), $X88), 1)"),0.794)</f>
        <v>0.794</v>
      </c>
      <c r="AC88" s="20">
        <f>IFERROR(__xludf.DUMMYFUNCTION("iferror(PERCENTRANK.INC(FILTER($X$2:$X$422, $U$2:$U$422&lt;4.25), $X88), 1)"),0.772)</f>
        <v>0.772</v>
      </c>
      <c r="AD88" s="20">
        <f>IFERROR(__xludf.DUMMYFUNCTION("iferror(PERCENTRANK.INC(FILTER($X$2:$X$422, $U$2:$U$422&gt;=4.1), $X88), 0.01)"),0.051)</f>
        <v>0.051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-8.442154262</v>
      </c>
      <c r="AA89" s="20"/>
      <c r="AB89" s="20">
        <f>IFERROR(__xludf.DUMMYFUNCTION("iferror(PERCENTRANK.INC(FILTER($X$2:$X$422, $U$2:$U$422&lt;3.75), $X89), 1)"),0.817)</f>
        <v>0.817</v>
      </c>
      <c r="AC89" s="20">
        <f>IFERROR(__xludf.DUMMYFUNCTION("iferror(PERCENTRANK.INC(FILTER($X$2:$X$422, $U$2:$U$422&lt;4.25), $X89), 1)"),0.794)</f>
        <v>0.794</v>
      </c>
      <c r="AD89" s="20">
        <f>IFERROR(__xludf.DUMMYFUNCTION("iferror(PERCENTRANK.INC(FILTER($X$2:$X$422, $U$2:$U$422&gt;=4.1), $X89), 0.01)"),0.052)</f>
        <v>0.052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-5.587965421</v>
      </c>
      <c r="AA90" s="20"/>
      <c r="AB90" s="20">
        <f>IFERROR(__xludf.DUMMYFUNCTION("iferror(PERCENTRANK.INC(FILTER($X$2:$X$422, $U$2:$U$422&lt;3.75), $X90), 1)"),0.838)</f>
        <v>0.838</v>
      </c>
      <c r="AC90" s="20">
        <f>IFERROR(__xludf.DUMMYFUNCTION("iferror(PERCENTRANK.INC(FILTER($X$2:$X$422, $U$2:$U$422&lt;4.25), $X90), 1)"),0.815)</f>
        <v>0.815</v>
      </c>
      <c r="AD90" s="20">
        <f>IFERROR(__xludf.DUMMYFUNCTION("iferror(PERCENTRANK.INC(FILTER($X$2:$X$422, $U$2:$U$422&gt;=4.1), $X90), 0.01)"),0.053)</f>
        <v>0.053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-7.328665993</v>
      </c>
      <c r="AA91" s="20"/>
      <c r="AB91" s="20">
        <f>IFERROR(__xludf.DUMMYFUNCTION("iferror(PERCENTRANK.INC(FILTER($X$2:$X$422, $U$2:$U$422&lt;3.75), $X91), 1)"),0.76)</f>
        <v>0.76</v>
      </c>
      <c r="AC91" s="20">
        <f>IFERROR(__xludf.DUMMYFUNCTION("iferror(PERCENTRANK.INC(FILTER($X$2:$X$422, $U$2:$U$422&lt;4.25), $X91), 1)"),0.739)</f>
        <v>0.739</v>
      </c>
      <c r="AD91" s="20">
        <f>IFERROR(__xludf.DUMMYFUNCTION("iferror(PERCENTRANK.INC(FILTER($X$2:$X$422, $U$2:$U$422&gt;=4.1), $X91), 0.01)"),0.05)</f>
        <v>0.05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-9.021684746</v>
      </c>
      <c r="AA92" s="20"/>
      <c r="AB92" s="20">
        <f>IFERROR(__xludf.DUMMYFUNCTION("iferror(PERCENTRANK.INC(FILTER($X$2:$X$422, $U$2:$U$422&lt;3.75), $X92), 1)"),0.637)</f>
        <v>0.637</v>
      </c>
      <c r="AC92" s="20">
        <f>IFERROR(__xludf.DUMMYFUNCTION("iferror(PERCENTRANK.INC(FILTER($X$2:$X$422, $U$2:$U$422&lt;4.25), $X92), 1)"),0.619)</f>
        <v>0.619</v>
      </c>
      <c r="AD92" s="20">
        <f>IFERROR(__xludf.DUMMYFUNCTION("iferror(PERCENTRANK.INC(FILTER($X$2:$X$422, $U$2:$U$422&gt;=4.1), $X92), 0.01)"),0.047)</f>
        <v>0.047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-8.015468462</v>
      </c>
      <c r="AA93" s="20"/>
      <c r="AB93" s="20">
        <f>IFERROR(__xludf.DUMMYFUNCTION("iferror(PERCENTRANK.INC(FILTER($X$2:$X$422, $U$2:$U$422&lt;3.75), $X93), 1)"),0.781)</f>
        <v>0.781</v>
      </c>
      <c r="AC93" s="20">
        <f>IFERROR(__xludf.DUMMYFUNCTION("iferror(PERCENTRANK.INC(FILTER($X$2:$X$422, $U$2:$U$422&lt;4.25), $X93), 1)"),0.759)</f>
        <v>0.759</v>
      </c>
      <c r="AD93" s="20">
        <f>IFERROR(__xludf.DUMMYFUNCTION("iferror(PERCENTRANK.INC(FILTER($X$2:$X$422, $U$2:$U$422&gt;=4.1), $X93), 0.01)"),0.051)</f>
        <v>0.051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1.76655035</v>
      </c>
      <c r="AA94" s="20"/>
      <c r="AB94" s="20">
        <f>IFERROR(__xludf.DUMMYFUNCTION("iferror(PERCENTRANK.INC(FILTER($X$2:$X$422, $U$2:$U$422&lt;3.75), $X94), 1)"),0.956)</f>
        <v>0.956</v>
      </c>
      <c r="AC94" s="20">
        <f>IFERROR(__xludf.DUMMYFUNCTION("iferror(PERCENTRANK.INC(FILTER($X$2:$X$422, $U$2:$U$422&lt;4.25), $X94), 1)"),0.93)</f>
        <v>0.93</v>
      </c>
      <c r="AD94" s="20">
        <f>IFERROR(__xludf.DUMMYFUNCTION("iferror(PERCENTRANK.INC(FILTER($X$2:$X$422, $U$2:$U$422&gt;=4.1), $X94), 0.01)"),0.061)</f>
        <v>0.061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-5.732276952</v>
      </c>
      <c r="AA95" s="20"/>
      <c r="AB95" s="20">
        <f>IFERROR(__xludf.DUMMYFUNCTION("iferror(PERCENTRANK.INC(FILTER($X$2:$X$422, $U$2:$U$422&lt;3.75), $X95), 1)"),0.889)</f>
        <v>0.889</v>
      </c>
      <c r="AC95" s="20">
        <f>IFERROR(__xludf.DUMMYFUNCTION("iferror(PERCENTRANK.INC(FILTER($X$2:$X$422, $U$2:$U$422&lt;4.25), $X95), 1)"),0.865)</f>
        <v>0.865</v>
      </c>
      <c r="AD95" s="20">
        <f>IFERROR(__xludf.DUMMYFUNCTION("iferror(PERCENTRANK.INC(FILTER($X$2:$X$422, $U$2:$U$422&gt;=4.1), $X95), 0.01)"),0.054)</f>
        <v>0.054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-5.520049224</v>
      </c>
      <c r="AA96" s="20"/>
      <c r="AB96" s="20">
        <f>IFERROR(__xludf.DUMMYFUNCTION("iferror(PERCENTRANK.INC(FILTER($X$2:$X$422, $U$2:$U$422&lt;3.75), $X96), 1)"),0.822)</f>
        <v>0.822</v>
      </c>
      <c r="AC96" s="20">
        <f>IFERROR(__xludf.DUMMYFUNCTION("iferror(PERCENTRANK.INC(FILTER($X$2:$X$422, $U$2:$U$422&lt;4.25), $X96), 1)"),0.799)</f>
        <v>0.799</v>
      </c>
      <c r="AD96" s="20">
        <f>IFERROR(__xludf.DUMMYFUNCTION("iferror(PERCENTRANK.INC(FILTER($X$2:$X$422, $U$2:$U$422&gt;=4.1), $X96), 0.01)"),0.052)</f>
        <v>0.052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-5.999521248</v>
      </c>
      <c r="AA97" s="20"/>
      <c r="AB97" s="20">
        <f>IFERROR(__xludf.DUMMYFUNCTION("iferror(PERCENTRANK.INC(FILTER($X$2:$X$422, $U$2:$U$422&lt;3.75), $X97), 1)"),0.742)</f>
        <v>0.742</v>
      </c>
      <c r="AC97" s="20">
        <f>IFERROR(__xludf.DUMMYFUNCTION("iferror(PERCENTRANK.INC(FILTER($X$2:$X$422, $U$2:$U$422&lt;4.25), $X97), 1)"),0.722)</f>
        <v>0.722</v>
      </c>
      <c r="AD97" s="20">
        <f>IFERROR(__xludf.DUMMYFUNCTION("iferror(PERCENTRANK.INC(FILTER($X$2:$X$422, $U$2:$U$422&gt;=4.1), $X97), 0.01)"),0.05)</f>
        <v>0.05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50.90829408</v>
      </c>
      <c r="AA98" s="20"/>
      <c r="AB98" s="20">
        <f>IFERROR(__xludf.DUMMYFUNCTION("iferror(PERCENTRANK.INC(FILTER($X$2:$X$422, $U$2:$U$422&lt;3.75), $X98), 1)"),1.0)</f>
        <v>1</v>
      </c>
      <c r="AC98" s="20">
        <f>IFERROR(__xludf.DUMMYFUNCTION("iferror(PERCENTRANK.INC(FILTER($X$2:$X$422, $U$2:$U$422&lt;4.25), $X98), 1)"),1.0)</f>
        <v>1</v>
      </c>
      <c r="AD98" s="20">
        <f>IFERROR(__xludf.DUMMYFUNCTION("iferror(PERCENTRANK.INC(FILTER($X$2:$X$422, $U$2:$U$422&gt;=4.1), $X98), 0.01)"),1.0)</f>
        <v>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6.910153189</v>
      </c>
      <c r="AA99" s="20"/>
      <c r="AB99" s="20">
        <f>IFERROR(__xludf.DUMMYFUNCTION("iferror(PERCENTRANK.INC(FILTER($X$2:$X$422, $U$2:$U$422&lt;3.75), $X99), 1)"),0.972)</f>
        <v>0.972</v>
      </c>
      <c r="AC99" s="20">
        <f>IFERROR(__xludf.DUMMYFUNCTION("iferror(PERCENTRANK.INC(FILTER($X$2:$X$422, $U$2:$U$422&lt;4.25), $X99), 1)"),0.945)</f>
        <v>0.945</v>
      </c>
      <c r="AD99" s="20">
        <f>IFERROR(__xludf.DUMMYFUNCTION("iferror(PERCENTRANK.INC(FILTER($X$2:$X$422, $U$2:$U$422&gt;=4.1), $X99), 0.01)"),0.064)</f>
        <v>0.064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-6.13777101</v>
      </c>
      <c r="AA100" s="20"/>
      <c r="AB100" s="20">
        <f>IFERROR(__xludf.DUMMYFUNCTION("iferror(PERCENTRANK.INC(FILTER($X$2:$X$422, $U$2:$U$422&lt;3.75), $X100), 1)"),0.753)</f>
        <v>0.753</v>
      </c>
      <c r="AC100" s="20">
        <f>IFERROR(__xludf.DUMMYFUNCTION("iferror(PERCENTRANK.INC(FILTER($X$2:$X$422, $U$2:$U$422&lt;4.25), $X100), 1)"),0.732)</f>
        <v>0.732</v>
      </c>
      <c r="AD100" s="20">
        <f>IFERROR(__xludf.DUMMYFUNCTION("iferror(PERCENTRANK.INC(FILTER($X$2:$X$422, $U$2:$U$422&gt;=4.1), $X100), 0.01)"),0.05)</f>
        <v>0.05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-7.030244231</v>
      </c>
      <c r="AA101" s="20"/>
      <c r="AB101" s="20">
        <f>IFERROR(__xludf.DUMMYFUNCTION("iferror(PERCENTRANK.INC(FILTER($X$2:$X$422, $U$2:$U$422&lt;3.75), $X101), 1)"),0.701)</f>
        <v>0.701</v>
      </c>
      <c r="AC101" s="20">
        <f>IFERROR(__xludf.DUMMYFUNCTION("iferror(PERCENTRANK.INC(FILTER($X$2:$X$422, $U$2:$U$422&lt;4.25), $X101), 1)"),0.682)</f>
        <v>0.682</v>
      </c>
      <c r="AD101" s="20">
        <f>IFERROR(__xludf.DUMMYFUNCTION("iferror(PERCENTRANK.INC(FILTER($X$2:$X$422, $U$2:$U$422&gt;=4.1), $X101), 0.01)"),0.049)</f>
        <v>0.049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-4.577837168</v>
      </c>
      <c r="AA102" s="20"/>
      <c r="AB102" s="20">
        <f>IFERROR(__xludf.DUMMYFUNCTION("iferror(PERCENTRANK.INC(FILTER($X$2:$X$422, $U$2:$U$422&lt;3.75), $X102), 1)"),0.802)</f>
        <v>0.802</v>
      </c>
      <c r="AC102" s="20">
        <f>IFERROR(__xludf.DUMMYFUNCTION("iferror(PERCENTRANK.INC(FILTER($X$2:$X$422, $U$2:$U$422&lt;4.25), $X102), 1)"),0.779)</f>
        <v>0.779</v>
      </c>
      <c r="AD102" s="20">
        <f>IFERROR(__xludf.DUMMYFUNCTION("iferror(PERCENTRANK.INC(FILTER($X$2:$X$422, $U$2:$U$422&gt;=4.1), $X102), 0.01)"),0.052)</f>
        <v>0.052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-3.060290269</v>
      </c>
      <c r="AA103" s="20"/>
      <c r="AB103" s="20">
        <f>IFERROR(__xludf.DUMMYFUNCTION("iferror(PERCENTRANK.INC(FILTER($X$2:$X$422, $U$2:$U$422&lt;3.75), $X103), 1)"),0.773)</f>
        <v>0.773</v>
      </c>
      <c r="AC103" s="20">
        <f>IFERROR(__xludf.DUMMYFUNCTION("iferror(PERCENTRANK.INC(FILTER($X$2:$X$422, $U$2:$U$422&lt;4.25), $X103), 1)"),0.752)</f>
        <v>0.752</v>
      </c>
      <c r="AD103" s="20">
        <f>IFERROR(__xludf.DUMMYFUNCTION("iferror(PERCENTRANK.INC(FILTER($X$2:$X$422, $U$2:$U$422&gt;=4.1), $X103), 0.01)"),0.051)</f>
        <v>0.051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-1.241848123</v>
      </c>
      <c r="AA104" s="20"/>
      <c r="AB104" s="20">
        <f>IFERROR(__xludf.DUMMYFUNCTION("iferror(PERCENTRANK.INC(FILTER($X$2:$X$422, $U$2:$U$422&lt;3.75), $X104), 1)"),0.91)</f>
        <v>0.91</v>
      </c>
      <c r="AC104" s="20">
        <f>IFERROR(__xludf.DUMMYFUNCTION("iferror(PERCENTRANK.INC(FILTER($X$2:$X$422, $U$2:$U$422&lt;4.25), $X104), 1)"),0.885)</f>
        <v>0.885</v>
      </c>
      <c r="AD104" s="20">
        <f>IFERROR(__xludf.DUMMYFUNCTION("iferror(PERCENTRANK.INC(FILTER($X$2:$X$422, $U$2:$U$422&gt;=4.1), $X104), 0.01)"),0.054)</f>
        <v>0.054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-3.445376541</v>
      </c>
      <c r="AA105" s="20"/>
      <c r="AB105" s="20">
        <f>IFERROR(__xludf.DUMMYFUNCTION("iferror(PERCENTRANK.INC(FILTER($X$2:$X$422, $U$2:$U$422&lt;3.75), $X105), 1)"),0.812)</f>
        <v>0.812</v>
      </c>
      <c r="AC105" s="20">
        <f>IFERROR(__xludf.DUMMYFUNCTION("iferror(PERCENTRANK.INC(FILTER($X$2:$X$422, $U$2:$U$422&lt;4.25), $X105), 1)"),0.789)</f>
        <v>0.789</v>
      </c>
      <c r="AD105" s="20">
        <f>IFERROR(__xludf.DUMMYFUNCTION("iferror(PERCENTRANK.INC(FILTER($X$2:$X$422, $U$2:$U$422&gt;=4.1), $X105), 0.01)"),0.052)</f>
        <v>0.052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-4.149052202</v>
      </c>
      <c r="AA106" s="20"/>
      <c r="AB106" s="20">
        <f>IFERROR(__xludf.DUMMYFUNCTION("iferror(PERCENTRANK.INC(FILTER($X$2:$X$422, $U$2:$U$422&lt;3.75), $X106), 1)"),0.74)</f>
        <v>0.74</v>
      </c>
      <c r="AC106" s="20">
        <f>IFERROR(__xludf.DUMMYFUNCTION("iferror(PERCENTRANK.INC(FILTER($X$2:$X$422, $U$2:$U$422&lt;4.25), $X106), 1)"),0.719)</f>
        <v>0.719</v>
      </c>
      <c r="AD106" s="20">
        <f>IFERROR(__xludf.DUMMYFUNCTION("iferror(PERCENTRANK.INC(FILTER($X$2:$X$422, $U$2:$U$422&gt;=4.1), $X106), 0.01)"),0.05)</f>
        <v>0.05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-8.793678395</v>
      </c>
      <c r="AA107" s="20"/>
      <c r="AB107" s="20">
        <f>IFERROR(__xludf.DUMMYFUNCTION("iferror(PERCENTRANK.INC(FILTER($X$2:$X$422, $U$2:$U$422&lt;3.75), $X107), 1)"),0.531)</f>
        <v>0.531</v>
      </c>
      <c r="AC107" s="20">
        <f>IFERROR(__xludf.DUMMYFUNCTION("iferror(PERCENTRANK.INC(FILTER($X$2:$X$422, $U$2:$U$422&lt;4.25), $X107), 1)"),0.516)</f>
        <v>0.516</v>
      </c>
      <c r="AD107" s="20">
        <f>IFERROR(__xludf.DUMMYFUNCTION("iferror(PERCENTRANK.INC(FILTER($X$2:$X$422, $U$2:$U$422&gt;=4.1), $X107), 0.01)"),0.044)</f>
        <v>0.044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-3.609755034</v>
      </c>
      <c r="AA108" s="20"/>
      <c r="AB108" s="20">
        <f>IFERROR(__xludf.DUMMYFUNCTION("iferror(PERCENTRANK.INC(FILTER($X$2:$X$422, $U$2:$U$422&lt;3.75), $X108), 1)"),0.758)</f>
        <v>0.758</v>
      </c>
      <c r="AC108" s="20">
        <f>IFERROR(__xludf.DUMMYFUNCTION("iferror(PERCENTRANK.INC(FILTER($X$2:$X$422, $U$2:$U$422&lt;4.25), $X108), 1)"),0.737)</f>
        <v>0.737</v>
      </c>
      <c r="AD108" s="20">
        <f>IFERROR(__xludf.DUMMYFUNCTION("iferror(PERCENTRANK.INC(FILTER($X$2:$X$422, $U$2:$U$422&gt;=4.1), $X108), 0.01)"),0.05)</f>
        <v>0.05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-1.850603221</v>
      </c>
      <c r="AA109" s="20"/>
      <c r="AB109" s="20">
        <f>IFERROR(__xludf.DUMMYFUNCTION("iferror(PERCENTRANK.INC(FILTER($X$2:$X$422, $U$2:$U$422&lt;3.75), $X109), 1)"),0.732)</f>
        <v>0.732</v>
      </c>
      <c r="AC109" s="20">
        <f>IFERROR(__xludf.DUMMYFUNCTION("iferror(PERCENTRANK.INC(FILTER($X$2:$X$422, $U$2:$U$422&lt;4.25), $X109), 1)"),0.712)</f>
        <v>0.712</v>
      </c>
      <c r="AD109" s="20">
        <f>IFERROR(__xludf.DUMMYFUNCTION("iferror(PERCENTRANK.INC(FILTER($X$2:$X$422, $U$2:$U$422&gt;=4.1), $X109), 0.01)"),0.049)</f>
        <v>0.049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-2.002239966</v>
      </c>
      <c r="AA110" s="20"/>
      <c r="AB110" s="20">
        <f>IFERROR(__xludf.DUMMYFUNCTION("iferror(PERCENTRANK.INC(FILTER($X$2:$X$422, $U$2:$U$422&lt;3.75), $X110), 1)"),0.714)</f>
        <v>0.714</v>
      </c>
      <c r="AC110" s="20">
        <f>IFERROR(__xludf.DUMMYFUNCTION("iferror(PERCENTRANK.INC(FILTER($X$2:$X$422, $U$2:$U$422&lt;4.25), $X110), 1)"),0.694)</f>
        <v>0.694</v>
      </c>
      <c r="AD110" s="20">
        <f>IFERROR(__xludf.DUMMYFUNCTION("iferror(PERCENTRANK.INC(FILTER($X$2:$X$422, $U$2:$U$422&gt;=4.1), $X110), 0.01)"),0.049)</f>
        <v>0.049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-4.638476393</v>
      </c>
      <c r="AA111" s="20"/>
      <c r="AB111" s="20">
        <f>IFERROR(__xludf.DUMMYFUNCTION("iferror(PERCENTRANK.INC(FILTER($X$2:$X$422, $U$2:$U$422&lt;3.75), $X111), 1)"),0.67)</f>
        <v>0.67</v>
      </c>
      <c r="AC111" s="20">
        <f>IFERROR(__xludf.DUMMYFUNCTION("iferror(PERCENTRANK.INC(FILTER($X$2:$X$422, $U$2:$U$422&lt;4.25), $X111), 1)"),0.652)</f>
        <v>0.652</v>
      </c>
      <c r="AD111" s="20">
        <f>IFERROR(__xludf.DUMMYFUNCTION("iferror(PERCENTRANK.INC(FILTER($X$2:$X$422, $U$2:$U$422&gt;=4.1), $X111), 0.01)"),0.048)</f>
        <v>0.048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-4.39308302</v>
      </c>
      <c r="AA112" s="20"/>
      <c r="AB112" s="20">
        <f>IFERROR(__xludf.DUMMYFUNCTION("iferror(PERCENTRANK.INC(FILTER($X$2:$X$422, $U$2:$U$422&lt;3.75), $X112), 1)"),0.59)</f>
        <v>0.59</v>
      </c>
      <c r="AC112" s="20">
        <f>IFERROR(__xludf.DUMMYFUNCTION("iferror(PERCENTRANK.INC(FILTER($X$2:$X$422, $U$2:$U$422&lt;4.25), $X112), 1)"),0.574)</f>
        <v>0.574</v>
      </c>
      <c r="AD112" s="20">
        <f>IFERROR(__xludf.DUMMYFUNCTION("iferror(PERCENTRANK.INC(FILTER($X$2:$X$422, $U$2:$U$422&gt;=4.1), $X112), 0.01)"),0.046)</f>
        <v>0.046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-10.81876395</v>
      </c>
      <c r="AA113" s="20"/>
      <c r="AB113" s="20">
        <f>IFERROR(__xludf.DUMMYFUNCTION("iferror(PERCENTRANK.INC(FILTER($X$2:$X$422, $U$2:$U$422&lt;3.75), $X113), 1)"),0.26)</f>
        <v>0.26</v>
      </c>
      <c r="AC113" s="20">
        <f>IFERROR(__xludf.DUMMYFUNCTION("iferror(PERCENTRANK.INC(FILTER($X$2:$X$422, $U$2:$U$422&lt;4.25), $X113), 1)"),0.253)</f>
        <v>0.253</v>
      </c>
      <c r="AD113" s="20">
        <f>IFERROR(__xludf.DUMMYFUNCTION("iferror(PERCENTRANK.INC(FILTER($X$2:$X$422, $U$2:$U$422&gt;=4.1),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3.921948992</v>
      </c>
      <c r="AA114" s="20"/>
      <c r="AB114" s="20">
        <f>IFERROR(__xludf.DUMMYFUNCTION("iferror(PERCENTRANK.INC(FILTER($X$2:$X$422, $U$2:$U$422&lt;3.75), $X114), 1)"),0.941)</f>
        <v>0.941</v>
      </c>
      <c r="AC114" s="20">
        <f>IFERROR(__xludf.DUMMYFUNCTION("iferror(PERCENTRANK.INC(FILTER($X$2:$X$422, $U$2:$U$422&lt;4.25), $X114), 1)"),0.915)</f>
        <v>0.915</v>
      </c>
      <c r="AD114" s="20">
        <f>IFERROR(__xludf.DUMMYFUNCTION("iferror(PERCENTRANK.INC(FILTER($X$2:$X$422, $U$2:$U$422&gt;=4.1), $X114), 0.01)"),0.056)</f>
        <v>0.056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-0.8986686004</v>
      </c>
      <c r="AA115" s="20"/>
      <c r="AB115" s="20">
        <f>IFERROR(__xludf.DUMMYFUNCTION("iferror(PERCENTRANK.INC(FILTER($X$2:$X$422, $U$2:$U$422&lt;3.75), $X115), 1)"),0.786)</f>
        <v>0.786</v>
      </c>
      <c r="AC115" s="20">
        <f>IFERROR(__xludf.DUMMYFUNCTION("iferror(PERCENTRANK.INC(FILTER($X$2:$X$422, $U$2:$U$422&lt;4.25), $X115), 1)"),0.764)</f>
        <v>0.764</v>
      </c>
      <c r="AD115" s="20">
        <f>IFERROR(__xludf.DUMMYFUNCTION("iferror(PERCENTRANK.INC(FILTER($X$2:$X$422, $U$2:$U$422&gt;=4.1), $X115), 0.01)"),0.051)</f>
        <v>0.051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-4.350753887</v>
      </c>
      <c r="AA116" s="20"/>
      <c r="AB116" s="20">
        <f>IFERROR(__xludf.DUMMYFUNCTION("iferror(PERCENTRANK.INC(FILTER($X$2:$X$422, $U$2:$U$422&lt;3.75), $X116), 1)"),0.536)</f>
        <v>0.536</v>
      </c>
      <c r="AC116" s="20">
        <f>IFERROR(__xludf.DUMMYFUNCTION("iferror(PERCENTRANK.INC(FILTER($X$2:$X$422, $U$2:$U$422&lt;4.25), $X116), 1)"),0.521)</f>
        <v>0.521</v>
      </c>
      <c r="AD116" s="20">
        <f>IFERROR(__xludf.DUMMYFUNCTION("iferror(PERCENTRANK.INC(FILTER($X$2:$X$422, $U$2:$U$422&gt;=4.1), $X116), 0.01)"),0.044)</f>
        <v>0.044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-0.5695915711</v>
      </c>
      <c r="AA117" s="20"/>
      <c r="AB117" s="20">
        <f>IFERROR(__xludf.DUMMYFUNCTION("iferror(PERCENTRANK.INC(FILTER($X$2:$X$422, $U$2:$U$422&lt;3.75), $X117), 1)"),0.75)</f>
        <v>0.75</v>
      </c>
      <c r="AC117" s="20">
        <f>IFERROR(__xludf.DUMMYFUNCTION("iferror(PERCENTRANK.INC(FILTER($X$2:$X$422, $U$2:$U$422&lt;4.25), $X117), 1)"),0.729)</f>
        <v>0.729</v>
      </c>
      <c r="AD117" s="20">
        <f>IFERROR(__xludf.DUMMYFUNCTION("iferror(PERCENTRANK.INC(FILTER($X$2:$X$422, $U$2:$U$422&gt;=4.1), $X117), 0.01)"),0.05)</f>
        <v>0.05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0.4901794957</v>
      </c>
      <c r="AA118" s="20"/>
      <c r="AB118" s="20">
        <f>IFERROR(__xludf.DUMMYFUNCTION("iferror(PERCENTRANK.INC(FILTER($X$2:$X$422, $U$2:$U$422&lt;3.75), $X118), 1)"),0.771)</f>
        <v>0.771</v>
      </c>
      <c r="AC118" s="20">
        <f>IFERROR(__xludf.DUMMYFUNCTION("iferror(PERCENTRANK.INC(FILTER($X$2:$X$422, $U$2:$U$422&lt;4.25), $X118), 1)"),0.749)</f>
        <v>0.749</v>
      </c>
      <c r="AD118" s="20">
        <f>IFERROR(__xludf.DUMMYFUNCTION("iferror(PERCENTRANK.INC(FILTER($X$2:$X$422, $U$2:$U$422&gt;=4.1), $X118), 0.01)"),0.051)</f>
        <v>0.051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-0.1329174745</v>
      </c>
      <c r="AA119" s="20"/>
      <c r="AB119" s="20">
        <f>IFERROR(__xludf.DUMMYFUNCTION("iferror(PERCENTRANK.INC(FILTER($X$2:$X$422, $U$2:$U$422&lt;3.75), $X119), 1)"),0.706)</f>
        <v>0.706</v>
      </c>
      <c r="AC119" s="20">
        <f>IFERROR(__xludf.DUMMYFUNCTION("iferror(PERCENTRANK.INC(FILTER($X$2:$X$422, $U$2:$U$422&lt;4.25), $X119), 1)"),0.687)</f>
        <v>0.687</v>
      </c>
      <c r="AD119" s="20">
        <f>IFERROR(__xludf.DUMMYFUNCTION("iferror(PERCENTRANK.INC(FILTER($X$2:$X$422, $U$2:$U$422&gt;=4.1), $X119), 0.01)"),0.049)</f>
        <v>0.049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-6.987106399</v>
      </c>
      <c r="AA120" s="20"/>
      <c r="AB120" s="20">
        <f>IFERROR(__xludf.DUMMYFUNCTION("iferror(PERCENTRANK.INC(FILTER($X$2:$X$422, $U$2:$U$422&lt;3.75), $X120), 1)"),0.32)</f>
        <v>0.32</v>
      </c>
      <c r="AC120" s="20">
        <f>IFERROR(__xludf.DUMMYFUNCTION("iferror(PERCENTRANK.INC(FILTER($X$2:$X$422, $U$2:$U$422&lt;4.25), $X120), 1)"),0.311)</f>
        <v>0.311</v>
      </c>
      <c r="AD120" s="20">
        <f>IFERROR(__xludf.DUMMYFUNCTION("iferror(PERCENTRANK.INC(FILTER($X$2:$X$422, $U$2:$U$422&gt;=4.1), $X120), 0.01)"),0.041)</f>
        <v>0.041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-8.348948198</v>
      </c>
      <c r="AA121" s="20"/>
      <c r="AB121" s="20">
        <f>IFERROR(__xludf.DUMMYFUNCTION("iferror(PERCENTRANK.INC(FILTER($X$2:$X$422, $U$2:$U$422&lt;3.75), $X121), 1)"),0.204)</f>
        <v>0.204</v>
      </c>
      <c r="AC121" s="20">
        <f>IFERROR(__xludf.DUMMYFUNCTION("iferror(PERCENTRANK.INC(FILTER($X$2:$X$422, $U$2:$U$422&lt;4.25), $X121), 1)"),0.198)</f>
        <v>0.198</v>
      </c>
      <c r="AD121" s="20">
        <f>IFERROR(__xludf.DUMMYFUNCTION("iferror(PERCENTRANK.INC(FILTER($X$2:$X$422, $U$2:$U$422&gt;=4.1),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-0.1996067822</v>
      </c>
      <c r="AA122" s="20"/>
      <c r="AB122" s="20">
        <f>IFERROR(__xludf.DUMMYFUNCTION("iferror(PERCENTRANK.INC(FILTER($X$2:$X$422, $U$2:$U$422&lt;3.75), $X122), 1)"),0.668)</f>
        <v>0.668</v>
      </c>
      <c r="AC122" s="20">
        <f>IFERROR(__xludf.DUMMYFUNCTION("iferror(PERCENTRANK.INC(FILTER($X$2:$X$422, $U$2:$U$422&lt;4.25), $X122), 1)"),0.649)</f>
        <v>0.649</v>
      </c>
      <c r="AD122" s="20">
        <f>IFERROR(__xludf.DUMMYFUNCTION("iferror(PERCENTRANK.INC(FILTER($X$2:$X$422, $U$2:$U$422&gt;=4.1), $X122), 0.01)"),0.048)</f>
        <v>0.048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1.179752165</v>
      </c>
      <c r="AA123" s="20"/>
      <c r="AB123" s="20">
        <f>IFERROR(__xludf.DUMMYFUNCTION("iferror(PERCENTRANK.INC(FILTER($X$2:$X$422, $U$2:$U$422&lt;3.75), $X123), 1)"),0.686)</f>
        <v>0.686</v>
      </c>
      <c r="AC123" s="20">
        <f>IFERROR(__xludf.DUMMYFUNCTION("iferror(PERCENTRANK.INC(FILTER($X$2:$X$422, $U$2:$U$422&lt;4.25), $X123), 1)"),0.667)</f>
        <v>0.667</v>
      </c>
      <c r="AD123" s="20">
        <f>IFERROR(__xludf.DUMMYFUNCTION("iferror(PERCENTRANK.INC(FILTER($X$2:$X$422, $U$2:$U$422&gt;=4.1), $X123), 0.01)"),0.049)</f>
        <v>0.049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3.78792686</v>
      </c>
      <c r="AA124" s="20"/>
      <c r="AB124" s="20">
        <f>IFERROR(__xludf.DUMMYFUNCTION("iferror(PERCENTRANK.INC(FILTER($X$2:$X$422, $U$2:$U$422&lt;3.75), $X124), 1)"),0.892)</f>
        <v>0.892</v>
      </c>
      <c r="AC124" s="20">
        <f>IFERROR(__xludf.DUMMYFUNCTION("iferror(PERCENTRANK.INC(FILTER($X$2:$X$422, $U$2:$U$422&lt;4.25), $X124), 1)"),0.867)</f>
        <v>0.867</v>
      </c>
      <c r="AD124" s="20">
        <f>IFERROR(__xludf.DUMMYFUNCTION("iferror(PERCENTRANK.INC(FILTER($X$2:$X$422, $U$2:$U$422&gt;=4.1), $X124), 0.01)"),0.054)</f>
        <v>0.054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11.11731</v>
      </c>
      <c r="AA125" s="20"/>
      <c r="AB125" s="20">
        <f>IFERROR(__xludf.DUMMYFUNCTION("iferror(PERCENTRANK.INC(FILTER($X$2:$X$422, $U$2:$U$422&lt;3.75), $X125), 1)"),0.959)</f>
        <v>0.959</v>
      </c>
      <c r="AC125" s="20">
        <f>IFERROR(__xludf.DUMMYFUNCTION("iferror(PERCENTRANK.INC(FILTER($X$2:$X$422, $U$2:$U$422&lt;4.25), $X125), 1)"),0.932)</f>
        <v>0.932</v>
      </c>
      <c r="AD125" s="20">
        <f>IFERROR(__xludf.DUMMYFUNCTION("iferror(PERCENTRANK.INC(FILTER($X$2:$X$422, $U$2:$U$422&gt;=4.1), $X125), 0.01)"),0.061)</f>
        <v>0.061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0.4939561342</v>
      </c>
      <c r="AA126" s="20"/>
      <c r="AB126" s="20">
        <f>IFERROR(__xludf.DUMMYFUNCTION("iferror(PERCENTRANK.INC(FILTER($X$2:$X$422, $U$2:$U$422&lt;3.75), $X126), 1)"),0.675)</f>
        <v>0.675</v>
      </c>
      <c r="AC126" s="20">
        <f>IFERROR(__xludf.DUMMYFUNCTION("iferror(PERCENTRANK.INC(FILTER($X$2:$X$422, $U$2:$U$422&lt;4.25), $X126), 1)"),0.657)</f>
        <v>0.657</v>
      </c>
      <c r="AD126" s="20">
        <f>IFERROR(__xludf.DUMMYFUNCTION("iferror(PERCENTRANK.INC(FILTER($X$2:$X$422, $U$2:$U$422&gt;=4.1), $X126), 0.01)"),0.048)</f>
        <v>0.048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36.32463892</v>
      </c>
      <c r="AA127" s="20"/>
      <c r="AB127" s="20">
        <f>IFERROR(__xludf.DUMMYFUNCTION("iferror(PERCENTRANK.INC(FILTER($X$2:$X$422, $U$2:$U$422&lt;3.75), $X127), 1)"),0.995)</f>
        <v>0.995</v>
      </c>
      <c r="AC127" s="20">
        <f>IFERROR(__xludf.DUMMYFUNCTION("iferror(PERCENTRANK.INC(FILTER($X$2:$X$422, $U$2:$U$422&lt;4.25), $X127), 1)"),0.988)</f>
        <v>0.988</v>
      </c>
      <c r="AD127" s="20">
        <f>IFERROR(__xludf.DUMMYFUNCTION("iferror(PERCENTRANK.INC(FILTER($X$2:$X$422, $U$2:$U$422&gt;=4.1), $X127), 0.01)"),0.36)</f>
        <v>0.36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-6.664466219</v>
      </c>
      <c r="AA128" s="20"/>
      <c r="AB128" s="20">
        <f>IFERROR(__xludf.DUMMYFUNCTION("iferror(PERCENTRANK.INC(FILTER($X$2:$X$422, $U$2:$U$422&lt;3.75), $X128), 1)"),0.26)</f>
        <v>0.26</v>
      </c>
      <c r="AC128" s="20">
        <f>IFERROR(__xludf.DUMMYFUNCTION("iferror(PERCENTRANK.INC(FILTER($X$2:$X$422, $U$2:$U$422&lt;4.25), $X128), 1)"),0.253)</f>
        <v>0.253</v>
      </c>
      <c r="AD128" s="20">
        <f>IFERROR(__xludf.DUMMYFUNCTION("iferror(PERCENTRANK.INC(FILTER($X$2:$X$422, $U$2:$U$422&gt;=4.1),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5.808450598</v>
      </c>
      <c r="AA129" s="20"/>
      <c r="AB129" s="20">
        <f>IFERROR(__xludf.DUMMYFUNCTION("iferror(PERCENTRANK.INC(FILTER($X$2:$X$422, $U$2:$U$422&lt;3.75), $X129), 1)"),0.933)</f>
        <v>0.933</v>
      </c>
      <c r="AC129" s="20">
        <f>IFERROR(__xludf.DUMMYFUNCTION("iferror(PERCENTRANK.INC(FILTER($X$2:$X$422, $U$2:$U$422&lt;4.25), $X129), 1)"),0.907)</f>
        <v>0.907</v>
      </c>
      <c r="AD129" s="20">
        <f>IFERROR(__xludf.DUMMYFUNCTION("iferror(PERCENTRANK.INC(FILTER($X$2:$X$422, $U$2:$U$422&gt;=4.1), $X129), 0.01)"),0.055)</f>
        <v>0.055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1.837082789</v>
      </c>
      <c r="AA130" s="20"/>
      <c r="AB130" s="20">
        <f>IFERROR(__xludf.DUMMYFUNCTION("iferror(PERCENTRANK.INC(FILTER($X$2:$X$422, $U$2:$U$422&lt;3.75), $X130), 1)"),0.747)</f>
        <v>0.747</v>
      </c>
      <c r="AC130" s="20">
        <f>IFERROR(__xludf.DUMMYFUNCTION("iferror(PERCENTRANK.INC(FILTER($X$2:$X$422, $U$2:$U$422&lt;4.25), $X130), 1)"),0.727)</f>
        <v>0.727</v>
      </c>
      <c r="AD130" s="20">
        <f>IFERROR(__xludf.DUMMYFUNCTION("iferror(PERCENTRANK.INC(FILTER($X$2:$X$422, $U$2:$U$422&gt;=4.1), $X130), 0.01)"),0.05)</f>
        <v>0.05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-0.04388200419</v>
      </c>
      <c r="AA131" s="20"/>
      <c r="AB131" s="20">
        <f>IFERROR(__xludf.DUMMYFUNCTION("iferror(PERCENTRANK.INC(FILTER($X$2:$X$422, $U$2:$U$422&lt;3.75), $X131), 1)"),0.603)</f>
        <v>0.603</v>
      </c>
      <c r="AC131" s="20">
        <f>IFERROR(__xludf.DUMMYFUNCTION("iferror(PERCENTRANK.INC(FILTER($X$2:$X$422, $U$2:$U$422&lt;4.25), $X131), 1)"),0.586)</f>
        <v>0.586</v>
      </c>
      <c r="AD131" s="20">
        <f>IFERROR(__xludf.DUMMYFUNCTION("iferror(PERCENTRANK.INC(FILTER($X$2:$X$422, $U$2:$U$422&gt;=4.1), $X131), 0.01)"),0.046)</f>
        <v>0.046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1.980417334</v>
      </c>
      <c r="AA132" s="20"/>
      <c r="AB132" s="20">
        <f>IFERROR(__xludf.DUMMYFUNCTION("iferror(PERCENTRANK.INC(FILTER($X$2:$X$422, $U$2:$U$422&lt;3.75), $X132), 1)"),0.745)</f>
        <v>0.745</v>
      </c>
      <c r="AC132" s="20">
        <f>IFERROR(__xludf.DUMMYFUNCTION("iferror(PERCENTRANK.INC(FILTER($X$2:$X$422, $U$2:$U$422&lt;4.25), $X132), 1)"),0.724)</f>
        <v>0.724</v>
      </c>
      <c r="AD132" s="20">
        <f>IFERROR(__xludf.DUMMYFUNCTION("iferror(PERCENTRANK.INC(FILTER($X$2:$X$422, $U$2:$U$422&gt;=4.1), $X132), 0.01)"),0.05)</f>
        <v>0.05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7.746594978</v>
      </c>
      <c r="AA133" s="20"/>
      <c r="AB133" s="20">
        <f>IFERROR(__xludf.DUMMYFUNCTION("iferror(PERCENTRANK.INC(FILTER($X$2:$X$422, $U$2:$U$422&lt;3.75), $X133), 1)"),0.915)</f>
        <v>0.915</v>
      </c>
      <c r="AC133" s="20">
        <f>IFERROR(__xludf.DUMMYFUNCTION("iferror(PERCENTRANK.INC(FILTER($X$2:$X$422, $U$2:$U$422&lt;4.25), $X133), 1)"),0.89)</f>
        <v>0.89</v>
      </c>
      <c r="AD133" s="20">
        <f>IFERROR(__xludf.DUMMYFUNCTION("iferror(PERCENTRANK.INC(FILTER($X$2:$X$422, $U$2:$U$422&gt;=4.1), $X133), 0.01)"),0.055)</f>
        <v>0.055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2.592590035</v>
      </c>
      <c r="AA134" s="20"/>
      <c r="AB134" s="20">
        <f>IFERROR(__xludf.DUMMYFUNCTION("iferror(PERCENTRANK.INC(FILTER($X$2:$X$422, $U$2:$U$422&lt;3.75), $X134), 1)"),0.711)</f>
        <v>0.711</v>
      </c>
      <c r="AC134" s="20">
        <f>IFERROR(__xludf.DUMMYFUNCTION("iferror(PERCENTRANK.INC(FILTER($X$2:$X$422, $U$2:$U$422&lt;4.25), $X134), 1)"),0.692)</f>
        <v>0.692</v>
      </c>
      <c r="AD134" s="20">
        <f>IFERROR(__xludf.DUMMYFUNCTION("iferror(PERCENTRANK.INC(FILTER($X$2:$X$422, $U$2:$U$422&gt;=4.1), $X134), 0.01)"),0.049)</f>
        <v>0.049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3.680546039</v>
      </c>
      <c r="AA135" s="20"/>
      <c r="AB135" s="20">
        <f>IFERROR(__xludf.DUMMYFUNCTION("iferror(PERCENTRANK.INC(FILTER($X$2:$X$422, $U$2:$U$422&lt;3.75), $X135), 1)"),0.724)</f>
        <v>0.724</v>
      </c>
      <c r="AC135" s="20">
        <f>IFERROR(__xludf.DUMMYFUNCTION("iferror(PERCENTRANK.INC(FILTER($X$2:$X$422, $U$2:$U$422&lt;4.25), $X135), 1)"),0.704)</f>
        <v>0.704</v>
      </c>
      <c r="AD135" s="20">
        <f>IFERROR(__xludf.DUMMYFUNCTION("iferror(PERCENTRANK.INC(FILTER($X$2:$X$422, $U$2:$U$422&gt;=4.1), $X135), 0.01)"),0.049)</f>
        <v>0.049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0.4217712111</v>
      </c>
      <c r="AA136" s="20"/>
      <c r="AB136" s="20">
        <f>IFERROR(__xludf.DUMMYFUNCTION("iferror(PERCENTRANK.INC(FILTER($X$2:$X$422, $U$2:$U$422&lt;3.75), $X136), 1)"),0.562)</f>
        <v>0.562</v>
      </c>
      <c r="AC136" s="20">
        <f>IFERROR(__xludf.DUMMYFUNCTION("iferror(PERCENTRANK.INC(FILTER($X$2:$X$422, $U$2:$U$422&lt;4.25), $X136), 1)"),0.546)</f>
        <v>0.546</v>
      </c>
      <c r="AD136" s="20">
        <f>IFERROR(__xludf.DUMMYFUNCTION("iferror(PERCENTRANK.INC(FILTER($X$2:$X$422, $U$2:$U$422&gt;=4.1), $X136), 0.01)"),0.045)</f>
        <v>0.045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2.946423194</v>
      </c>
      <c r="AA137" s="20"/>
      <c r="AB137" s="20">
        <f>IFERROR(__xludf.DUMMYFUNCTION("iferror(PERCENTRANK.INC(FILTER($X$2:$X$422, $U$2:$U$422&lt;3.75), $X137), 1)"),0.673)</f>
        <v>0.673</v>
      </c>
      <c r="AC137" s="20">
        <f>IFERROR(__xludf.DUMMYFUNCTION("iferror(PERCENTRANK.INC(FILTER($X$2:$X$422, $U$2:$U$422&lt;4.25), $X137), 1)"),0.654)</f>
        <v>0.654</v>
      </c>
      <c r="AD137" s="20">
        <f>IFERROR(__xludf.DUMMYFUNCTION("iferror(PERCENTRANK.INC(FILTER($X$2:$X$422, $U$2:$U$422&gt;=4.1), $X137), 0.01)"),0.048)</f>
        <v>0.048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-1.97210488</v>
      </c>
      <c r="AA138" s="20"/>
      <c r="AB138" s="20">
        <f>IFERROR(__xludf.DUMMYFUNCTION("iferror(PERCENTRANK.INC(FILTER($X$2:$X$422, $U$2:$U$422&lt;3.75), $X138), 1)"),0.394)</f>
        <v>0.394</v>
      </c>
      <c r="AC138" s="20">
        <f>IFERROR(__xludf.DUMMYFUNCTION("iferror(PERCENTRANK.INC(FILTER($X$2:$X$422, $U$2:$U$422&lt;4.25), $X138), 1)"),0.383)</f>
        <v>0.383</v>
      </c>
      <c r="AD138" s="20">
        <f>IFERROR(__xludf.DUMMYFUNCTION("iferror(PERCENTRANK.INC(FILTER($X$2:$X$422, $U$2:$U$422&gt;=4.1), $X138), 0.01)"),0.042)</f>
        <v>0.042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1.814259716</v>
      </c>
      <c r="AA139" s="20"/>
      <c r="AB139" s="20">
        <f>IFERROR(__xludf.DUMMYFUNCTION("iferror(PERCENTRANK.INC(FILTER($X$2:$X$422, $U$2:$U$422&lt;3.75), $X139), 1)"),0.693)</f>
        <v>0.693</v>
      </c>
      <c r="AC139" s="20">
        <f>IFERROR(__xludf.DUMMYFUNCTION("iferror(PERCENTRANK.INC(FILTER($X$2:$X$422, $U$2:$U$422&lt;4.25), $X139), 1)"),0.674)</f>
        <v>0.674</v>
      </c>
      <c r="AD139" s="20">
        <f>IFERROR(__xludf.DUMMYFUNCTION("iferror(PERCENTRANK.INC(FILTER($X$2:$X$422, $U$2:$U$422&gt;=4.1), $X139), 0.01)"),0.049)</f>
        <v>0.049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3.984559654</v>
      </c>
      <c r="AA140" s="20"/>
      <c r="AB140" s="20">
        <f>IFERROR(__xludf.DUMMYFUNCTION("iferror(PERCENTRANK.INC(FILTER($X$2:$X$422, $U$2:$U$422&lt;3.75), $X140), 1)"),0.755)</f>
        <v>0.755</v>
      </c>
      <c r="AC140" s="20">
        <f>IFERROR(__xludf.DUMMYFUNCTION("iferror(PERCENTRANK.INC(FILTER($X$2:$X$422, $U$2:$U$422&lt;4.25), $X140), 1)"),0.734)</f>
        <v>0.734</v>
      </c>
      <c r="AD140" s="20">
        <f>IFERROR(__xludf.DUMMYFUNCTION("iferror(PERCENTRANK.INC(FILTER($X$2:$X$422, $U$2:$U$422&gt;=4.1), $X140), 0.01)"),0.05)</f>
        <v>0.05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-2.911558144</v>
      </c>
      <c r="AA141" s="20"/>
      <c r="AB141" s="20">
        <f>IFERROR(__xludf.DUMMYFUNCTION("iferror(PERCENTRANK.INC(FILTER($X$2:$X$422, $U$2:$U$422&lt;3.75), $X141), 1)"),0.317)</f>
        <v>0.317</v>
      </c>
      <c r="AC141" s="20">
        <f>IFERROR(__xludf.DUMMYFUNCTION("iferror(PERCENTRANK.INC(FILTER($X$2:$X$422, $U$2:$U$422&lt;4.25), $X141), 1)"),0.308)</f>
        <v>0.308</v>
      </c>
      <c r="AD141" s="20">
        <f>IFERROR(__xludf.DUMMYFUNCTION("iferror(PERCENTRANK.INC(FILTER($X$2:$X$422, $U$2:$U$422&gt;=4.1), $X141), 0.01)"),0.041)</f>
        <v>0.041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3.329131038</v>
      </c>
      <c r="AA142" s="20"/>
      <c r="AB142" s="20">
        <f>IFERROR(__xludf.DUMMYFUNCTION("iferror(PERCENTRANK.INC(FILTER($X$2:$X$422, $U$2:$U$422&lt;3.75), $X142), 1)"),0.727)</f>
        <v>0.727</v>
      </c>
      <c r="AC142" s="20">
        <f>IFERROR(__xludf.DUMMYFUNCTION("iferror(PERCENTRANK.INC(FILTER($X$2:$X$422, $U$2:$U$422&lt;4.25), $X142), 1)"),0.707)</f>
        <v>0.707</v>
      </c>
      <c r="AD142" s="20">
        <f>IFERROR(__xludf.DUMMYFUNCTION("iferror(PERCENTRANK.INC(FILTER($X$2:$X$422, $U$2:$U$422&gt;=4.1), $X142), 0.01)"),0.049)</f>
        <v>0.049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6.094144802</v>
      </c>
      <c r="AA143" s="20"/>
      <c r="AB143" s="20">
        <f>IFERROR(__xludf.DUMMYFUNCTION("iferror(PERCENTRANK.INC(FILTER($X$2:$X$422, $U$2:$U$422&lt;3.75), $X143), 1)"),0.799)</f>
        <v>0.799</v>
      </c>
      <c r="AC143" s="20">
        <f>IFERROR(__xludf.DUMMYFUNCTION("iferror(PERCENTRANK.INC(FILTER($X$2:$X$422, $U$2:$U$422&lt;4.25), $X143), 1)"),0.777)</f>
        <v>0.777</v>
      </c>
      <c r="AD143" s="20">
        <f>IFERROR(__xludf.DUMMYFUNCTION("iferror(PERCENTRANK.INC(FILTER($X$2:$X$422, $U$2:$U$422&gt;=4.1), $X143), 0.01)"),0.051)</f>
        <v>0.051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42.94580834</v>
      </c>
      <c r="AA144" s="20"/>
      <c r="AB144" s="20">
        <f>IFERROR(__xludf.DUMMYFUNCTION("iferror(PERCENTRANK.INC(FILTER($X$2:$X$422, $U$2:$U$422&lt;3.75), $X144), 1)"),0.996)</f>
        <v>0.996</v>
      </c>
      <c r="AC144" s="20">
        <f>IFERROR(__xludf.DUMMYFUNCTION("iferror(PERCENTRANK.INC(FILTER($X$2:$X$422, $U$2:$U$422&lt;4.25), $X144), 1)"),0.995)</f>
        <v>0.995</v>
      </c>
      <c r="AD144" s="20">
        <f>IFERROR(__xludf.DUMMYFUNCTION("iferror(PERCENTRANK.INC(FILTER($X$2:$X$422, $U$2:$U$422&gt;=4.1), $X144), 0.01)"),0.52)</f>
        <v>0.52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1.544292693</v>
      </c>
      <c r="AA145" s="20"/>
      <c r="AB145" s="20">
        <f>IFERROR(__xludf.DUMMYFUNCTION("iferror(PERCENTRANK.INC(FILTER($X$2:$X$422, $U$2:$U$422&lt;3.75), $X145), 1)"),0.521)</f>
        <v>0.521</v>
      </c>
      <c r="AC145" s="20">
        <f>IFERROR(__xludf.DUMMYFUNCTION("iferror(PERCENTRANK.INC(FILTER($X$2:$X$422, $U$2:$U$422&lt;4.25), $X145), 1)"),0.506)</f>
        <v>0.506</v>
      </c>
      <c r="AD145" s="20">
        <f>IFERROR(__xludf.DUMMYFUNCTION("iferror(PERCENTRANK.INC(FILTER($X$2:$X$422, $U$2:$U$422&gt;=4.1), $X145), 0.01)"),0.044)</f>
        <v>0.044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3.241702775</v>
      </c>
      <c r="AA146" s="20"/>
      <c r="AB146" s="20">
        <f>IFERROR(__xludf.DUMMYFUNCTION("iferror(PERCENTRANK.INC(FILTER($X$2:$X$422, $U$2:$U$422&lt;3.75), $X146), 1)"),0.619)</f>
        <v>0.619</v>
      </c>
      <c r="AC146" s="20">
        <f>IFERROR(__xludf.DUMMYFUNCTION("iferror(PERCENTRANK.INC(FILTER($X$2:$X$422, $U$2:$U$422&lt;4.25), $X146), 1)"),0.602)</f>
        <v>0.602</v>
      </c>
      <c r="AD146" s="20">
        <f>IFERROR(__xludf.DUMMYFUNCTION("iferror(PERCENTRANK.INC(FILTER($X$2:$X$422, $U$2:$U$422&gt;=4.1), $X146), 0.01)"),0.047)</f>
        <v>0.047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9.573869624</v>
      </c>
      <c r="AA147" s="20"/>
      <c r="AB147" s="20">
        <f>IFERROR(__xludf.DUMMYFUNCTION("iferror(PERCENTRANK.INC(FILTER($X$2:$X$422, $U$2:$U$422&lt;3.75), $X147), 1)"),0.894)</f>
        <v>0.894</v>
      </c>
      <c r="AC147" s="20">
        <f>IFERROR(__xludf.DUMMYFUNCTION("iferror(PERCENTRANK.INC(FILTER($X$2:$X$422, $U$2:$U$422&lt;4.25), $X147), 1)"),0.87)</f>
        <v>0.87</v>
      </c>
      <c r="AD147" s="20">
        <f>IFERROR(__xludf.DUMMYFUNCTION("iferror(PERCENTRANK.INC(FILTER($X$2:$X$422, $U$2:$U$422&gt;=4.1), $X147), 0.01)"),0.054)</f>
        <v>0.054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4.123840866</v>
      </c>
      <c r="AA148" s="20"/>
      <c r="AB148" s="20">
        <f>IFERROR(__xludf.DUMMYFUNCTION("iferror(PERCENTRANK.INC(FILTER($X$2:$X$422, $U$2:$U$422&lt;3.75), $X148), 1)"),0.709)</f>
        <v>0.709</v>
      </c>
      <c r="AC148" s="20">
        <f>IFERROR(__xludf.DUMMYFUNCTION("iferror(PERCENTRANK.INC(FILTER($X$2:$X$422, $U$2:$U$422&lt;4.25), $X148), 1)"),0.689)</f>
        <v>0.689</v>
      </c>
      <c r="AD148" s="20">
        <f>IFERROR(__xludf.DUMMYFUNCTION("iferror(PERCENTRANK.INC(FILTER($X$2:$X$422, $U$2:$U$422&gt;=4.1), $X148), 0.01)"),0.049)</f>
        <v>0.049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1.638017361</v>
      </c>
      <c r="AA149" s="20"/>
      <c r="AB149" s="20">
        <f>IFERROR(__xludf.DUMMYFUNCTION("iferror(PERCENTRANK.INC(FILTER($X$2:$X$422, $U$2:$U$422&lt;3.75), $X149), 1)"),0.582)</f>
        <v>0.582</v>
      </c>
      <c r="AC149" s="20">
        <f>IFERROR(__xludf.DUMMYFUNCTION("iferror(PERCENTRANK.INC(FILTER($X$2:$X$422, $U$2:$U$422&lt;4.25), $X149), 1)"),0.566)</f>
        <v>0.566</v>
      </c>
      <c r="AD149" s="20">
        <f>IFERROR(__xludf.DUMMYFUNCTION("iferror(PERCENTRANK.INC(FILTER($X$2:$X$422, $U$2:$U$422&gt;=4.1), $X149), 0.01)"),0.046)</f>
        <v>0.046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-2.844417521</v>
      </c>
      <c r="AA150" s="20"/>
      <c r="AB150" s="20">
        <f>IFERROR(__xludf.DUMMYFUNCTION("iferror(PERCENTRANK.INC(FILTER($X$2:$X$422, $U$2:$U$422&lt;3.75), $X150), 1)"),0.26)</f>
        <v>0.26</v>
      </c>
      <c r="AC150" s="20">
        <f>IFERROR(__xludf.DUMMYFUNCTION("iferror(PERCENTRANK.INC(FILTER($X$2:$X$422, $U$2:$U$422&lt;4.25), $X150), 1)"),0.253)</f>
        <v>0.253</v>
      </c>
      <c r="AD150" s="20">
        <f>IFERROR(__xludf.DUMMYFUNCTION("iferror(PERCENTRANK.INC(FILTER($X$2:$X$422, $U$2:$U$422&gt;=4.1),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3.430928866</v>
      </c>
      <c r="AA151" s="20"/>
      <c r="AB151" s="20">
        <f>IFERROR(__xludf.DUMMYFUNCTION("iferror(PERCENTRANK.INC(FILTER($X$2:$X$422, $U$2:$U$422&lt;3.75), $X151), 1)"),0.652)</f>
        <v>0.652</v>
      </c>
      <c r="AC151" s="20">
        <f>IFERROR(__xludf.DUMMYFUNCTION("iferror(PERCENTRANK.INC(FILTER($X$2:$X$422, $U$2:$U$422&lt;4.25), $X151), 1)"),0.634)</f>
        <v>0.634</v>
      </c>
      <c r="AD151" s="20">
        <f>IFERROR(__xludf.DUMMYFUNCTION("iferror(PERCENTRANK.INC(FILTER($X$2:$X$422, $U$2:$U$422&gt;=4.1), $X151), 0.01)"),0.048)</f>
        <v>0.048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4.60032637</v>
      </c>
      <c r="AA152" s="20"/>
      <c r="AB152" s="20">
        <f>IFERROR(__xludf.DUMMYFUNCTION("iferror(PERCENTRANK.INC(FILTER($X$2:$X$422, $U$2:$U$422&lt;3.75), $X152), 1)"),0.665)</f>
        <v>0.665</v>
      </c>
      <c r="AC152" s="20">
        <f>IFERROR(__xludf.DUMMYFUNCTION("iferror(PERCENTRANK.INC(FILTER($X$2:$X$422, $U$2:$U$422&lt;4.25), $X152), 1)"),0.647)</f>
        <v>0.647</v>
      </c>
      <c r="AD152" s="20">
        <f>IFERROR(__xludf.DUMMYFUNCTION("iferror(PERCENTRANK.INC(FILTER($X$2:$X$422, $U$2:$U$422&gt;=4.1), $X152), 0.01)"),0.048)</f>
        <v>0.048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4.605682342</v>
      </c>
      <c r="AA153" s="20"/>
      <c r="AB153" s="20">
        <f>IFERROR(__xludf.DUMMYFUNCTION("iferror(PERCENTRANK.INC(FILTER($X$2:$X$422, $U$2:$U$422&lt;3.75), $X153), 1)"),0.704)</f>
        <v>0.704</v>
      </c>
      <c r="AC153" s="20">
        <f>IFERROR(__xludf.DUMMYFUNCTION("iferror(PERCENTRANK.INC(FILTER($X$2:$X$422, $U$2:$U$422&lt;4.25), $X153), 1)"),0.684)</f>
        <v>0.684</v>
      </c>
      <c r="AD153" s="20">
        <f>IFERROR(__xludf.DUMMYFUNCTION("iferror(PERCENTRANK.INC(FILTER($X$2:$X$422, $U$2:$U$422&gt;=4.1), $X153), 0.01)"),0.049)</f>
        <v>0.049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1.128154042</v>
      </c>
      <c r="AA154" s="20"/>
      <c r="AB154" s="20">
        <f>IFERROR(__xludf.DUMMYFUNCTION("iferror(PERCENTRANK.INC(FILTER($X$2:$X$422, $U$2:$U$422&lt;3.75), $X154), 1)"),0.477)</f>
        <v>0.477</v>
      </c>
      <c r="AC154" s="20">
        <f>IFERROR(__xludf.DUMMYFUNCTION("iferror(PERCENTRANK.INC(FILTER($X$2:$X$422, $U$2:$U$422&lt;4.25), $X154), 1)"),0.464)</f>
        <v>0.464</v>
      </c>
      <c r="AD154" s="20">
        <f>IFERROR(__xludf.DUMMYFUNCTION("iferror(PERCENTRANK.INC(FILTER($X$2:$X$422, $U$2:$U$422&gt;=4.1), $X154), 0.01)"),0.043)</f>
        <v>0.043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0.8750536535</v>
      </c>
      <c r="AA155" s="20"/>
      <c r="AB155" s="20">
        <f>IFERROR(__xludf.DUMMYFUNCTION("iferror(PERCENTRANK.INC(FILTER($X$2:$X$422, $U$2:$U$422&lt;3.75), $X155), 1)"),0.469)</f>
        <v>0.469</v>
      </c>
      <c r="AC155" s="20">
        <f>IFERROR(__xludf.DUMMYFUNCTION("iferror(PERCENTRANK.INC(FILTER($X$2:$X$422, $U$2:$U$422&lt;4.25), $X155), 1)"),0.456)</f>
        <v>0.456</v>
      </c>
      <c r="AD155" s="20">
        <f>IFERROR(__xludf.DUMMYFUNCTION("iferror(PERCENTRANK.INC(FILTER($X$2:$X$422, $U$2:$U$422&gt;=4.1), $X155), 0.01)"),0.043)</f>
        <v>0.043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3.528667505</v>
      </c>
      <c r="AA156" s="20"/>
      <c r="AB156" s="20">
        <f>IFERROR(__xludf.DUMMYFUNCTION("iferror(PERCENTRANK.INC(FILTER($X$2:$X$422, $U$2:$U$422&lt;3.75), $X156), 1)"),0.559)</f>
        <v>0.559</v>
      </c>
      <c r="AC156" s="20">
        <f>IFERROR(__xludf.DUMMYFUNCTION("iferror(PERCENTRANK.INC(FILTER($X$2:$X$422, $U$2:$U$422&lt;4.25), $X156), 1)"),0.544)</f>
        <v>0.544</v>
      </c>
      <c r="AD156" s="20">
        <f>IFERROR(__xludf.DUMMYFUNCTION("iferror(PERCENTRANK.INC(FILTER($X$2:$X$422, $U$2:$U$422&gt;=4.1), $X156), 0.01)"),0.045)</f>
        <v>0.045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-2.398315465</v>
      </c>
      <c r="AA157" s="20"/>
      <c r="AB157" s="20">
        <f>IFERROR(__xludf.DUMMYFUNCTION("iferror(PERCENTRANK.INC(FILTER($X$2:$X$422, $U$2:$U$422&lt;3.75), $X157), 1)"),0.113)</f>
        <v>0.113</v>
      </c>
      <c r="AC157" s="20">
        <f>IFERROR(__xludf.DUMMYFUNCTION("iferror(PERCENTRANK.INC(FILTER($X$2:$X$422, $U$2:$U$422&lt;4.25), $X157), 1)"),0.11)</f>
        <v>0.11</v>
      </c>
      <c r="AD157" s="20">
        <f>IFERROR(__xludf.DUMMYFUNCTION("iferror(PERCENTRANK.INC(FILTER($X$2:$X$422, $U$2:$U$422&gt;=4.1),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5.026102451</v>
      </c>
      <c r="AA158" s="20"/>
      <c r="AB158" s="20">
        <f>IFERROR(__xludf.DUMMYFUNCTION("iferror(PERCENTRANK.INC(FILTER($X$2:$X$422, $U$2:$U$422&lt;3.75), $X158), 1)"),0.613)</f>
        <v>0.613</v>
      </c>
      <c r="AC158" s="20">
        <f>IFERROR(__xludf.DUMMYFUNCTION("iferror(PERCENTRANK.INC(FILTER($X$2:$X$422, $U$2:$U$422&lt;4.25), $X158), 1)"),0.596)</f>
        <v>0.596</v>
      </c>
      <c r="AD158" s="20">
        <f>IFERROR(__xludf.DUMMYFUNCTION("iferror(PERCENTRANK.INC(FILTER($X$2:$X$422, $U$2:$U$422&gt;=4.1), $X158), 0.01)"),0.047)</f>
        <v>0.047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7.786389671</v>
      </c>
      <c r="AA159" s="20"/>
      <c r="AB159" s="20">
        <f>IFERROR(__xludf.DUMMYFUNCTION("iferror(PERCENTRANK.INC(FILTER($X$2:$X$422, $U$2:$U$422&lt;3.75), $X159), 1)"),0.722)</f>
        <v>0.722</v>
      </c>
      <c r="AC159" s="20">
        <f>IFERROR(__xludf.DUMMYFUNCTION("iferror(PERCENTRANK.INC(FILTER($X$2:$X$422, $U$2:$U$422&lt;4.25), $X159), 1)"),0.702)</f>
        <v>0.702</v>
      </c>
      <c r="AD159" s="20">
        <f>IFERROR(__xludf.DUMMYFUNCTION("iferror(PERCENTRANK.INC(FILTER($X$2:$X$422, $U$2:$U$422&gt;=4.1), $X159), 0.01)"),0.049)</f>
        <v>0.049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5.980740613</v>
      </c>
      <c r="AA160" s="20"/>
      <c r="AB160" s="20">
        <f>IFERROR(__xludf.DUMMYFUNCTION("iferror(PERCENTRANK.INC(FILTER($X$2:$X$422, $U$2:$U$422&lt;3.75), $X160), 1)"),0.655)</f>
        <v>0.655</v>
      </c>
      <c r="AC160" s="20">
        <f>IFERROR(__xludf.DUMMYFUNCTION("iferror(PERCENTRANK.INC(FILTER($X$2:$X$422, $U$2:$U$422&lt;4.25), $X160), 1)"),0.637)</f>
        <v>0.637</v>
      </c>
      <c r="AD160" s="20">
        <f>IFERROR(__xludf.DUMMYFUNCTION("iferror(PERCENTRANK.INC(FILTER($X$2:$X$422, $U$2:$U$422&gt;=4.1), $X160), 0.01)"),0.048)</f>
        <v>0.048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5.419172646</v>
      </c>
      <c r="AA161" s="20"/>
      <c r="AB161" s="20">
        <f>IFERROR(__xludf.DUMMYFUNCTION("iferror(PERCENTRANK.INC(FILTER($X$2:$X$422, $U$2:$U$422&lt;3.75), $X161), 1)"),0.657)</f>
        <v>0.657</v>
      </c>
      <c r="AC161" s="20">
        <f>IFERROR(__xludf.DUMMYFUNCTION("iferror(PERCENTRANK.INC(FILTER($X$2:$X$422, $U$2:$U$422&lt;4.25), $X161), 1)"),0.639)</f>
        <v>0.639</v>
      </c>
      <c r="AD161" s="20">
        <f>IFERROR(__xludf.DUMMYFUNCTION("iferror(PERCENTRANK.INC(FILTER($X$2:$X$422, $U$2:$U$422&gt;=4.1), $X161), 0.01)"),0.048)</f>
        <v>0.048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3.206261966</v>
      </c>
      <c r="AA162" s="20"/>
      <c r="AB162" s="20">
        <f>IFERROR(__xludf.DUMMYFUNCTION("iferror(PERCENTRANK.INC(FILTER($X$2:$X$422, $U$2:$U$422&lt;3.75), $X162), 1)"),0.487)</f>
        <v>0.487</v>
      </c>
      <c r="AC162" s="20">
        <f>IFERROR(__xludf.DUMMYFUNCTION("iferror(PERCENTRANK.INC(FILTER($X$2:$X$422, $U$2:$U$422&lt;4.25), $X162), 1)"),0.474)</f>
        <v>0.474</v>
      </c>
      <c r="AD162" s="20">
        <f>IFERROR(__xludf.DUMMYFUNCTION("iferror(PERCENTRANK.INC(FILTER($X$2:$X$422, $U$2:$U$422&gt;=4.1), $X162), 0.01)"),0.043)</f>
        <v>0.043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5.099458231</v>
      </c>
      <c r="AA163" s="20"/>
      <c r="AB163" s="20">
        <f>IFERROR(__xludf.DUMMYFUNCTION("iferror(PERCENTRANK.INC(FILTER($X$2:$X$422, $U$2:$U$422&lt;3.75), $X163), 1)"),0.634)</f>
        <v>0.634</v>
      </c>
      <c r="AC163" s="20">
        <f>IFERROR(__xludf.DUMMYFUNCTION("iferror(PERCENTRANK.INC(FILTER($X$2:$X$422, $U$2:$U$422&lt;4.25), $X163), 1)"),0.617)</f>
        <v>0.617</v>
      </c>
      <c r="AD163" s="20">
        <f>IFERROR(__xludf.DUMMYFUNCTION("iferror(PERCENTRANK.INC(FILTER($X$2:$X$422, $U$2:$U$422&gt;=4.1), $X163), 0.01)"),0.047)</f>
        <v>0.047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6.469525382</v>
      </c>
      <c r="AA164" s="20"/>
      <c r="AB164" s="20">
        <f>IFERROR(__xludf.DUMMYFUNCTION("iferror(PERCENTRANK.INC(FILTER($X$2:$X$422, $U$2:$U$422&lt;3.75), $X164), 1)"),0.66)</f>
        <v>0.66</v>
      </c>
      <c r="AC164" s="20">
        <f>IFERROR(__xludf.DUMMYFUNCTION("iferror(PERCENTRANK.INC(FILTER($X$2:$X$422, $U$2:$U$422&lt;4.25), $X164), 1)"),0.642)</f>
        <v>0.642</v>
      </c>
      <c r="AD164" s="20">
        <f>IFERROR(__xludf.DUMMYFUNCTION("iferror(PERCENTRANK.INC(FILTER($X$2:$X$422, $U$2:$U$422&gt;=4.1), $X164), 0.01)"),0.048)</f>
        <v>0.048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0.1445141325</v>
      </c>
      <c r="AA165" s="20"/>
      <c r="AB165" s="20">
        <f>IFERROR(__xludf.DUMMYFUNCTION("iferror(PERCENTRANK.INC(FILTER($X$2:$X$422, $U$2:$U$422&lt;3.75), $X165), 1)"),0.196)</f>
        <v>0.196</v>
      </c>
      <c r="AC165" s="20">
        <f>IFERROR(__xludf.DUMMYFUNCTION("iferror(PERCENTRANK.INC(FILTER($X$2:$X$422, $U$2:$U$422&lt;4.25), $X165), 1)"),0.19)</f>
        <v>0.19</v>
      </c>
      <c r="AD165" s="20">
        <f>IFERROR(__xludf.DUMMYFUNCTION("iferror(PERCENTRANK.INC(FILTER($X$2:$X$422, $U$2:$U$422&gt;=4.1),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6.151178287</v>
      </c>
      <c r="AA166" s="20"/>
      <c r="AB166" s="20">
        <f>IFERROR(__xludf.DUMMYFUNCTION("iferror(PERCENTRANK.INC(FILTER($X$2:$X$422, $U$2:$U$422&lt;3.75), $X166), 1)"),0.626)</f>
        <v>0.626</v>
      </c>
      <c r="AC166" s="20">
        <f>IFERROR(__xludf.DUMMYFUNCTION("iferror(PERCENTRANK.INC(FILTER($X$2:$X$422, $U$2:$U$422&lt;4.25), $X166), 1)"),0.609)</f>
        <v>0.609</v>
      </c>
      <c r="AD166" s="20">
        <f>IFERROR(__xludf.DUMMYFUNCTION("iferror(PERCENTRANK.INC(FILTER($X$2:$X$422, $U$2:$U$422&gt;=4.1), $X166), 0.01)"),0.047)</f>
        <v>0.047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3.305564395</v>
      </c>
      <c r="AA167" s="20"/>
      <c r="AB167" s="20">
        <f>IFERROR(__xludf.DUMMYFUNCTION("iferror(PERCENTRANK.INC(FILTER($X$2:$X$422, $U$2:$U$422&lt;3.75), $X167), 1)"),0.485)</f>
        <v>0.485</v>
      </c>
      <c r="AC167" s="20">
        <f>IFERROR(__xludf.DUMMYFUNCTION("iferror(PERCENTRANK.INC(FILTER($X$2:$X$422, $U$2:$U$422&lt;4.25), $X167), 1)"),0.471)</f>
        <v>0.471</v>
      </c>
      <c r="AD167" s="20">
        <f>IFERROR(__xludf.DUMMYFUNCTION("iferror(PERCENTRANK.INC(FILTER($X$2:$X$422, $U$2:$U$422&gt;=4.1), $X167), 0.01)"),0.043)</f>
        <v>0.043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4.402145821</v>
      </c>
      <c r="AA168" s="20"/>
      <c r="AB168" s="20">
        <f>IFERROR(__xludf.DUMMYFUNCTION("iferror(PERCENTRANK.INC(FILTER($X$2:$X$422, $U$2:$U$422&lt;3.75), $X168), 1)"),0.482)</f>
        <v>0.482</v>
      </c>
      <c r="AC168" s="20">
        <f>IFERROR(__xludf.DUMMYFUNCTION("iferror(PERCENTRANK.INC(FILTER($X$2:$X$422, $U$2:$U$422&lt;4.25), $X168), 1)"),0.469)</f>
        <v>0.469</v>
      </c>
      <c r="AD168" s="20">
        <f>IFERROR(__xludf.DUMMYFUNCTION("iferror(PERCENTRANK.INC(FILTER($X$2:$X$422, $U$2:$U$422&gt;=4.1), $X168), 0.01)"),0.043)</f>
        <v>0.043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3.868508169</v>
      </c>
      <c r="AA169" s="20"/>
      <c r="AB169" s="20">
        <f>IFERROR(__xludf.DUMMYFUNCTION("iferror(PERCENTRANK.INC(FILTER($X$2:$X$422, $U$2:$U$422&lt;3.75), $X169), 1)"),0.381)</f>
        <v>0.381</v>
      </c>
      <c r="AC169" s="20">
        <f>IFERROR(__xludf.DUMMYFUNCTION("iferror(PERCENTRANK.INC(FILTER($X$2:$X$422, $U$2:$U$422&lt;4.25), $X169), 1)"),0.371)</f>
        <v>0.371</v>
      </c>
      <c r="AD169" s="20">
        <f>IFERROR(__xludf.DUMMYFUNCTION("iferror(PERCENTRANK.INC(FILTER($X$2:$X$422, $U$2:$U$422&gt;=4.1), $X169), 0.01)"),0.042)</f>
        <v>0.042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9.199755778</v>
      </c>
      <c r="AA170" s="20"/>
      <c r="AB170" s="20">
        <f>IFERROR(__xludf.DUMMYFUNCTION("iferror(PERCENTRANK.INC(FILTER($X$2:$X$422, $U$2:$U$422&lt;3.75), $X170), 1)"),0.716)</f>
        <v>0.716</v>
      </c>
      <c r="AC170" s="20">
        <f>IFERROR(__xludf.DUMMYFUNCTION("iferror(PERCENTRANK.INC(FILTER($X$2:$X$422, $U$2:$U$422&lt;4.25), $X170), 1)"),0.697)</f>
        <v>0.697</v>
      </c>
      <c r="AD170" s="20">
        <f>IFERROR(__xludf.DUMMYFUNCTION("iferror(PERCENTRANK.INC(FILTER($X$2:$X$422, $U$2:$U$422&gt;=4.1), $X170), 0.01)"),0.049)</f>
        <v>0.049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3.723855871</v>
      </c>
      <c r="AA171" s="20"/>
      <c r="AB171" s="20">
        <f>IFERROR(__xludf.DUMMYFUNCTION("iferror(PERCENTRANK.INC(FILTER($X$2:$X$422, $U$2:$U$422&lt;3.75), $X171), 1)"),0.423)</f>
        <v>0.423</v>
      </c>
      <c r="AC171" s="20">
        <f>IFERROR(__xludf.DUMMYFUNCTION("iferror(PERCENTRANK.INC(FILTER($X$2:$X$422, $U$2:$U$422&lt;4.25), $X171), 1)"),0.411)</f>
        <v>0.411</v>
      </c>
      <c r="AD171" s="20">
        <f>IFERROR(__xludf.DUMMYFUNCTION("iferror(PERCENTRANK.INC(FILTER($X$2:$X$422, $U$2:$U$422&gt;=4.1), $X171), 0.01)"),0.042)</f>
        <v>0.042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7.566153969</v>
      </c>
      <c r="AA172" s="20"/>
      <c r="AB172" s="20">
        <f>IFERROR(__xludf.DUMMYFUNCTION("iferror(PERCENTRANK.INC(FILTER($X$2:$X$422, $U$2:$U$422&lt;3.75), $X172), 1)"),0.647)</f>
        <v>0.647</v>
      </c>
      <c r="AC172" s="20">
        <f>IFERROR(__xludf.DUMMYFUNCTION("iferror(PERCENTRANK.INC(FILTER($X$2:$X$422, $U$2:$U$422&lt;4.25), $X172), 1)"),0.629)</f>
        <v>0.629</v>
      </c>
      <c r="AD172" s="20">
        <f>IFERROR(__xludf.DUMMYFUNCTION("iferror(PERCENTRANK.INC(FILTER($X$2:$X$422, $U$2:$U$422&gt;=4.1), $X172), 0.01)"),0.048)</f>
        <v>0.048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6.224541354</v>
      </c>
      <c r="AA173" s="20"/>
      <c r="AB173" s="20">
        <f>IFERROR(__xludf.DUMMYFUNCTION("iferror(PERCENTRANK.INC(FILTER($X$2:$X$422, $U$2:$U$422&lt;3.75), $X173), 1)"),0.564)</f>
        <v>0.564</v>
      </c>
      <c r="AC173" s="20">
        <f>IFERROR(__xludf.DUMMYFUNCTION("iferror(PERCENTRANK.INC(FILTER($X$2:$X$422, $U$2:$U$422&lt;4.25), $X173), 1)"),0.549)</f>
        <v>0.549</v>
      </c>
      <c r="AD173" s="20">
        <f>IFERROR(__xludf.DUMMYFUNCTION("iferror(PERCENTRANK.INC(FILTER($X$2:$X$422, $U$2:$U$422&gt;=4.1), $X173), 0.01)"),0.045)</f>
        <v>0.045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2.253808411</v>
      </c>
      <c r="AA174" s="20"/>
      <c r="AB174" s="20">
        <f>IFERROR(__xludf.DUMMYFUNCTION("iferror(PERCENTRANK.INC(FILTER($X$2:$X$422, $U$2:$U$422&lt;3.75), $X174), 1)"),0.186)</f>
        <v>0.186</v>
      </c>
      <c r="AC174" s="20">
        <f>IFERROR(__xludf.DUMMYFUNCTION("iferror(PERCENTRANK.INC(FILTER($X$2:$X$422, $U$2:$U$422&lt;4.25), $X174), 1)"),0.18)</f>
        <v>0.18</v>
      </c>
      <c r="AD174" s="20">
        <f>IFERROR(__xludf.DUMMYFUNCTION("iferror(PERCENTRANK.INC(FILTER($X$2:$X$422, $U$2:$U$422&gt;=4.1),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5.569149908</v>
      </c>
      <c r="AA175" s="20"/>
      <c r="AB175" s="20">
        <f>IFERROR(__xludf.DUMMYFUNCTION("iferror(PERCENTRANK.INC(FILTER($X$2:$X$422, $U$2:$U$422&lt;3.75), $X175), 1)"),0.508)</f>
        <v>0.508</v>
      </c>
      <c r="AC175" s="20">
        <f>IFERROR(__xludf.DUMMYFUNCTION("iferror(PERCENTRANK.INC(FILTER($X$2:$X$422, $U$2:$U$422&lt;4.25), $X175), 1)"),0.494)</f>
        <v>0.494</v>
      </c>
      <c r="AD175" s="20">
        <f>IFERROR(__xludf.DUMMYFUNCTION("iferror(PERCENTRANK.INC(FILTER($X$2:$X$422, $U$2:$U$422&gt;=4.1), $X175), 0.01)"),0.044)</f>
        <v>0.044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9.116415042</v>
      </c>
      <c r="AA176" s="20"/>
      <c r="AB176" s="20">
        <f>IFERROR(__xludf.DUMMYFUNCTION("iferror(PERCENTRANK.INC(FILTER($X$2:$X$422, $U$2:$U$422&lt;3.75), $X176), 1)"),0.678)</f>
        <v>0.678</v>
      </c>
      <c r="AC176" s="20">
        <f>IFERROR(__xludf.DUMMYFUNCTION("iferror(PERCENTRANK.INC(FILTER($X$2:$X$422, $U$2:$U$422&lt;4.25), $X176), 1)"),0.659)</f>
        <v>0.659</v>
      </c>
      <c r="AD176" s="20">
        <f>IFERROR(__xludf.DUMMYFUNCTION("iferror(PERCENTRANK.INC(FILTER($X$2:$X$422, $U$2:$U$422&gt;=4.1), $X176), 0.01)"),0.048)</f>
        <v>0.048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5.167890556</v>
      </c>
      <c r="AA177" s="20"/>
      <c r="AB177" s="20">
        <f>IFERROR(__xludf.DUMMYFUNCTION("iferror(PERCENTRANK.INC(FILTER($X$2:$X$422, $U$2:$U$422&lt;3.75), $X177), 1)"),0.379)</f>
        <v>0.379</v>
      </c>
      <c r="AC177" s="20">
        <f>IFERROR(__xludf.DUMMYFUNCTION("iferror(PERCENTRANK.INC(FILTER($X$2:$X$422, $U$2:$U$422&lt;4.25), $X177), 1)"),0.368)</f>
        <v>0.368</v>
      </c>
      <c r="AD177" s="20">
        <f>IFERROR(__xludf.DUMMYFUNCTION("iferror(PERCENTRANK.INC(FILTER($X$2:$X$422, $U$2:$U$422&gt;=4.1), $X177), 0.01)"),0.042)</f>
        <v>0.042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-9.366751552</v>
      </c>
      <c r="AA178" s="20"/>
      <c r="AB178" s="20">
        <f>IFERROR(__xludf.DUMMYFUNCTION("iferror(PERCENTRANK.INC(FILTER($X$2:$X$422, $U$2:$U$422&lt;3.75), $X178), 1)"),0.013)</f>
        <v>0.013</v>
      </c>
      <c r="AC178" s="20">
        <f>IFERROR(__xludf.DUMMYFUNCTION("iferror(PERCENTRANK.INC(FILTER($X$2:$X$422, $U$2:$U$422&lt;4.25), $X178), 1)"),0.013)</f>
        <v>0.013</v>
      </c>
      <c r="AD178" s="20">
        <f>IFERROR(__xludf.DUMMYFUNCTION("iferror(PERCENTRANK.INC(FILTER($X$2:$X$422, $U$2:$U$422&gt;=4.1),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7.82859353</v>
      </c>
      <c r="AA179" s="20"/>
      <c r="AB179" s="20">
        <f>IFERROR(__xludf.DUMMYFUNCTION("iferror(PERCENTRANK.INC(FILTER($X$2:$X$422, $U$2:$U$422&lt;3.75), $X179), 1)"),0.546)</f>
        <v>0.546</v>
      </c>
      <c r="AC179" s="20">
        <f>IFERROR(__xludf.DUMMYFUNCTION("iferror(PERCENTRANK.INC(FILTER($X$2:$X$422, $U$2:$U$422&lt;4.25), $X179), 1)"),0.531)</f>
        <v>0.531</v>
      </c>
      <c r="AD179" s="20">
        <f>IFERROR(__xludf.DUMMYFUNCTION("iferror(PERCENTRANK.INC(FILTER($X$2:$X$422, $U$2:$U$422&gt;=4.1), $X179), 0.01)"),0.045)</f>
        <v>0.045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13.76087096</v>
      </c>
      <c r="AA180" s="20"/>
      <c r="AB180" s="20">
        <f>IFERROR(__xludf.DUMMYFUNCTION("iferror(PERCENTRANK.INC(FILTER($X$2:$X$422, $U$2:$U$422&lt;3.75), $X180), 1)"),0.843)</f>
        <v>0.843</v>
      </c>
      <c r="AC180" s="20">
        <f>IFERROR(__xludf.DUMMYFUNCTION("iferror(PERCENTRANK.INC(FILTER($X$2:$X$422, $U$2:$U$422&lt;4.25), $X180), 1)"),0.82)</f>
        <v>0.82</v>
      </c>
      <c r="AD180" s="20">
        <f>IFERROR(__xludf.DUMMYFUNCTION("iferror(PERCENTRANK.INC(FILTER($X$2:$X$422, $U$2:$U$422&gt;=4.1), $X180), 0.01)"),0.053)</f>
        <v>0.053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8.357022305</v>
      </c>
      <c r="AA181" s="20"/>
      <c r="AB181" s="20">
        <f>IFERROR(__xludf.DUMMYFUNCTION("iferror(PERCENTRANK.INC(FILTER($X$2:$X$422, $U$2:$U$422&lt;3.75), $X181), 1)"),0.593)</f>
        <v>0.593</v>
      </c>
      <c r="AC181" s="20">
        <f>IFERROR(__xludf.DUMMYFUNCTION("iferror(PERCENTRANK.INC(FILTER($X$2:$X$422, $U$2:$U$422&lt;4.25), $X181), 1)"),0.576)</f>
        <v>0.576</v>
      </c>
      <c r="AD181" s="20">
        <f>IFERROR(__xludf.DUMMYFUNCTION("iferror(PERCENTRANK.INC(FILTER($X$2:$X$422, $U$2:$U$422&gt;=4.1), $X181), 0.01)"),0.046)</f>
        <v>0.046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9.980096589</v>
      </c>
      <c r="AA182" s="20"/>
      <c r="AB182" s="20">
        <f>IFERROR(__xludf.DUMMYFUNCTION("iferror(PERCENTRANK.INC(FILTER($X$2:$X$422, $U$2:$U$422&lt;3.75), $X182), 1)"),0.698)</f>
        <v>0.698</v>
      </c>
      <c r="AC182" s="20">
        <f>IFERROR(__xludf.DUMMYFUNCTION("iferror(PERCENTRANK.INC(FILTER($X$2:$X$422, $U$2:$U$422&lt;4.25), $X182), 1)"),0.679)</f>
        <v>0.679</v>
      </c>
      <c r="AD182" s="20">
        <f>IFERROR(__xludf.DUMMYFUNCTION("iferror(PERCENTRANK.INC(FILTER($X$2:$X$422, $U$2:$U$422&gt;=4.1), $X182), 0.01)"),0.049)</f>
        <v>0.049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5.284611699</v>
      </c>
      <c r="AA183" s="20"/>
      <c r="AB183" s="20">
        <f>IFERROR(__xludf.DUMMYFUNCTION("iferror(PERCENTRANK.INC(FILTER($X$2:$X$422, $U$2:$U$422&lt;3.75), $X183), 1)"),0.451)</f>
        <v>0.451</v>
      </c>
      <c r="AC183" s="20">
        <f>IFERROR(__xludf.DUMMYFUNCTION("iferror(PERCENTRANK.INC(FILTER($X$2:$X$422, $U$2:$U$422&lt;4.25), $X183), 1)"),0.439)</f>
        <v>0.439</v>
      </c>
      <c r="AD183" s="20">
        <f>IFERROR(__xludf.DUMMYFUNCTION("iferror(PERCENTRANK.INC(FILTER($X$2:$X$422, $U$2:$U$422&gt;=4.1), $X183), 0.01)"),0.043)</f>
        <v>0.043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10.27786436</v>
      </c>
      <c r="AA184" s="20"/>
      <c r="AB184" s="20">
        <f>IFERROR(__xludf.DUMMYFUNCTION("iferror(PERCENTRANK.INC(FILTER($X$2:$X$422, $U$2:$U$422&lt;3.75), $X184), 1)"),0.639)</f>
        <v>0.639</v>
      </c>
      <c r="AC184" s="20">
        <f>IFERROR(__xludf.DUMMYFUNCTION("iferror(PERCENTRANK.INC(FILTER($X$2:$X$422, $U$2:$U$422&lt;4.25), $X184), 1)"),0.622)</f>
        <v>0.622</v>
      </c>
      <c r="AD184" s="20">
        <f>IFERROR(__xludf.DUMMYFUNCTION("iferror(PERCENTRANK.INC(FILTER($X$2:$X$422, $U$2:$U$422&gt;=4.1), $X184), 0.01)"),0.047)</f>
        <v>0.047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3.292754346</v>
      </c>
      <c r="AA185" s="20"/>
      <c r="AB185" s="20">
        <f>IFERROR(__xludf.DUMMYFUNCTION("iferror(PERCENTRANK.INC(FILTER($X$2:$X$422, $U$2:$U$422&lt;3.75), $X185), 1)"),0.281)</f>
        <v>0.281</v>
      </c>
      <c r="AC185" s="20">
        <f>IFERROR(__xludf.DUMMYFUNCTION("iferror(PERCENTRANK.INC(FILTER($X$2:$X$422, $U$2:$U$422&lt;4.25), $X185), 1)"),0.273)</f>
        <v>0.273</v>
      </c>
      <c r="AD185" s="20">
        <f>IFERROR(__xludf.DUMMYFUNCTION("iferror(PERCENTRANK.INC(FILTER($X$2:$X$422, $U$2:$U$422&gt;=4.1), $X185), 0.01)"),0.04)</f>
        <v>0.04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4.406503514</v>
      </c>
      <c r="AA186" s="20"/>
      <c r="AB186" s="20">
        <f>IFERROR(__xludf.DUMMYFUNCTION("iferror(PERCENTRANK.INC(FILTER($X$2:$X$422, $U$2:$U$422&lt;3.75), $X186), 1)"),0.366)</f>
        <v>0.366</v>
      </c>
      <c r="AC186" s="20">
        <f>IFERROR(__xludf.DUMMYFUNCTION("iferror(PERCENTRANK.INC(FILTER($X$2:$X$422, $U$2:$U$422&lt;4.25), $X186), 1)"),0.356)</f>
        <v>0.356</v>
      </c>
      <c r="AD186" s="20">
        <f>IFERROR(__xludf.DUMMYFUNCTION("iferror(PERCENTRANK.INC(FILTER($X$2:$X$422, $U$2:$U$422&gt;=4.1), $X186), 0.01)"),0.041)</f>
        <v>0.041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6.152878253</v>
      </c>
      <c r="AA187" s="20"/>
      <c r="AB187" s="20">
        <f>IFERROR(__xludf.DUMMYFUNCTION("iferror(PERCENTRANK.INC(FILTER($X$2:$X$422, $U$2:$U$422&lt;3.75), $X187), 1)"),0.49)</f>
        <v>0.49</v>
      </c>
      <c r="AC187" s="20">
        <f>IFERROR(__xludf.DUMMYFUNCTION("iferror(PERCENTRANK.INC(FILTER($X$2:$X$422, $U$2:$U$422&lt;4.25), $X187), 1)"),0.476)</f>
        <v>0.476</v>
      </c>
      <c r="AD187" s="20">
        <f>IFERROR(__xludf.DUMMYFUNCTION("iferror(PERCENTRANK.INC(FILTER($X$2:$X$422, $U$2:$U$422&gt;=4.1), $X187), 0.01)"),0.043)</f>
        <v>0.043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9.751788219</v>
      </c>
      <c r="AA188" s="20"/>
      <c r="AB188" s="20">
        <f>IFERROR(__xludf.DUMMYFUNCTION("iferror(PERCENTRANK.INC(FILTER($X$2:$X$422, $U$2:$U$422&lt;3.75), $X188), 1)"),0.601)</f>
        <v>0.601</v>
      </c>
      <c r="AC188" s="20">
        <f>IFERROR(__xludf.DUMMYFUNCTION("iferror(PERCENTRANK.INC(FILTER($X$2:$X$422, $U$2:$U$422&lt;4.25), $X188), 1)"),0.584)</f>
        <v>0.584</v>
      </c>
      <c r="AD188" s="20">
        <f>IFERROR(__xludf.DUMMYFUNCTION("iferror(PERCENTRANK.INC(FILTER($X$2:$X$422, $U$2:$U$422&gt;=4.1), $X188), 0.01)"),0.046)</f>
        <v>0.046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6.746829605</v>
      </c>
      <c r="AA189" s="20"/>
      <c r="AB189" s="20">
        <f>IFERROR(__xludf.DUMMYFUNCTION("iferror(PERCENTRANK.INC(FILTER($X$2:$X$422, $U$2:$U$422&lt;3.75), $X189), 1)"),0.518)</f>
        <v>0.518</v>
      </c>
      <c r="AC189" s="20">
        <f>IFERROR(__xludf.DUMMYFUNCTION("iferror(PERCENTRANK.INC(FILTER($X$2:$X$422, $U$2:$U$422&lt;4.25), $X189), 1)"),0.504)</f>
        <v>0.504</v>
      </c>
      <c r="AD189" s="20">
        <f>IFERROR(__xludf.DUMMYFUNCTION("iferror(PERCENTRANK.INC(FILTER($X$2:$X$422, $U$2:$U$422&gt;=4.1), $X189), 0.01)"),0.044)</f>
        <v>0.044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6.184404089</v>
      </c>
      <c r="AA190" s="20"/>
      <c r="AB190" s="20">
        <f>IFERROR(__xludf.DUMMYFUNCTION("iferror(PERCENTRANK.INC(FILTER($X$2:$X$422, $U$2:$U$422&lt;3.75), $X190), 1)"),0.479)</f>
        <v>0.479</v>
      </c>
      <c r="AC190" s="20">
        <f>IFERROR(__xludf.DUMMYFUNCTION("iferror(PERCENTRANK.INC(FILTER($X$2:$X$422, $U$2:$U$422&lt;4.25), $X190), 1)"),0.466)</f>
        <v>0.466</v>
      </c>
      <c r="AD190" s="20">
        <f>IFERROR(__xludf.DUMMYFUNCTION("iferror(PERCENTRANK.INC(FILTER($X$2:$X$422, $U$2:$U$422&gt;=4.1), $X190), 0.01)"),0.043)</f>
        <v>0.043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25.61999783</v>
      </c>
      <c r="AA191" s="20"/>
      <c r="AB191" s="20">
        <f>IFERROR(__xludf.DUMMYFUNCTION("iferror(PERCENTRANK.INC(FILTER($X$2:$X$422, $U$2:$U$422&lt;3.75), $X191), 1)"),0.979)</f>
        <v>0.979</v>
      </c>
      <c r="AC191" s="20">
        <f>IFERROR(__xludf.DUMMYFUNCTION("iferror(PERCENTRANK.INC(FILTER($X$2:$X$422, $U$2:$U$422&lt;4.25), $X191), 1)"),0.952)</f>
        <v>0.952</v>
      </c>
      <c r="AD191" s="20">
        <f>IFERROR(__xludf.DUMMYFUNCTION("iferror(PERCENTRANK.INC(FILTER($X$2:$X$422, $U$2:$U$422&gt;=4.1), $X191), 0.01)"),0.068)</f>
        <v>0.068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8.511458963</v>
      </c>
      <c r="AA192" s="20"/>
      <c r="AB192" s="20">
        <f>IFERROR(__xludf.DUMMYFUNCTION("iferror(PERCENTRANK.INC(FILTER($X$2:$X$422, $U$2:$U$422&lt;3.75), $X192), 1)"),0.588)</f>
        <v>0.588</v>
      </c>
      <c r="AC192" s="20">
        <f>IFERROR(__xludf.DUMMYFUNCTION("iferror(PERCENTRANK.INC(FILTER($X$2:$X$422, $U$2:$U$422&lt;4.25), $X192), 1)"),0.571)</f>
        <v>0.571</v>
      </c>
      <c r="AD192" s="20">
        <f>IFERROR(__xludf.DUMMYFUNCTION("iferror(PERCENTRANK.INC(FILTER($X$2:$X$422, $U$2:$U$422&gt;=4.1), $X192), 0.01)"),0.046)</f>
        <v>0.046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6.845136707</v>
      </c>
      <c r="AA193" s="20"/>
      <c r="AB193" s="20">
        <f>IFERROR(__xludf.DUMMYFUNCTION("iferror(PERCENTRANK.INC(FILTER($X$2:$X$422, $U$2:$U$422&lt;3.75), $X193), 1)"),0.497)</f>
        <v>0.497</v>
      </c>
      <c r="AC193" s="20">
        <f>IFERROR(__xludf.DUMMYFUNCTION("iferror(PERCENTRANK.INC(FILTER($X$2:$X$422, $U$2:$U$422&lt;4.25), $X193), 1)"),0.484)</f>
        <v>0.484</v>
      </c>
      <c r="AD193" s="20">
        <f>IFERROR(__xludf.DUMMYFUNCTION("iferror(PERCENTRANK.INC(FILTER($X$2:$X$422, $U$2:$U$422&gt;=4.1), $X193), 0.01)"),0.044)</f>
        <v>0.044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7.497679108</v>
      </c>
      <c r="AA194" s="20"/>
      <c r="AB194" s="20">
        <f>IFERROR(__xludf.DUMMYFUNCTION("iferror(PERCENTRANK.INC(FILTER($X$2:$X$422, $U$2:$U$422&lt;3.75), $X194), 1)"),0.5)</f>
        <v>0.5</v>
      </c>
      <c r="AC194" s="20">
        <f>IFERROR(__xludf.DUMMYFUNCTION("iferror(PERCENTRANK.INC(FILTER($X$2:$X$422, $U$2:$U$422&lt;4.25), $X194), 1)"),0.486)</f>
        <v>0.486</v>
      </c>
      <c r="AD194" s="20">
        <f>IFERROR(__xludf.DUMMYFUNCTION("iferror(PERCENTRANK.INC(FILTER($X$2:$X$422, $U$2:$U$422&gt;=4.1), $X194), 0.01)"),0.044)</f>
        <v>0.044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8.118913197</v>
      </c>
      <c r="AA195" s="20"/>
      <c r="AB195" s="20">
        <f>IFERROR(__xludf.DUMMYFUNCTION("iferror(PERCENTRANK.INC(FILTER($X$2:$X$422, $U$2:$U$422&lt;3.75), $X195), 1)"),0.495)</f>
        <v>0.495</v>
      </c>
      <c r="AC195" s="20">
        <f>IFERROR(__xludf.DUMMYFUNCTION("iferror(PERCENTRANK.INC(FILTER($X$2:$X$422, $U$2:$U$422&lt;4.25), $X195), 1)"),0.481)</f>
        <v>0.481</v>
      </c>
      <c r="AD195" s="20">
        <f>IFERROR(__xludf.DUMMYFUNCTION("iferror(PERCENTRANK.INC(FILTER($X$2:$X$422, $U$2:$U$422&gt;=4.1), $X195), 0.01)"),0.044)</f>
        <v>0.044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9.923039721</v>
      </c>
      <c r="AA196" s="20"/>
      <c r="AB196" s="20">
        <f>IFERROR(__xludf.DUMMYFUNCTION("iferror(PERCENTRANK.INC(FILTER($X$2:$X$422, $U$2:$U$422&lt;3.75), $X196), 1)"),0.629)</f>
        <v>0.629</v>
      </c>
      <c r="AC196" s="20">
        <f>IFERROR(__xludf.DUMMYFUNCTION("iferror(PERCENTRANK.INC(FILTER($X$2:$X$422, $U$2:$U$422&lt;4.25), $X196), 1)"),0.612)</f>
        <v>0.612</v>
      </c>
      <c r="AD196" s="20">
        <f>IFERROR(__xludf.DUMMYFUNCTION("iferror(PERCENTRANK.INC(FILTER($X$2:$X$422, $U$2:$U$422&gt;=4.1), $X196), 0.01)"),0.047)</f>
        <v>0.047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51.53985043</v>
      </c>
      <c r="AA197" s="20"/>
      <c r="AB197" s="20">
        <f>IFERROR(__xludf.DUMMYFUNCTION("iferror(PERCENTRANK.INC(FILTER($X$2:$X$422, $U$2:$U$422&lt;3.75), $X197), 1)"),0.996)</f>
        <v>0.996</v>
      </c>
      <c r="AC197" s="20">
        <f>IFERROR(__xludf.DUMMYFUNCTION("iferror(PERCENTRANK.INC(FILTER($X$2:$X$422, $U$2:$U$422&lt;4.25), $X197), 1)"),0.995)</f>
        <v>0.995</v>
      </c>
      <c r="AD197" s="20">
        <f>IFERROR(__xludf.DUMMYFUNCTION("iferror(PERCENTRANK.INC(FILTER($X$2:$X$422, $U$2:$U$422&gt;=4.1), $X197), 0.01)"),0.6)</f>
        <v>0.6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6.714286176</v>
      </c>
      <c r="AA198" s="20"/>
      <c r="AB198" s="20">
        <f>IFERROR(__xludf.DUMMYFUNCTION("iferror(PERCENTRANK.INC(FILTER($X$2:$X$422, $U$2:$U$422&lt;3.75), $X198), 1)"),0.436)</f>
        <v>0.436</v>
      </c>
      <c r="AC198" s="20">
        <f>IFERROR(__xludf.DUMMYFUNCTION("iferror(PERCENTRANK.INC(FILTER($X$2:$X$422, $U$2:$U$422&lt;4.25), $X198), 1)"),0.424)</f>
        <v>0.424</v>
      </c>
      <c r="AD198" s="20">
        <f>IFERROR(__xludf.DUMMYFUNCTION("iferror(PERCENTRANK.INC(FILTER($X$2:$X$422, $U$2:$U$422&gt;=4.1), $X198), 0.01)"),0.042)</f>
        <v>0.042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16.8021823</v>
      </c>
      <c r="AA199" s="20"/>
      <c r="AB199" s="20">
        <f>IFERROR(__xludf.DUMMYFUNCTION("iferror(PERCENTRANK.INC(FILTER($X$2:$X$422, $U$2:$U$422&lt;3.75), $X199), 1)"),0.928)</f>
        <v>0.928</v>
      </c>
      <c r="AC199" s="20">
        <f>IFERROR(__xludf.DUMMYFUNCTION("iferror(PERCENTRANK.INC(FILTER($X$2:$X$422, $U$2:$U$422&lt;4.25), $X199), 1)"),0.902)</f>
        <v>0.902</v>
      </c>
      <c r="AD199" s="20">
        <f>IFERROR(__xludf.DUMMYFUNCTION("iferror(PERCENTRANK.INC(FILTER($X$2:$X$422, $U$2:$U$422&gt;=4.1), $X199), 0.01)"),0.055)</f>
        <v>0.055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7.023616434</v>
      </c>
      <c r="AA200" s="20"/>
      <c r="AB200" s="20">
        <f>IFERROR(__xludf.DUMMYFUNCTION("iferror(PERCENTRANK.INC(FILTER($X$2:$X$422, $U$2:$U$422&lt;3.75), $X200), 1)"),0.441)</f>
        <v>0.441</v>
      </c>
      <c r="AC200" s="20">
        <f>IFERROR(__xludf.DUMMYFUNCTION("iferror(PERCENTRANK.INC(FILTER($X$2:$X$422, $U$2:$U$422&lt;4.25), $X200), 1)"),0.429)</f>
        <v>0.429</v>
      </c>
      <c r="AD200" s="20">
        <f>IFERROR(__xludf.DUMMYFUNCTION("iferror(PERCENTRANK.INC(FILTER($X$2:$X$422, $U$2:$U$422&gt;=4.1), $X200), 0.01)"),0.043)</f>
        <v>0.043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11.68525282</v>
      </c>
      <c r="AA201" s="20"/>
      <c r="AB201" s="20">
        <f>IFERROR(__xludf.DUMMYFUNCTION("iferror(PERCENTRANK.INC(FILTER($X$2:$X$422, $U$2:$U$422&lt;3.75), $X201), 1)"),0.649)</f>
        <v>0.649</v>
      </c>
      <c r="AC201" s="20">
        <f>IFERROR(__xludf.DUMMYFUNCTION("iferror(PERCENTRANK.INC(FILTER($X$2:$X$422, $U$2:$U$422&lt;4.25), $X201), 1)"),0.632)</f>
        <v>0.632</v>
      </c>
      <c r="AD201" s="20">
        <f>IFERROR(__xludf.DUMMYFUNCTION("iferror(PERCENTRANK.INC(FILTER($X$2:$X$422, $U$2:$U$422&gt;=4.1), $X201), 0.01)"),0.048)</f>
        <v>0.048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34.30047684</v>
      </c>
      <c r="AA202" s="20"/>
      <c r="AB202" s="20">
        <f>IFERROR(__xludf.DUMMYFUNCTION("iferror(PERCENTRANK.INC(FILTER($X$2:$X$422, $U$2:$U$422&lt;3.75), $X202), 1)"),0.985)</f>
        <v>0.985</v>
      </c>
      <c r="AC202" s="20">
        <f>IFERROR(__xludf.DUMMYFUNCTION("iferror(PERCENTRANK.INC(FILTER($X$2:$X$422, $U$2:$U$422&lt;4.25), $X202), 1)"),0.957)</f>
        <v>0.957</v>
      </c>
      <c r="AD202" s="20">
        <f>IFERROR(__xludf.DUMMYFUNCTION("iferror(PERCENTRANK.INC(FILTER($X$2:$X$422, $U$2:$U$422&gt;=4.1), $X202), 0.01)"),0.077)</f>
        <v>0.077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6.29326867</v>
      </c>
      <c r="AA203" s="20"/>
      <c r="AB203" s="20">
        <f>IFERROR(__xludf.DUMMYFUNCTION("iferror(PERCENTRANK.INC(FILTER($X$2:$X$422, $U$2:$U$422&lt;3.75), $X203), 1)"),0.345)</f>
        <v>0.345</v>
      </c>
      <c r="AC203" s="20">
        <f>IFERROR(__xludf.DUMMYFUNCTION("iferror(PERCENTRANK.INC(FILTER($X$2:$X$422, $U$2:$U$422&lt;4.25), $X203), 1)"),0.336)</f>
        <v>0.336</v>
      </c>
      <c r="AD203" s="20">
        <f>IFERROR(__xludf.DUMMYFUNCTION("iferror(PERCENTRANK.INC(FILTER($X$2:$X$422, $U$2:$U$422&gt;=4.1), $X203), 0.01)"),0.041)</f>
        <v>0.041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12.15781301</v>
      </c>
      <c r="AA204" s="20"/>
      <c r="AB204" s="20">
        <f>IFERROR(__xludf.DUMMYFUNCTION("iferror(PERCENTRANK.INC(FILTER($X$2:$X$422, $U$2:$U$422&lt;3.75), $X204), 1)"),0.688)</f>
        <v>0.688</v>
      </c>
      <c r="AC204" s="20">
        <f>IFERROR(__xludf.DUMMYFUNCTION("iferror(PERCENTRANK.INC(FILTER($X$2:$X$422, $U$2:$U$422&lt;4.25), $X204), 1)"),0.669)</f>
        <v>0.669</v>
      </c>
      <c r="AD204" s="20">
        <f>IFERROR(__xludf.DUMMYFUNCTION("iferror(PERCENTRANK.INC(FILTER($X$2:$X$422, $U$2:$U$422&gt;=4.1), $X204), 0.01)"),0.049)</f>
        <v>0.049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7.166043456</v>
      </c>
      <c r="AA205" s="20"/>
      <c r="AB205" s="20">
        <f>IFERROR(__xludf.DUMMYFUNCTION("iferror(PERCENTRANK.INC(FILTER($X$2:$X$422, $U$2:$U$422&lt;3.75), $X205), 1)"),0.418)</f>
        <v>0.418</v>
      </c>
      <c r="AC205" s="20">
        <f>IFERROR(__xludf.DUMMYFUNCTION("iferror(PERCENTRANK.INC(FILTER($X$2:$X$422, $U$2:$U$422&lt;4.25), $X205), 1)"),0.406)</f>
        <v>0.406</v>
      </c>
      <c r="AD205" s="20">
        <f>IFERROR(__xludf.DUMMYFUNCTION("iferror(PERCENTRANK.INC(FILTER($X$2:$X$422, $U$2:$U$422&gt;=4.1), $X205), 0.01)"),0.042)</f>
        <v>0.042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13.51360691</v>
      </c>
      <c r="AA206" s="20"/>
      <c r="AB206" s="20">
        <f>IFERROR(__xludf.DUMMYFUNCTION("iferror(PERCENTRANK.INC(FILTER($X$2:$X$422, $U$2:$U$422&lt;3.75), $X206), 1)"),0.719)</f>
        <v>0.719</v>
      </c>
      <c r="AC206" s="20">
        <f>IFERROR(__xludf.DUMMYFUNCTION("iferror(PERCENTRANK.INC(FILTER($X$2:$X$422, $U$2:$U$422&lt;4.25), $X206), 1)"),0.699)</f>
        <v>0.699</v>
      </c>
      <c r="AD206" s="20">
        <f>IFERROR(__xludf.DUMMYFUNCTION("iferror(PERCENTRANK.INC(FILTER($X$2:$X$422, $U$2:$U$422&gt;=4.1), $X206), 0.01)"),0.049)</f>
        <v>0.049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8.968560699</v>
      </c>
      <c r="AA207" s="20"/>
      <c r="AB207" s="20">
        <f>IFERROR(__xludf.DUMMYFUNCTION("iferror(PERCENTRANK.INC(FILTER($X$2:$X$422, $U$2:$U$422&lt;3.75), $X207), 1)"),0.515)</f>
        <v>0.515</v>
      </c>
      <c r="AC207" s="20">
        <f>IFERROR(__xludf.DUMMYFUNCTION("iferror(PERCENTRANK.INC(FILTER($X$2:$X$422, $U$2:$U$422&lt;4.25), $X207), 1)"),0.501)</f>
        <v>0.501</v>
      </c>
      <c r="AD207" s="20">
        <f>IFERROR(__xludf.DUMMYFUNCTION("iferror(PERCENTRANK.INC(FILTER($X$2:$X$422, $U$2:$U$422&gt;=4.1), $X207), 0.01)"),0.044)</f>
        <v>0.044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13.39187818</v>
      </c>
      <c r="AA208" s="20"/>
      <c r="AB208" s="20">
        <f>IFERROR(__xludf.DUMMYFUNCTION("iferror(PERCENTRANK.INC(FILTER($X$2:$X$422, $U$2:$U$422&lt;3.75), $X208), 1)"),0.735)</f>
        <v>0.735</v>
      </c>
      <c r="AC208" s="20">
        <f>IFERROR(__xludf.DUMMYFUNCTION("iferror(PERCENTRANK.INC(FILTER($X$2:$X$422, $U$2:$U$422&lt;4.25), $X208), 1)"),0.714)</f>
        <v>0.714</v>
      </c>
      <c r="AD208" s="20">
        <f>IFERROR(__xludf.DUMMYFUNCTION("iferror(PERCENTRANK.INC(FILTER($X$2:$X$422, $U$2:$U$422&gt;=4.1), $X208), 0.01)"),0.05)</f>
        <v>0.05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9.405360665</v>
      </c>
      <c r="AA209" s="20"/>
      <c r="AB209" s="20">
        <f>IFERROR(__xludf.DUMMYFUNCTION("iferror(PERCENTRANK.INC(FILTER($X$2:$X$422, $U$2:$U$422&lt;3.75), $X209), 1)"),0.466)</f>
        <v>0.466</v>
      </c>
      <c r="AC209" s="20">
        <f>IFERROR(__xludf.DUMMYFUNCTION("iferror(PERCENTRANK.INC(FILTER($X$2:$X$422, $U$2:$U$422&lt;4.25), $X209), 1)"),0.454)</f>
        <v>0.454</v>
      </c>
      <c r="AD209" s="20">
        <f>IFERROR(__xludf.DUMMYFUNCTION("iferror(PERCENTRANK.INC(FILTER($X$2:$X$422, $U$2:$U$422&gt;=4.1), $X209), 0.01)"),0.043)</f>
        <v>0.043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22.96459459</v>
      </c>
      <c r="AA210" s="20"/>
      <c r="AB210" s="20">
        <f>IFERROR(__xludf.DUMMYFUNCTION("iferror(PERCENTRANK.INC(FILTER($X$2:$X$422, $U$2:$U$422&lt;3.75), $X210), 1)"),0.964)</f>
        <v>0.964</v>
      </c>
      <c r="AC210" s="20">
        <f>IFERROR(__xludf.DUMMYFUNCTION("iferror(PERCENTRANK.INC(FILTER($X$2:$X$422, $U$2:$U$422&lt;4.25), $X210), 1)"),0.937)</f>
        <v>0.937</v>
      </c>
      <c r="AD210" s="20">
        <f>IFERROR(__xludf.DUMMYFUNCTION("iferror(PERCENTRANK.INC(FILTER($X$2:$X$422, $U$2:$U$422&gt;=4.1), $X210), 0.01)"),0.061)</f>
        <v>0.061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8.156574949</v>
      </c>
      <c r="AA211" s="20"/>
      <c r="AB211" s="20">
        <f>IFERROR(__xludf.DUMMYFUNCTION("iferror(PERCENTRANK.INC(FILTER($X$2:$X$422, $U$2:$U$422&lt;3.75), $X211), 1)"),0.443)</f>
        <v>0.443</v>
      </c>
      <c r="AC211" s="20">
        <f>IFERROR(__xludf.DUMMYFUNCTION("iferror(PERCENTRANK.INC(FILTER($X$2:$X$422, $U$2:$U$422&lt;4.25), $X211), 1)"),0.431)</f>
        <v>0.431</v>
      </c>
      <c r="AD211" s="20">
        <f>IFERROR(__xludf.DUMMYFUNCTION("iferror(PERCENTRANK.INC(FILTER($X$2:$X$422, $U$2:$U$422&gt;=4.1), $X211), 0.01)"),0.043)</f>
        <v>0.043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8.721131311</v>
      </c>
      <c r="AA212" s="20"/>
      <c r="AB212" s="20">
        <f>IFERROR(__xludf.DUMMYFUNCTION("iferror(PERCENTRANK.INC(FILTER($X$2:$X$422, $U$2:$U$422&lt;3.75), $X212), 1)"),0.438)</f>
        <v>0.438</v>
      </c>
      <c r="AC212" s="20">
        <f>IFERROR(__xludf.DUMMYFUNCTION("iferror(PERCENTRANK.INC(FILTER($X$2:$X$422, $U$2:$U$422&lt;4.25), $X212), 1)"),0.426)</f>
        <v>0.426</v>
      </c>
      <c r="AD212" s="20">
        <f>IFERROR(__xludf.DUMMYFUNCTION("iferror(PERCENTRANK.INC(FILTER($X$2:$X$422, $U$2:$U$422&gt;=4.1), $X212), 0.01)"),0.043)</f>
        <v>0.043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12.28537805</v>
      </c>
      <c r="AA213" s="20"/>
      <c r="AB213" s="20">
        <f>IFERROR(__xludf.DUMMYFUNCTION("iferror(PERCENTRANK.INC(FILTER($X$2:$X$422, $U$2:$U$422&lt;3.75), $X213), 1)"),0.621)</f>
        <v>0.621</v>
      </c>
      <c r="AC213" s="20">
        <f>IFERROR(__xludf.DUMMYFUNCTION("iferror(PERCENTRANK.INC(FILTER($X$2:$X$422, $U$2:$U$422&lt;4.25), $X213), 1)"),0.604)</f>
        <v>0.604</v>
      </c>
      <c r="AD213" s="20">
        <f>IFERROR(__xludf.DUMMYFUNCTION("iferror(PERCENTRANK.INC(FILTER($X$2:$X$422, $U$2:$U$422&gt;=4.1), $X213), 0.01)"),0.047)</f>
        <v>0.047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9.290201715</v>
      </c>
      <c r="AA214" s="20"/>
      <c r="AB214" s="20">
        <f>IFERROR(__xludf.DUMMYFUNCTION("iferror(PERCENTRANK.INC(FILTER($X$2:$X$422, $U$2:$U$422&lt;3.75), $X214), 1)"),0.464)</f>
        <v>0.464</v>
      </c>
      <c r="AC214" s="20">
        <f>IFERROR(__xludf.DUMMYFUNCTION("iferror(PERCENTRANK.INC(FILTER($X$2:$X$422, $U$2:$U$422&lt;4.25), $X214), 1)"),0.451)</f>
        <v>0.451</v>
      </c>
      <c r="AD214" s="20">
        <f>IFERROR(__xludf.DUMMYFUNCTION("iferror(PERCENTRANK.INC(FILTER($X$2:$X$422, $U$2:$U$422&gt;=4.1), $X214), 0.01)"),0.043)</f>
        <v>0.043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8.370077752</v>
      </c>
      <c r="AA215" s="20"/>
      <c r="AB215" s="20">
        <f>IFERROR(__xludf.DUMMYFUNCTION("iferror(PERCENTRANK.INC(FILTER($X$2:$X$422, $U$2:$U$422&lt;3.75), $X215), 1)"),0.428)</f>
        <v>0.428</v>
      </c>
      <c r="AC215" s="20">
        <f>IFERROR(__xludf.DUMMYFUNCTION("iferror(PERCENTRANK.INC(FILTER($X$2:$X$422, $U$2:$U$422&lt;4.25), $X215), 1)"),0.416)</f>
        <v>0.416</v>
      </c>
      <c r="AD215" s="20">
        <f>IFERROR(__xludf.DUMMYFUNCTION("iferror(PERCENTRANK.INC(FILTER($X$2:$X$422, $U$2:$U$422&gt;=4.1), $X215), 0.01)"),0.042)</f>
        <v>0.042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14.34870245</v>
      </c>
      <c r="AA216" s="20"/>
      <c r="AB216" s="20">
        <f>IFERROR(__xludf.DUMMYFUNCTION("iferror(PERCENTRANK.INC(FILTER($X$2:$X$422, $U$2:$U$422&lt;3.75), $X216), 1)"),0.737)</f>
        <v>0.737</v>
      </c>
      <c r="AC216" s="20">
        <f>IFERROR(__xludf.DUMMYFUNCTION("iferror(PERCENTRANK.INC(FILTER($X$2:$X$422, $U$2:$U$422&lt;4.25), $X216), 1)"),0.717)</f>
        <v>0.717</v>
      </c>
      <c r="AD216" s="20">
        <f>IFERROR(__xludf.DUMMYFUNCTION("iferror(PERCENTRANK.INC(FILTER($X$2:$X$422, $U$2:$U$422&gt;=4.1), $X216), 0.01)"),0.05)</f>
        <v>0.05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18.78614623</v>
      </c>
      <c r="AA217" s="20"/>
      <c r="AB217" s="20">
        <f>IFERROR(__xludf.DUMMYFUNCTION("iferror(PERCENTRANK.INC(FILTER($X$2:$X$422, $U$2:$U$422&lt;3.75), $X217), 1)"),0.918)</f>
        <v>0.918</v>
      </c>
      <c r="AC217" s="20">
        <f>IFERROR(__xludf.DUMMYFUNCTION("iferror(PERCENTRANK.INC(FILTER($X$2:$X$422, $U$2:$U$422&lt;4.25), $X217), 1)"),0.892)</f>
        <v>0.892</v>
      </c>
      <c r="AD217" s="20">
        <f>IFERROR(__xludf.DUMMYFUNCTION("iferror(PERCENTRANK.INC(FILTER($X$2:$X$422, $U$2:$U$422&gt;=4.1), $X217), 0.01)"),0.055)</f>
        <v>0.055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8.280622194</v>
      </c>
      <c r="AA218" s="20"/>
      <c r="AB218" s="20">
        <f>IFERROR(__xludf.DUMMYFUNCTION("iferror(PERCENTRANK.INC(FILTER($X$2:$X$422, $U$2:$U$422&lt;3.75), $X218), 1)"),0.405)</f>
        <v>0.405</v>
      </c>
      <c r="AC218" s="20">
        <f>IFERROR(__xludf.DUMMYFUNCTION("iferror(PERCENTRANK.INC(FILTER($X$2:$X$422, $U$2:$U$422&lt;4.25), $X218), 1)"),0.393)</f>
        <v>0.393</v>
      </c>
      <c r="AD218" s="20">
        <f>IFERROR(__xludf.DUMMYFUNCTION("iferror(PERCENTRANK.INC(FILTER($X$2:$X$422, $U$2:$U$422&gt;=4.1), $X218), 0.01)"),0.042)</f>
        <v>0.042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15.90679423</v>
      </c>
      <c r="AA219" s="20"/>
      <c r="AB219" s="20">
        <f>IFERROR(__xludf.DUMMYFUNCTION("iferror(PERCENTRANK.INC(FILTER($X$2:$X$422, $U$2:$U$422&lt;3.75), $X219), 1)"),0.776)</f>
        <v>0.776</v>
      </c>
      <c r="AC219" s="20">
        <f>IFERROR(__xludf.DUMMYFUNCTION("iferror(PERCENTRANK.INC(FILTER($X$2:$X$422, $U$2:$U$422&lt;4.25), $X219), 1)"),0.754)</f>
        <v>0.754</v>
      </c>
      <c r="AD219" s="20">
        <f>IFERROR(__xludf.DUMMYFUNCTION("iferror(PERCENTRANK.INC(FILTER($X$2:$X$422, $U$2:$U$422&gt;=4.1), $X219), 0.01)"),0.051)</f>
        <v>0.051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10.30583897</v>
      </c>
      <c r="AA220" s="20"/>
      <c r="AB220" s="20">
        <f>IFERROR(__xludf.DUMMYFUNCTION("iferror(PERCENTRANK.INC(FILTER($X$2:$X$422, $U$2:$U$422&lt;3.75), $X220), 1)"),0.513)</f>
        <v>0.513</v>
      </c>
      <c r="AC220" s="20">
        <f>IFERROR(__xludf.DUMMYFUNCTION("iferror(PERCENTRANK.INC(FILTER($X$2:$X$422, $U$2:$U$422&lt;4.25), $X220), 1)"),0.499)</f>
        <v>0.499</v>
      </c>
      <c r="AD220" s="20">
        <f>IFERROR(__xludf.DUMMYFUNCTION("iferror(PERCENTRANK.INC(FILTER($X$2:$X$422, $U$2:$U$422&gt;=4.1), $X220), 0.01)"),0.044)</f>
        <v>0.044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17.67481999</v>
      </c>
      <c r="AA221" s="20"/>
      <c r="AB221" s="20">
        <f>IFERROR(__xludf.DUMMYFUNCTION("iferror(PERCENTRANK.INC(FILTER($X$2:$X$422, $U$2:$U$422&lt;3.75), $X221), 1)"),0.825)</f>
        <v>0.825</v>
      </c>
      <c r="AC221" s="20">
        <f>IFERROR(__xludf.DUMMYFUNCTION("iferror(PERCENTRANK.INC(FILTER($X$2:$X$422, $U$2:$U$422&lt;4.25), $X221), 1)"),0.802)</f>
        <v>0.802</v>
      </c>
      <c r="AD221" s="20">
        <f>IFERROR(__xludf.DUMMYFUNCTION("iferror(PERCENTRANK.INC(FILTER($X$2:$X$422, $U$2:$U$422&gt;=4.1), $X221), 0.01)"),0.052)</f>
        <v>0.052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13.76769048</v>
      </c>
      <c r="AA222" s="20"/>
      <c r="AB222" s="20">
        <f>IFERROR(__xludf.DUMMYFUNCTION("iferror(PERCENTRANK.INC(FILTER($X$2:$X$422, $U$2:$U$422&lt;3.75), $X222), 1)"),0.616)</f>
        <v>0.616</v>
      </c>
      <c r="AC222" s="20">
        <f>IFERROR(__xludf.DUMMYFUNCTION("iferror(PERCENTRANK.INC(FILTER($X$2:$X$422, $U$2:$U$422&lt;4.25), $X222), 1)"),0.599)</f>
        <v>0.599</v>
      </c>
      <c r="AD222" s="20">
        <f>IFERROR(__xludf.DUMMYFUNCTION("iferror(PERCENTRANK.INC(FILTER($X$2:$X$422, $U$2:$U$422&gt;=4.1), $X222), 0.01)"),0.047)</f>
        <v>0.047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8.801641624</v>
      </c>
      <c r="AA223" s="20"/>
      <c r="AB223" s="20">
        <f>IFERROR(__xludf.DUMMYFUNCTION("iferror(PERCENTRANK.INC(FILTER($X$2:$X$422, $U$2:$U$422&lt;3.75), $X223), 1)"),0.304)</f>
        <v>0.304</v>
      </c>
      <c r="AC223" s="20">
        <f>IFERROR(__xludf.DUMMYFUNCTION("iferror(PERCENTRANK.INC(FILTER($X$2:$X$422, $U$2:$U$422&lt;4.25), $X223), 1)"),0.296)</f>
        <v>0.296</v>
      </c>
      <c r="AD223" s="20">
        <f>IFERROR(__xludf.DUMMYFUNCTION("iferror(PERCENTRANK.INC(FILTER($X$2:$X$422, $U$2:$U$422&gt;=4.1), $X223), 0.01)"),0.04)</f>
        <v>0.04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7.262137977</v>
      </c>
      <c r="AA224" s="20"/>
      <c r="AB224" s="20">
        <f>IFERROR(__xludf.DUMMYFUNCTION("iferror(PERCENTRANK.INC(FILTER($X$2:$X$422, $U$2:$U$422&lt;3.75), $X224), 1)"),0.24)</f>
        <v>0.24</v>
      </c>
      <c r="AC224" s="20">
        <f>IFERROR(__xludf.DUMMYFUNCTION("iferror(PERCENTRANK.INC(FILTER($X$2:$X$422, $U$2:$U$422&lt;4.25), $X224), 1)"),0.233)</f>
        <v>0.233</v>
      </c>
      <c r="AD224" s="20">
        <f>IFERROR(__xludf.DUMMYFUNCTION("iferror(PERCENTRANK.INC(FILTER($X$2:$X$422, $U$2:$U$422&gt;=4.1),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24.7070956</v>
      </c>
      <c r="AA225" s="20"/>
      <c r="AB225" s="20">
        <f>IFERROR(__xludf.DUMMYFUNCTION("iferror(PERCENTRANK.INC(FILTER($X$2:$X$422, $U$2:$U$422&lt;3.75), $X225), 1)"),0.961)</f>
        <v>0.961</v>
      </c>
      <c r="AC225" s="20">
        <f>IFERROR(__xludf.DUMMYFUNCTION("iferror(PERCENTRANK.INC(FILTER($X$2:$X$422, $U$2:$U$422&lt;4.25), $X225), 1)"),0.935)</f>
        <v>0.935</v>
      </c>
      <c r="AD225" s="20">
        <f>IFERROR(__xludf.DUMMYFUNCTION("iferror(PERCENTRANK.INC(FILTER($X$2:$X$422, $U$2:$U$422&gt;=4.1), $X225), 0.01)"),0.061)</f>
        <v>0.061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13.76697136</v>
      </c>
      <c r="AA226" s="20"/>
      <c r="AB226" s="20">
        <f>IFERROR(__xludf.DUMMYFUNCTION("iferror(PERCENTRANK.INC(FILTER($X$2:$X$422, $U$2:$U$422&lt;3.75), $X226), 1)"),0.611)</f>
        <v>0.611</v>
      </c>
      <c r="AC226" s="20">
        <f>IFERROR(__xludf.DUMMYFUNCTION("iferror(PERCENTRANK.INC(FILTER($X$2:$X$422, $U$2:$U$422&lt;4.25), $X226), 1)"),0.594)</f>
        <v>0.594</v>
      </c>
      <c r="AD226" s="20">
        <f>IFERROR(__xludf.DUMMYFUNCTION("iferror(PERCENTRANK.INC(FILTER($X$2:$X$422, $U$2:$U$422&gt;=4.1), $X226), 0.01)"),0.047)</f>
        <v>0.047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10.85859613</v>
      </c>
      <c r="AA227" s="20"/>
      <c r="AB227" s="20">
        <f>IFERROR(__xludf.DUMMYFUNCTION("iferror(PERCENTRANK.INC(FILTER($X$2:$X$422, $U$2:$U$422&lt;3.75), $X227), 1)"),0.523)</f>
        <v>0.523</v>
      </c>
      <c r="AC227" s="20">
        <f>IFERROR(__xludf.DUMMYFUNCTION("iferror(PERCENTRANK.INC(FILTER($X$2:$X$422, $U$2:$U$422&lt;4.25), $X227), 1)"),0.509)</f>
        <v>0.509</v>
      </c>
      <c r="AD227" s="20">
        <f>IFERROR(__xludf.DUMMYFUNCTION("iferror(PERCENTRANK.INC(FILTER($X$2:$X$422, $U$2:$U$422&gt;=4.1), $X227), 0.01)"),0.044)</f>
        <v>0.044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9.234346138</v>
      </c>
      <c r="AA228" s="20"/>
      <c r="AB228" s="20">
        <f>IFERROR(__xludf.DUMMYFUNCTION("iferror(PERCENTRANK.INC(FILTER($X$2:$X$422, $U$2:$U$422&lt;3.75), $X228), 1)"),0.353)</f>
        <v>0.353</v>
      </c>
      <c r="AC228" s="20">
        <f>IFERROR(__xludf.DUMMYFUNCTION("iferror(PERCENTRANK.INC(FILTER($X$2:$X$422, $U$2:$U$422&lt;4.25), $X228), 1)"),0.343)</f>
        <v>0.343</v>
      </c>
      <c r="AD228" s="20">
        <f>IFERROR(__xludf.DUMMYFUNCTION("iferror(PERCENTRANK.INC(FILTER($X$2:$X$422, $U$2:$U$422&gt;=4.1), $X228), 0.01)"),0.041)</f>
        <v>0.041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5.643012608</v>
      </c>
      <c r="AA229" s="20"/>
      <c r="AB229" s="20">
        <f>IFERROR(__xludf.DUMMYFUNCTION("iferror(PERCENTRANK.INC(FILTER($X$2:$X$422, $U$2:$U$422&lt;3.75), $X229), 1)"),0.124)</f>
        <v>0.124</v>
      </c>
      <c r="AC229" s="20">
        <f>IFERROR(__xludf.DUMMYFUNCTION("iferror(PERCENTRANK.INC(FILTER($X$2:$X$422, $U$2:$U$422&lt;4.25), $X229), 1)"),0.12)</f>
        <v>0.12</v>
      </c>
      <c r="AD229" s="20">
        <f>IFERROR(__xludf.DUMMYFUNCTION("iferror(PERCENTRANK.INC(FILTER($X$2:$X$422, $U$2:$U$422&gt;=4.1),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9.606254471</v>
      </c>
      <c r="AA230" s="20"/>
      <c r="AB230" s="20">
        <f>IFERROR(__xludf.DUMMYFUNCTION("iferror(PERCENTRANK.INC(FILTER($X$2:$X$422, $U$2:$U$422&lt;3.75), $X230), 1)"),0.389)</f>
        <v>0.389</v>
      </c>
      <c r="AC230" s="20">
        <f>IFERROR(__xludf.DUMMYFUNCTION("iferror(PERCENTRANK.INC(FILTER($X$2:$X$422, $U$2:$U$422&lt;4.25), $X230), 1)"),0.378)</f>
        <v>0.378</v>
      </c>
      <c r="AD230" s="20">
        <f>IFERROR(__xludf.DUMMYFUNCTION("iferror(PERCENTRANK.INC(FILTER($X$2:$X$422, $U$2:$U$422&gt;=4.1), $X230), 0.01)"),0.042)</f>
        <v>0.042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15.79046458</v>
      </c>
      <c r="AA231" s="20"/>
      <c r="AB231" s="20">
        <f>IFERROR(__xludf.DUMMYFUNCTION("iferror(PERCENTRANK.INC(FILTER($X$2:$X$422, $U$2:$U$422&lt;3.75), $X231), 1)"),0.683)</f>
        <v>0.683</v>
      </c>
      <c r="AC231" s="20">
        <f>IFERROR(__xludf.DUMMYFUNCTION("iferror(PERCENTRANK.INC(FILTER($X$2:$X$422, $U$2:$U$422&lt;4.25), $X231), 1)"),0.664)</f>
        <v>0.664</v>
      </c>
      <c r="AD231" s="20">
        <f>IFERROR(__xludf.DUMMYFUNCTION("iferror(PERCENTRANK.INC(FILTER($X$2:$X$422, $U$2:$U$422&gt;=4.1), $X231), 0.01)"),0.048)</f>
        <v>0.048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10.70605866</v>
      </c>
      <c r="AA232" s="20"/>
      <c r="AB232" s="20">
        <f>IFERROR(__xludf.DUMMYFUNCTION("iferror(PERCENTRANK.INC(FILTER($X$2:$X$422, $U$2:$U$422&lt;3.75), $X232), 1)"),0.461)</f>
        <v>0.461</v>
      </c>
      <c r="AC232" s="20">
        <f>IFERROR(__xludf.DUMMYFUNCTION("iferror(PERCENTRANK.INC(FILTER($X$2:$X$422, $U$2:$U$422&lt;4.25), $X232), 1)"),0.449)</f>
        <v>0.449</v>
      </c>
      <c r="AD232" s="20">
        <f>IFERROR(__xludf.DUMMYFUNCTION("iferror(PERCENTRANK.INC(FILTER($X$2:$X$422, $U$2:$U$422&gt;=4.1), $X232), 0.01)"),0.043)</f>
        <v>0.043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9.963116967</v>
      </c>
      <c r="AA233" s="20"/>
      <c r="AB233" s="20">
        <f>IFERROR(__xludf.DUMMYFUNCTION("iferror(PERCENTRANK.INC(FILTER($X$2:$X$422, $U$2:$U$422&lt;3.75), $X233), 1)"),0.402)</f>
        <v>0.402</v>
      </c>
      <c r="AC233" s="20">
        <f>IFERROR(__xludf.DUMMYFUNCTION("iferror(PERCENTRANK.INC(FILTER($X$2:$X$422, $U$2:$U$422&lt;4.25), $X233), 1)"),0.391)</f>
        <v>0.391</v>
      </c>
      <c r="AD233" s="20">
        <f>IFERROR(__xludf.DUMMYFUNCTION("iferror(PERCENTRANK.INC(FILTER($X$2:$X$422, $U$2:$U$422&gt;=4.1), $X233), 0.01)"),0.042)</f>
        <v>0.042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8.907773672</v>
      </c>
      <c r="AA234" s="20"/>
      <c r="AB234" s="20">
        <f>IFERROR(__xludf.DUMMYFUNCTION("iferror(PERCENTRANK.INC(FILTER($X$2:$X$422, $U$2:$U$422&lt;3.75), $X234), 1)"),0.245)</f>
        <v>0.245</v>
      </c>
      <c r="AC234" s="20">
        <f>IFERROR(__xludf.DUMMYFUNCTION("iferror(PERCENTRANK.INC(FILTER($X$2:$X$422, $U$2:$U$422&lt;4.25), $X234), 1)"),0.238)</f>
        <v>0.238</v>
      </c>
      <c r="AD234" s="20">
        <f>IFERROR(__xludf.DUMMYFUNCTION("iferror(PERCENTRANK.INC(FILTER($X$2:$X$422, $U$2:$U$422&gt;=4.1),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13.43057141</v>
      </c>
      <c r="AA235" s="20"/>
      <c r="AB235" s="20">
        <f>IFERROR(__xludf.DUMMYFUNCTION("iferror(PERCENTRANK.INC(FILTER($X$2:$X$422, $U$2:$U$422&lt;3.75), $X235), 1)"),0.557)</f>
        <v>0.557</v>
      </c>
      <c r="AC235" s="20">
        <f>IFERROR(__xludf.DUMMYFUNCTION("iferror(PERCENTRANK.INC(FILTER($X$2:$X$422, $U$2:$U$422&lt;4.25), $X235), 1)"),0.541)</f>
        <v>0.541</v>
      </c>
      <c r="AD235" s="20">
        <f>IFERROR(__xludf.DUMMYFUNCTION("iferror(PERCENTRANK.INC(FILTER($X$2:$X$422, $U$2:$U$422&gt;=4.1), $X235), 0.01)"),0.045)</f>
        <v>0.045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10.29235213</v>
      </c>
      <c r="AA236" s="20"/>
      <c r="AB236" s="20">
        <f>IFERROR(__xludf.DUMMYFUNCTION("iferror(PERCENTRANK.INC(FILTER($X$2:$X$422, $U$2:$U$422&lt;3.75), $X236), 1)"),0.34)</f>
        <v>0.34</v>
      </c>
      <c r="AC236" s="20">
        <f>IFERROR(__xludf.DUMMYFUNCTION("iferror(PERCENTRANK.INC(FILTER($X$2:$X$422, $U$2:$U$422&lt;4.25), $X236), 1)"),0.331)</f>
        <v>0.331</v>
      </c>
      <c r="AD236" s="20">
        <f>IFERROR(__xludf.DUMMYFUNCTION("iferror(PERCENTRANK.INC(FILTER($X$2:$X$422, $U$2:$U$422&gt;=4.1), $X236), 0.01)"),0.041)</f>
        <v>0.041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15.67985052</v>
      </c>
      <c r="AA237" s="20"/>
      <c r="AB237" s="20">
        <f>IFERROR(__xludf.DUMMYFUNCTION("iferror(PERCENTRANK.INC(FILTER($X$2:$X$422, $U$2:$U$422&lt;3.75), $X237), 1)"),0.642)</f>
        <v>0.642</v>
      </c>
      <c r="AC237" s="20">
        <f>IFERROR(__xludf.DUMMYFUNCTION("iferror(PERCENTRANK.INC(FILTER($X$2:$X$422, $U$2:$U$422&lt;4.25), $X237), 1)"),0.624)</f>
        <v>0.624</v>
      </c>
      <c r="AD237" s="20">
        <f>IFERROR(__xludf.DUMMYFUNCTION("iferror(PERCENTRANK.INC(FILTER($X$2:$X$422, $U$2:$U$422&gt;=4.1), $X237), 0.01)"),0.048)</f>
        <v>0.048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9.509661794</v>
      </c>
      <c r="AA238" s="20"/>
      <c r="AB238" s="20">
        <f>IFERROR(__xludf.DUMMYFUNCTION("iferror(PERCENTRANK.INC(FILTER($X$2:$X$422, $U$2:$U$422&lt;3.75), $X238), 1)"),0.235)</f>
        <v>0.235</v>
      </c>
      <c r="AC238" s="20">
        <f>IFERROR(__xludf.DUMMYFUNCTION("iferror(PERCENTRANK.INC(FILTER($X$2:$X$422, $U$2:$U$422&lt;4.25), $X238), 1)"),0.228)</f>
        <v>0.228</v>
      </c>
      <c r="AD238" s="20">
        <f>IFERROR(__xludf.DUMMYFUNCTION("iferror(PERCENTRANK.INC(FILTER($X$2:$X$422, $U$2:$U$422&gt;=4.1),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13.77917479</v>
      </c>
      <c r="AA239" s="20"/>
      <c r="AB239" s="20">
        <f>IFERROR(__xludf.DUMMYFUNCTION("iferror(PERCENTRANK.INC(FILTER($X$2:$X$422, $U$2:$U$422&lt;3.75), $X239), 1)"),0.58)</f>
        <v>0.58</v>
      </c>
      <c r="AC239" s="20">
        <f>IFERROR(__xludf.DUMMYFUNCTION("iferror(PERCENTRANK.INC(FILTER($X$2:$X$422, $U$2:$U$422&lt;4.25), $X239), 1)"),0.564)</f>
        <v>0.564</v>
      </c>
      <c r="AD239" s="20">
        <f>IFERROR(__xludf.DUMMYFUNCTION("iferror(PERCENTRANK.INC(FILTER($X$2:$X$422, $U$2:$U$422&gt;=4.1), $X239), 0.01)"),0.046)</f>
        <v>0.046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9.693733671</v>
      </c>
      <c r="AA240" s="20"/>
      <c r="AB240" s="20">
        <f>IFERROR(__xludf.DUMMYFUNCTION("iferror(PERCENTRANK.INC(FILTER($X$2:$X$422, $U$2:$U$422&lt;3.75), $X240), 1)"),0.201)</f>
        <v>0.201</v>
      </c>
      <c r="AC240" s="20">
        <f>IFERROR(__xludf.DUMMYFUNCTION("iferror(PERCENTRANK.INC(FILTER($X$2:$X$422, $U$2:$U$422&lt;4.25), $X240), 1)"),0.195)</f>
        <v>0.195</v>
      </c>
      <c r="AD240" s="20">
        <f>IFERROR(__xludf.DUMMYFUNCTION("iferror(PERCENTRANK.INC(FILTER($X$2:$X$422, $U$2:$U$422&gt;=4.1),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8.988069717</v>
      </c>
      <c r="AA241" s="20"/>
      <c r="AB241" s="20">
        <f>IFERROR(__xludf.DUMMYFUNCTION("iferror(PERCENTRANK.INC(FILTER($X$2:$X$422, $U$2:$U$422&lt;3.75), $X241), 1)"),0.18)</f>
        <v>0.18</v>
      </c>
      <c r="AC241" s="20">
        <f>IFERROR(__xludf.DUMMYFUNCTION("iferror(PERCENTRANK.INC(FILTER($X$2:$X$422, $U$2:$U$422&lt;4.25), $X241), 1)"),0.175)</f>
        <v>0.175</v>
      </c>
      <c r="AD241" s="20">
        <f>IFERROR(__xludf.DUMMYFUNCTION("iferror(PERCENTRANK.INC(FILTER($X$2:$X$422, $U$2:$U$422&gt;=4.1),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31.50074014</v>
      </c>
      <c r="AA242" s="20"/>
      <c r="AB242" s="20">
        <f>IFERROR(__xludf.DUMMYFUNCTION("iferror(PERCENTRANK.INC(FILTER($X$2:$X$422, $U$2:$U$422&lt;3.75), $X242), 1)"),0.977)</f>
        <v>0.977</v>
      </c>
      <c r="AC242" s="20">
        <f>IFERROR(__xludf.DUMMYFUNCTION("iferror(PERCENTRANK.INC(FILTER($X$2:$X$422, $U$2:$U$422&lt;4.25), $X242), 1)"),0.95)</f>
        <v>0.95</v>
      </c>
      <c r="AD242" s="20">
        <f>IFERROR(__xludf.DUMMYFUNCTION("iferror(PERCENTRANK.INC(FILTER($X$2:$X$422, $U$2:$U$422&gt;=4.1), $X242), 0.01)"),0.067)</f>
        <v>0.067</v>
      </c>
      <c r="AE242" s="20"/>
    </row>
    <row r="243" ht="14.25" customHeight="1">
      <c r="A243" s="25" t="s">
        <v>572</v>
      </c>
      <c r="B243" s="23" t="s">
        <v>573</v>
      </c>
      <c r="C243" s="32">
        <v>5.0</v>
      </c>
      <c r="D243" s="23" t="s">
        <v>99</v>
      </c>
      <c r="E243" s="23" t="s">
        <v>136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72.15556921</v>
      </c>
      <c r="R243" s="24"/>
      <c r="S243" s="34">
        <v>5.4551</v>
      </c>
      <c r="T243" s="28">
        <v>-2.0</v>
      </c>
      <c r="U243" s="16">
        <v>4.1</v>
      </c>
      <c r="V243" s="16">
        <v>-2.39</v>
      </c>
      <c r="W243" s="25">
        <v>1.0</v>
      </c>
      <c r="X243" s="22">
        <f t="shared" si="16"/>
        <v>3.34735175</v>
      </c>
      <c r="Y243" s="20">
        <f t="shared" si="4"/>
        <v>78.09060534</v>
      </c>
      <c r="Z243" s="20">
        <f t="shared" si="6"/>
        <v>5.935036133</v>
      </c>
      <c r="AA243" s="20"/>
      <c r="AB243" s="20">
        <f>IFERROR(__xludf.DUMMYFUNCTION("iferror(PERCENTRANK.INC(FILTER($X$2:$X$422, $U$2:$U$422&lt;3.75), $X243), 1)"),0.995)</f>
        <v>0.995</v>
      </c>
      <c r="AC243" s="20">
        <f>IFERROR(__xludf.DUMMYFUNCTION("iferror(PERCENTRANK.INC(FILTER($X$2:$X$422, $U$2:$U$422&lt;4.25), $X243), 1)"),0.985)</f>
        <v>0.985</v>
      </c>
      <c r="AD243" s="20">
        <f>IFERROR(__xludf.DUMMYFUNCTION("iferror(PERCENTRANK.INC(FILTER($X$2:$X$422, $U$2:$U$422&gt;=4.1), $X243), 0.01)"),0.24)</f>
        <v>0.24</v>
      </c>
      <c r="AE243" s="20"/>
    </row>
    <row r="244" ht="14.25" customHeight="1">
      <c r="A244" s="17" t="s">
        <v>574</v>
      </c>
      <c r="B244" s="17" t="s">
        <v>575</v>
      </c>
      <c r="C244" s="18">
        <v>2.0</v>
      </c>
      <c r="D244" s="17" t="s">
        <v>99</v>
      </c>
      <c r="E244" s="17" t="s">
        <v>136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26.67267929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22" si="17">IFERROR((U244*0.7+T244*0.15+S244*0.15*W249),0)</f>
        <v>0.1367649635</v>
      </c>
      <c r="Y244" s="20">
        <f t="shared" si="4"/>
        <v>38.39149701</v>
      </c>
      <c r="Z244" s="20">
        <f t="shared" si="6"/>
        <v>11.71881773</v>
      </c>
      <c r="AA244" s="20"/>
      <c r="AB244" s="20">
        <f>IFERROR(__xludf.DUMMYFUNCTION("iferror(PERCENTRANK.INC(FILTER($X$2:$X$422, $U$2:$U$422&lt;3.75), $X244), 1)"),0.412)</f>
        <v>0.412</v>
      </c>
      <c r="AC244" s="20">
        <f>IFERROR(__xludf.DUMMYFUNCTION("iferror(PERCENTRANK.INC(FILTER($X$2:$X$422, $U$2:$U$422&lt;4.25), $X244), 1)"),0.401)</f>
        <v>0.401</v>
      </c>
      <c r="AD244" s="20">
        <f>IFERROR(__xludf.DUMMYFUNCTION("iferror(PERCENTRANK.INC(FILTER($X$2:$X$422, $U$2:$U$422&gt;=4.1), $X244), 0.01)"),0.042)</f>
        <v>0.042</v>
      </c>
      <c r="AE244" s="20"/>
    </row>
    <row r="245" ht="14.25" customHeight="1">
      <c r="A245" s="17" t="s">
        <v>576</v>
      </c>
      <c r="B245" s="17" t="s">
        <v>450</v>
      </c>
      <c r="C245" s="18">
        <v>2.0</v>
      </c>
      <c r="D245" s="17" t="s">
        <v>99</v>
      </c>
      <c r="E245" s="17" t="s">
        <v>173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26.54342866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12.34752723</v>
      </c>
      <c r="AA245" s="20"/>
      <c r="AB245" s="20">
        <f>IFERROR(__xludf.DUMMYFUNCTION("iferror(PERCENTRANK.INC(FILTER($X$2:$X$422, $U$2:$U$422&lt;3.75), $X245), 1)"),0.448)</f>
        <v>0.448</v>
      </c>
      <c r="AC245" s="20">
        <f>IFERROR(__xludf.DUMMYFUNCTION("iferror(PERCENTRANK.INC(FILTER($X$2:$X$422, $U$2:$U$422&lt;4.25), $X245), 1)"),0.436)</f>
        <v>0.436</v>
      </c>
      <c r="AD245" s="20">
        <f>IFERROR(__xludf.DUMMYFUNCTION("iferror(PERCENTRANK.INC(FILTER($X$2:$X$422, $U$2:$U$422&gt;=4.1), $X245), 0.01)"),0.043)</f>
        <v>0.043</v>
      </c>
      <c r="AE245" s="20"/>
    </row>
    <row r="246" ht="14.25" customHeight="1">
      <c r="A246" s="17" t="s">
        <v>577</v>
      </c>
      <c r="B246" s="17" t="s">
        <v>578</v>
      </c>
      <c r="C246" s="18">
        <v>15.0</v>
      </c>
      <c r="D246" s="17" t="s">
        <v>99</v>
      </c>
      <c r="E246" s="17" t="s">
        <v>145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25.98124265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13.24986537</v>
      </c>
      <c r="AA246" s="20"/>
      <c r="AB246" s="20">
        <f>IFERROR(__xludf.DUMMYFUNCTION("iferror(PERCENTRANK.INC(FILTER($X$2:$X$422, $U$2:$U$422&lt;3.75), $X246), 1)"),0.474)</f>
        <v>0.474</v>
      </c>
      <c r="AC246" s="20">
        <f>IFERROR(__xludf.DUMMYFUNCTION("iferror(PERCENTRANK.INC(FILTER($X$2:$X$422, $U$2:$U$422&lt;4.25), $X246), 1)"),0.461)</f>
        <v>0.461</v>
      </c>
      <c r="AD246" s="20">
        <f>IFERROR(__xludf.DUMMYFUNCTION("iferror(PERCENTRANK.INC(FILTER($X$2:$X$422, $U$2:$U$422&gt;=4.1), $X246), 0.01)"),0.043)</f>
        <v>0.043</v>
      </c>
      <c r="AE246" s="20"/>
    </row>
    <row r="247" ht="14.25" customHeight="1">
      <c r="A247" s="17" t="s">
        <v>579</v>
      </c>
      <c r="B247" s="17" t="s">
        <v>580</v>
      </c>
      <c r="C247" s="18">
        <v>13.0</v>
      </c>
      <c r="D247" s="17" t="s">
        <v>99</v>
      </c>
      <c r="E247" s="17" t="s">
        <v>159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25.85173539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15.04729053</v>
      </c>
      <c r="AA247" s="20"/>
      <c r="AB247" s="20">
        <f>IFERROR(__xludf.DUMMYFUNCTION("iferror(PERCENTRANK.INC(FILTER($X$2:$X$422, $U$2:$U$422&lt;3.75), $X247), 1)"),0.567)</f>
        <v>0.567</v>
      </c>
      <c r="AC247" s="20">
        <f>IFERROR(__xludf.DUMMYFUNCTION("iferror(PERCENTRANK.INC(FILTER($X$2:$X$422, $U$2:$U$422&lt;4.25), $X247), 1)"),0.551)</f>
        <v>0.551</v>
      </c>
      <c r="AD247" s="20">
        <f>IFERROR(__xludf.DUMMYFUNCTION("iferror(PERCENTRANK.INC(FILTER($X$2:$X$422, $U$2:$U$422&gt;=4.1), $X247), 0.01)"),0.045)</f>
        <v>0.045</v>
      </c>
      <c r="AE247" s="20"/>
    </row>
    <row r="248" ht="14.25" customHeight="1">
      <c r="A248" s="17" t="s">
        <v>581</v>
      </c>
      <c r="B248" s="17" t="s">
        <v>582</v>
      </c>
      <c r="C248" s="18">
        <v>3.0</v>
      </c>
      <c r="D248" s="17" t="s">
        <v>99</v>
      </c>
      <c r="E248" s="17" t="s">
        <v>109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25.4452494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5.874407259</v>
      </c>
      <c r="AA248" s="20"/>
      <c r="AB248" s="20">
        <f>IFERROR(__xludf.DUMMYFUNCTION("iferror(PERCENTRANK.INC(FILTER($X$2:$X$422, $U$2:$U$422&lt;3.75), $X248), 1)"),0.062)</f>
        <v>0.062</v>
      </c>
      <c r="AC248" s="20">
        <f>IFERROR(__xludf.DUMMYFUNCTION("iferror(PERCENTRANK.INC(FILTER($X$2:$X$422, $U$2:$U$422&lt;4.25), $X248), 1)"),0.06)</f>
        <v>0.06</v>
      </c>
      <c r="AD248" s="20">
        <f>IFERROR(__xludf.DUMMYFUNCTION("iferror(PERCENTRANK.INC(FILTER($X$2:$X$422, $U$2:$U$422&gt;=4.1), $X248), 0.01)"),0.01)</f>
        <v>0.01</v>
      </c>
      <c r="AE248" s="20"/>
    </row>
    <row r="249" ht="14.25" customHeight="1">
      <c r="A249" s="17" t="s">
        <v>583</v>
      </c>
      <c r="B249" s="17" t="s">
        <v>398</v>
      </c>
      <c r="C249" s="18">
        <v>5.0</v>
      </c>
      <c r="D249" s="17" t="s">
        <v>99</v>
      </c>
      <c r="E249" s="17" t="s">
        <v>118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26.11362825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10.46352423</v>
      </c>
      <c r="AA249" s="20"/>
      <c r="AB249" s="20">
        <f>IFERROR(__xludf.DUMMYFUNCTION("iferror(PERCENTRANK.INC(FILTER($X$2:$X$422, $U$2:$U$422&lt;3.75), $X249), 1)"),0.242)</f>
        <v>0.242</v>
      </c>
      <c r="AC249" s="20">
        <f>IFERROR(__xludf.DUMMYFUNCTION("iferror(PERCENTRANK.INC(FILTER($X$2:$X$422, $U$2:$U$422&lt;4.25), $X249), 1)"),0.236)</f>
        <v>0.236</v>
      </c>
      <c r="AD249" s="20">
        <f>IFERROR(__xludf.DUMMYFUNCTION("iferror(PERCENTRANK.INC(FILTER($X$2:$X$422, $U$2:$U$422&gt;=4.1), $X249), 0.01)"),0.01)</f>
        <v>0.01</v>
      </c>
      <c r="AE249" s="20"/>
    </row>
    <row r="250" ht="14.25" customHeight="1">
      <c r="A250" s="17" t="s">
        <v>584</v>
      </c>
      <c r="B250" s="17" t="s">
        <v>578</v>
      </c>
      <c r="C250" s="18">
        <v>7.0</v>
      </c>
      <c r="D250" s="17" t="s">
        <v>99</v>
      </c>
      <c r="E250" s="17" t="s">
        <v>145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25.21477675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9.432324452</v>
      </c>
      <c r="AA250" s="20"/>
      <c r="AB250" s="20">
        <f>IFERROR(__xludf.DUMMYFUNCTION("iferror(PERCENTRANK.INC(FILTER($X$2:$X$422, $U$2:$U$422&lt;3.75), $X250), 1)"),0.131)</f>
        <v>0.131</v>
      </c>
      <c r="AC250" s="20">
        <f>IFERROR(__xludf.DUMMYFUNCTION("iferror(PERCENTRANK.INC(FILTER($X$2:$X$422, $U$2:$U$422&lt;4.25), $X250), 1)"),0.128)</f>
        <v>0.128</v>
      </c>
      <c r="AD250" s="20">
        <f>IFERROR(__xludf.DUMMYFUNCTION("iferror(PERCENTRANK.INC(FILTER($X$2:$X$422, $U$2:$U$422&gt;=4.1), $X250), 0.01)"),0.01)</f>
        <v>0.01</v>
      </c>
      <c r="AE250" s="20"/>
    </row>
    <row r="251" ht="14.25" customHeight="1">
      <c r="A251" s="17" t="s">
        <v>585</v>
      </c>
      <c r="B251" s="17" t="s">
        <v>586</v>
      </c>
      <c r="C251" s="18">
        <v>9.0</v>
      </c>
      <c r="D251" s="17" t="s">
        <v>99</v>
      </c>
      <c r="E251" s="17" t="s">
        <v>145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25.48349773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11.42845909</v>
      </c>
      <c r="AA251" s="20"/>
      <c r="AB251" s="20">
        <f>IFERROR(__xludf.DUMMYFUNCTION("iferror(PERCENTRANK.INC(FILTER($X$2:$X$422, $U$2:$U$422&lt;3.75), $X251), 1)"),0.291)</f>
        <v>0.291</v>
      </c>
      <c r="AC251" s="20">
        <f>IFERROR(__xludf.DUMMYFUNCTION("iferror(PERCENTRANK.INC(FILTER($X$2:$X$422, $U$2:$U$422&lt;4.25), $X251), 1)"),0.283)</f>
        <v>0.283</v>
      </c>
      <c r="AD251" s="20">
        <f>IFERROR(__xludf.DUMMYFUNCTION("iferror(PERCENTRANK.INC(FILTER($X$2:$X$422, $U$2:$U$422&gt;=4.1), $X251), 0.01)"),0.04)</f>
        <v>0.04</v>
      </c>
      <c r="AE251" s="20"/>
    </row>
    <row r="252" ht="14.25" customHeight="1">
      <c r="A252" s="17" t="s">
        <v>587</v>
      </c>
      <c r="B252" s="17" t="s">
        <v>389</v>
      </c>
      <c r="C252" s="18">
        <v>14.0</v>
      </c>
      <c r="D252" s="17" t="s">
        <v>99</v>
      </c>
      <c r="E252" s="17" t="s">
        <v>133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25.39312791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12.47013978</v>
      </c>
      <c r="AA252" s="20"/>
      <c r="AB252" s="20">
        <f>IFERROR(__xludf.DUMMYFUNCTION("iferror(PERCENTRANK.INC(FILTER($X$2:$X$422, $U$2:$U$422&lt;3.75), $X252), 1)"),0.363)</f>
        <v>0.363</v>
      </c>
      <c r="AC252" s="20">
        <f>IFERROR(__xludf.DUMMYFUNCTION("iferror(PERCENTRANK.INC(FILTER($X$2:$X$422, $U$2:$U$422&lt;4.25), $X252), 1)"),0.353)</f>
        <v>0.353</v>
      </c>
      <c r="AD252" s="20">
        <f>IFERROR(__xludf.DUMMYFUNCTION("iferror(PERCENTRANK.INC(FILTER($X$2:$X$422, $U$2:$U$422&gt;=4.1), $X252), 0.01)"),0.041)</f>
        <v>0.041</v>
      </c>
      <c r="AE252" s="20"/>
    </row>
    <row r="253" ht="14.25" customHeight="1">
      <c r="A253" s="17" t="s">
        <v>588</v>
      </c>
      <c r="B253" s="17" t="s">
        <v>575</v>
      </c>
      <c r="C253" s="18">
        <v>15.0</v>
      </c>
      <c r="D253" s="17" t="s">
        <v>99</v>
      </c>
      <c r="E253" s="17" t="s">
        <v>136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24.9386116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13.21085155</v>
      </c>
      <c r="AA253" s="20"/>
      <c r="AB253" s="20">
        <f>IFERROR(__xludf.DUMMYFUNCTION("iferror(PERCENTRANK.INC(FILTER($X$2:$X$422, $U$2:$U$422&lt;3.75), $X253), 1)"),0.387)</f>
        <v>0.387</v>
      </c>
      <c r="AC253" s="20">
        <f>IFERROR(__xludf.DUMMYFUNCTION("iferror(PERCENTRANK.INC(FILTER($X$2:$X$422, $U$2:$U$422&lt;4.25), $X253), 1)"),0.376)</f>
        <v>0.376</v>
      </c>
      <c r="AD253" s="20">
        <f>IFERROR(__xludf.DUMMYFUNCTION("iferror(PERCENTRANK.INC(FILTER($X$2:$X$422, $U$2:$U$422&gt;=4.1), $X253), 0.01)"),0.042)</f>
        <v>0.042</v>
      </c>
      <c r="AE253" s="20"/>
    </row>
    <row r="254" ht="14.25" customHeight="1">
      <c r="A254" s="17" t="s">
        <v>589</v>
      </c>
      <c r="B254" s="17" t="s">
        <v>438</v>
      </c>
      <c r="C254" s="18">
        <v>18.0</v>
      </c>
      <c r="D254" s="17" t="s">
        <v>99</v>
      </c>
      <c r="E254" s="17" t="s">
        <v>128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25.29270428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18.25004639</v>
      </c>
      <c r="AA254" s="20"/>
      <c r="AB254" s="20">
        <f>IFERROR(__xludf.DUMMYFUNCTION("iferror(PERCENTRANK.INC(FILTER($X$2:$X$422, $U$2:$U$422&lt;3.75), $X254), 1)"),0.691)</f>
        <v>0.691</v>
      </c>
      <c r="AC254" s="20">
        <f>IFERROR(__xludf.DUMMYFUNCTION("iferror(PERCENTRANK.INC(FILTER($X$2:$X$422, $U$2:$U$422&lt;4.25), $X254), 1)"),0.672)</f>
        <v>0.672</v>
      </c>
      <c r="AD254" s="20">
        <f>IFERROR(__xludf.DUMMYFUNCTION("iferror(PERCENTRANK.INC(FILTER($X$2:$X$422, $U$2:$U$422&gt;=4.1), $X254), 0.01)"),0.049)</f>
        <v>0.049</v>
      </c>
      <c r="AE254" s="20"/>
    </row>
    <row r="255" ht="14.25" customHeight="1">
      <c r="A255" s="17" t="s">
        <v>590</v>
      </c>
      <c r="B255" s="17" t="s">
        <v>591</v>
      </c>
      <c r="C255" s="18">
        <v>15.0</v>
      </c>
      <c r="D255" s="17" t="s">
        <v>99</v>
      </c>
      <c r="E255" s="17" t="s">
        <v>125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25.24108773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12.66701582</v>
      </c>
      <c r="AA255" s="20"/>
      <c r="AB255" s="20">
        <f>IFERROR(__xludf.DUMMYFUNCTION("iferror(PERCENTRANK.INC(FILTER($X$2:$X$422, $U$2:$U$422&lt;3.75), $X255), 1)"),0.369)</f>
        <v>0.369</v>
      </c>
      <c r="AC255" s="20">
        <f>IFERROR(__xludf.DUMMYFUNCTION("iferror(PERCENTRANK.INC(FILTER($X$2:$X$422, $U$2:$U$422&lt;4.25), $X255), 1)"),0.358)</f>
        <v>0.358</v>
      </c>
      <c r="AD255" s="20">
        <f>IFERROR(__xludf.DUMMYFUNCTION("iferror(PERCENTRANK.INC(FILTER($X$2:$X$422, $U$2:$U$422&gt;=4.1), $X255), 0.01)"),0.042)</f>
        <v>0.042</v>
      </c>
      <c r="AE255" s="20"/>
    </row>
    <row r="256" ht="14.25" customHeight="1">
      <c r="A256" s="17" t="s">
        <v>592</v>
      </c>
      <c r="B256" s="17" t="s">
        <v>500</v>
      </c>
      <c r="C256" s="18">
        <v>5.0</v>
      </c>
      <c r="D256" s="17" t="s">
        <v>99</v>
      </c>
      <c r="E256" s="17" t="s">
        <v>156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25.39585086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11.80010006</v>
      </c>
      <c r="AA256" s="20"/>
      <c r="AB256" s="20">
        <f>IFERROR(__xludf.DUMMYFUNCTION("iferror(PERCENTRANK.INC(FILTER($X$2:$X$422, $U$2:$U$422&lt;3.75), $X256), 1)"),0.314)</f>
        <v>0.314</v>
      </c>
      <c r="AC256" s="20">
        <f>IFERROR(__xludf.DUMMYFUNCTION("iferror(PERCENTRANK.INC(FILTER($X$2:$X$422, $U$2:$U$422&lt;4.25), $X256), 1)"),0.306)</f>
        <v>0.306</v>
      </c>
      <c r="AD256" s="20">
        <f>IFERROR(__xludf.DUMMYFUNCTION("iferror(PERCENTRANK.INC(FILTER($X$2:$X$422, $U$2:$U$422&gt;=4.1), $X256), 0.01)"),0.041)</f>
        <v>0.041</v>
      </c>
      <c r="AE256" s="20"/>
    </row>
    <row r="257" ht="14.25" customHeight="1">
      <c r="A257" s="17" t="s">
        <v>593</v>
      </c>
      <c r="B257" s="17" t="s">
        <v>594</v>
      </c>
      <c r="C257" s="18">
        <v>6.0</v>
      </c>
      <c r="D257" s="17" t="s">
        <v>99</v>
      </c>
      <c r="E257" s="17" t="s">
        <v>128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24.93673762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12.41490598</v>
      </c>
      <c r="AA257" s="20"/>
      <c r="AB257" s="20">
        <f>IFERROR(__xludf.DUMMYFUNCTION("iferror(PERCENTRANK.INC(FILTER($X$2:$X$422, $U$2:$U$422&lt;3.75), $X257), 1)"),0.325)</f>
        <v>0.325</v>
      </c>
      <c r="AC257" s="20">
        <f>IFERROR(__xludf.DUMMYFUNCTION("iferror(PERCENTRANK.INC(FILTER($X$2:$X$422, $U$2:$U$422&lt;4.25), $X257), 1)"),0.316)</f>
        <v>0.316</v>
      </c>
      <c r="AD257" s="20">
        <f>IFERROR(__xludf.DUMMYFUNCTION("iferror(PERCENTRANK.INC(FILTER($X$2:$X$422, $U$2:$U$422&gt;=4.1), $X257), 0.01)"),0.041)</f>
        <v>0.041</v>
      </c>
      <c r="AE257" s="20"/>
    </row>
    <row r="258" ht="14.25" customHeight="1">
      <c r="A258" s="17" t="s">
        <v>595</v>
      </c>
      <c r="B258" s="17" t="s">
        <v>596</v>
      </c>
      <c r="C258" s="18">
        <v>16.0</v>
      </c>
      <c r="D258" s="17" t="s">
        <v>99</v>
      </c>
      <c r="E258" s="17" t="s">
        <v>244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25.26716585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17.08142615</v>
      </c>
      <c r="AA258" s="20"/>
      <c r="AB258" s="20">
        <f>IFERROR(__xludf.DUMMYFUNCTION("iferror(PERCENTRANK.INC(FILTER($X$2:$X$422, $U$2:$U$422&lt;3.75), $X258), 1)"),0.624)</f>
        <v>0.624</v>
      </c>
      <c r="AC258" s="20">
        <f>IFERROR(__xludf.DUMMYFUNCTION("iferror(PERCENTRANK.INC(FILTER($X$2:$X$422, $U$2:$U$422&lt;4.25), $X258), 1)"),0.607)</f>
        <v>0.607</v>
      </c>
      <c r="AD258" s="20">
        <f>IFERROR(__xludf.DUMMYFUNCTION("iferror(PERCENTRANK.INC(FILTER($X$2:$X$422, $U$2:$U$422&gt;=4.1), $X258), 0.01)"),0.047)</f>
        <v>0.047</v>
      </c>
      <c r="AE258" s="20"/>
    </row>
    <row r="259" ht="14.25" customHeight="1">
      <c r="A259" s="17" t="s">
        <v>597</v>
      </c>
      <c r="B259" s="17" t="s">
        <v>598</v>
      </c>
      <c r="C259" s="18">
        <v>15.0</v>
      </c>
      <c r="D259" s="17" t="s">
        <v>99</v>
      </c>
      <c r="E259" s="17" t="s">
        <v>122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25.16507825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12.79058426</v>
      </c>
      <c r="AA259" s="20"/>
      <c r="AB259" s="20">
        <f>IFERROR(__xludf.DUMMYFUNCTION("iferror(PERCENTRANK.INC(FILTER($X$2:$X$422, $U$2:$U$422&lt;3.75), $X259), 1)"),0.371)</f>
        <v>0.371</v>
      </c>
      <c r="AC259" s="20">
        <f>IFERROR(__xludf.DUMMYFUNCTION("iferror(PERCENTRANK.INC(FILTER($X$2:$X$422, $U$2:$U$422&lt;4.25), $X259), 1)"),0.361)</f>
        <v>0.361</v>
      </c>
      <c r="AD259" s="20">
        <f>IFERROR(__xludf.DUMMYFUNCTION("iferror(PERCENTRANK.INC(FILTER($X$2:$X$422, $U$2:$U$422&gt;=4.1), $X259), 0.01)"),0.042)</f>
        <v>0.042</v>
      </c>
      <c r="AE259" s="20"/>
    </row>
    <row r="260" ht="14.25" customHeight="1">
      <c r="A260" s="17" t="s">
        <v>599</v>
      </c>
      <c r="B260" s="17" t="s">
        <v>235</v>
      </c>
      <c r="C260" s="18">
        <v>12.0</v>
      </c>
      <c r="D260" s="17" t="s">
        <v>99</v>
      </c>
      <c r="E260" s="17" t="s">
        <v>183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25.1647283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13.76968146</v>
      </c>
      <c r="AA260" s="20"/>
      <c r="AB260" s="20">
        <f>IFERROR(__xludf.DUMMYFUNCTION("iferror(PERCENTRANK.INC(FILTER($X$2:$X$422, $U$2:$U$422&lt;3.75), $X260), 1)"),0.456)</f>
        <v>0.456</v>
      </c>
      <c r="AC260" s="20">
        <f>IFERROR(__xludf.DUMMYFUNCTION("iferror(PERCENTRANK.INC(FILTER($X$2:$X$422, $U$2:$U$422&lt;4.25), $X260), 1)"),0.444)</f>
        <v>0.444</v>
      </c>
      <c r="AD260" s="20">
        <f>IFERROR(__xludf.DUMMYFUNCTION("iferror(PERCENTRANK.INC(FILTER($X$2:$X$422, $U$2:$U$422&gt;=4.1), $X260), 0.01)"),0.043)</f>
        <v>0.043</v>
      </c>
      <c r="AE260" s="20"/>
    </row>
    <row r="261" ht="14.25" customHeight="1">
      <c r="A261" s="17" t="s">
        <v>600</v>
      </c>
      <c r="B261" s="17" t="s">
        <v>318</v>
      </c>
      <c r="C261" s="18">
        <v>18.0</v>
      </c>
      <c r="D261" s="17" t="s">
        <v>99</v>
      </c>
      <c r="E261" s="17" t="s">
        <v>125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25.06607054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11.72943739</v>
      </c>
      <c r="AA261" s="20"/>
      <c r="AB261" s="20">
        <f>IFERROR(__xludf.DUMMYFUNCTION("iferror(PERCENTRANK.INC(FILTER($X$2:$X$422, $U$2:$U$422&lt;3.75), $X261), 1)"),0.271)</f>
        <v>0.271</v>
      </c>
      <c r="AC261" s="20">
        <f>IFERROR(__xludf.DUMMYFUNCTION("iferror(PERCENTRANK.INC(FILTER($X$2:$X$422, $U$2:$U$422&lt;4.25), $X261), 1)"),0.263)</f>
        <v>0.263</v>
      </c>
      <c r="AD261" s="20">
        <f>IFERROR(__xludf.DUMMYFUNCTION("iferror(PERCENTRANK.INC(FILTER($X$2:$X$422, $U$2:$U$422&gt;=4.1), $X261), 0.01)"),0.04)</f>
        <v>0.04</v>
      </c>
      <c r="AE261" s="20"/>
    </row>
    <row r="262" ht="14.25" customHeight="1">
      <c r="A262" s="17" t="s">
        <v>601</v>
      </c>
      <c r="B262" s="17" t="s">
        <v>602</v>
      </c>
      <c r="C262" s="18">
        <v>3.0</v>
      </c>
      <c r="D262" s="17" t="s">
        <v>99</v>
      </c>
      <c r="E262" s="17" t="s">
        <v>173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24.62414645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13.15560361</v>
      </c>
      <c r="AA262" s="20"/>
      <c r="AB262" s="20">
        <f>IFERROR(__xludf.DUMMYFUNCTION("iferror(PERCENTRANK.INC(FILTER($X$2:$X$422, $U$2:$U$422&lt;3.75), $X262), 1)"),0.356)</f>
        <v>0.356</v>
      </c>
      <c r="AC262" s="20">
        <f>IFERROR(__xludf.DUMMYFUNCTION("iferror(PERCENTRANK.INC(FILTER($X$2:$X$422, $U$2:$U$422&lt;4.25), $X262), 1)"),0.346)</f>
        <v>0.346</v>
      </c>
      <c r="AD262" s="20">
        <f>IFERROR(__xludf.DUMMYFUNCTION("iferror(PERCENTRANK.INC(FILTER($X$2:$X$422, $U$2:$U$422&gt;=4.1), $X262), 0.01)"),0.041)</f>
        <v>0.041</v>
      </c>
      <c r="AE262" s="20"/>
    </row>
    <row r="263" ht="14.25" customHeight="1">
      <c r="A263" s="17" t="s">
        <v>603</v>
      </c>
      <c r="B263" s="17" t="s">
        <v>302</v>
      </c>
      <c r="C263" s="18">
        <v>16.0</v>
      </c>
      <c r="D263" s="17" t="s">
        <v>99</v>
      </c>
      <c r="E263" s="17" t="s">
        <v>145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25.00214938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12.00661837</v>
      </c>
      <c r="AA263" s="20"/>
      <c r="AB263" s="20">
        <f>IFERROR(__xludf.DUMMYFUNCTION("iferror(PERCENTRANK.INC(FILTER($X$2:$X$422, $U$2:$U$422&lt;3.75), $X263), 1)"),0.296)</f>
        <v>0.296</v>
      </c>
      <c r="AC263" s="20">
        <f>IFERROR(__xludf.DUMMYFUNCTION("iferror(PERCENTRANK.INC(FILTER($X$2:$X$422, $U$2:$U$422&lt;4.25), $X263), 1)"),0.288)</f>
        <v>0.288</v>
      </c>
      <c r="AD263" s="20">
        <f>IFERROR(__xludf.DUMMYFUNCTION("iferror(PERCENTRANK.INC(FILTER($X$2:$X$422, $U$2:$U$422&gt;=4.1), $X263), 0.01)"),0.04)</f>
        <v>0.04</v>
      </c>
      <c r="AE263" s="20"/>
    </row>
    <row r="264" ht="14.25" customHeight="1">
      <c r="A264" s="17" t="s">
        <v>604</v>
      </c>
      <c r="B264" s="17" t="s">
        <v>605</v>
      </c>
      <c r="C264" s="18">
        <v>3.0</v>
      </c>
      <c r="D264" s="17" t="s">
        <v>99</v>
      </c>
      <c r="E264" s="17" t="s">
        <v>133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24.96698813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17.7307693</v>
      </c>
      <c r="AA264" s="20"/>
      <c r="AB264" s="20">
        <f>IFERROR(__xludf.DUMMYFUNCTION("iferror(PERCENTRANK.INC(FILTER($X$2:$X$422, $U$2:$U$422&lt;3.75), $X264), 1)"),0.644)</f>
        <v>0.644</v>
      </c>
      <c r="AC264" s="20">
        <f>IFERROR(__xludf.DUMMYFUNCTION("iferror(PERCENTRANK.INC(FILTER($X$2:$X$422, $U$2:$U$422&lt;4.25), $X264), 1)"),0.627)</f>
        <v>0.627</v>
      </c>
      <c r="AD264" s="20">
        <f>IFERROR(__xludf.DUMMYFUNCTION("iferror(PERCENTRANK.INC(FILTER($X$2:$X$422, $U$2:$U$422&gt;=4.1), $X264), 0.01)"),0.048)</f>
        <v>0.048</v>
      </c>
      <c r="AE264" s="20"/>
    </row>
    <row r="265" ht="14.25" customHeight="1">
      <c r="A265" s="17" t="s">
        <v>606</v>
      </c>
      <c r="B265" s="17" t="s">
        <v>582</v>
      </c>
      <c r="C265" s="18">
        <v>15.0</v>
      </c>
      <c r="D265" s="17" t="s">
        <v>99</v>
      </c>
      <c r="E265" s="17" t="s">
        <v>109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24.53544474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16.54145234</v>
      </c>
      <c r="AA265" s="20"/>
      <c r="AB265" s="20">
        <f>IFERROR(__xludf.DUMMYFUNCTION("iferror(PERCENTRANK.INC(FILTER($X$2:$X$422, $U$2:$U$422&lt;3.75), $X265), 1)"),0.577)</f>
        <v>0.577</v>
      </c>
      <c r="AC265" s="20">
        <f>IFERROR(__xludf.DUMMYFUNCTION("iferror(PERCENTRANK.INC(FILTER($X$2:$X$422, $U$2:$U$422&lt;4.25), $X265), 1)"),0.561)</f>
        <v>0.561</v>
      </c>
      <c r="AD265" s="20">
        <f>IFERROR(__xludf.DUMMYFUNCTION("iferror(PERCENTRANK.INC(FILTER($X$2:$X$422, $U$2:$U$422&gt;=4.1), $X265), 0.01)"),0.045)</f>
        <v>0.045</v>
      </c>
      <c r="AE265" s="20"/>
    </row>
    <row r="266" ht="14.25" customHeight="1">
      <c r="A266" s="17" t="s">
        <v>607</v>
      </c>
      <c r="B266" s="17" t="s">
        <v>467</v>
      </c>
      <c r="C266" s="18">
        <v>2.0</v>
      </c>
      <c r="D266" s="17" t="s">
        <v>99</v>
      </c>
      <c r="E266" s="17" t="s">
        <v>125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24.48132936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15.78038622</v>
      </c>
      <c r="AA266" s="20"/>
      <c r="AB266" s="20">
        <f>IFERROR(__xludf.DUMMYFUNCTION("iferror(PERCENTRANK.INC(FILTER($X$2:$X$422, $U$2:$U$422&lt;3.75), $X266), 1)"),0.539)</f>
        <v>0.539</v>
      </c>
      <c r="AC266" s="20">
        <f>IFERROR(__xludf.DUMMYFUNCTION("iferror(PERCENTRANK.INC(FILTER($X$2:$X$422, $U$2:$U$422&lt;4.25), $X266), 1)"),0.524)</f>
        <v>0.524</v>
      </c>
      <c r="AD266" s="20">
        <f>IFERROR(__xludf.DUMMYFUNCTION("iferror(PERCENTRANK.INC(FILTER($X$2:$X$422, $U$2:$U$422&gt;=4.1), $X266), 0.01)"),0.044)</f>
        <v>0.044</v>
      </c>
      <c r="AE266" s="20"/>
    </row>
    <row r="267" ht="14.25" customHeight="1">
      <c r="A267" s="17" t="s">
        <v>608</v>
      </c>
      <c r="B267" s="17" t="s">
        <v>609</v>
      </c>
      <c r="C267" s="18">
        <v>15.0</v>
      </c>
      <c r="D267" s="17" t="s">
        <v>99</v>
      </c>
      <c r="E267" s="17" t="s">
        <v>159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24.74242892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18.88709218</v>
      </c>
      <c r="AA267" s="20"/>
      <c r="AB267" s="20">
        <f>IFERROR(__xludf.DUMMYFUNCTION("iferror(PERCENTRANK.INC(FILTER($X$2:$X$422, $U$2:$U$422&lt;3.75), $X267), 1)"),0.696)</f>
        <v>0.696</v>
      </c>
      <c r="AC267" s="20">
        <f>IFERROR(__xludf.DUMMYFUNCTION("iferror(PERCENTRANK.INC(FILTER($X$2:$X$422, $U$2:$U$422&lt;4.25), $X267), 1)"),0.677)</f>
        <v>0.677</v>
      </c>
      <c r="AD267" s="20">
        <f>IFERROR(__xludf.DUMMYFUNCTION("iferror(PERCENTRANK.INC(FILTER($X$2:$X$422, $U$2:$U$422&gt;=4.1), $X267), 0.01)"),0.049)</f>
        <v>0.049</v>
      </c>
      <c r="AE267" s="20"/>
    </row>
    <row r="268" ht="14.25" customHeight="1">
      <c r="A268" s="17" t="s">
        <v>610</v>
      </c>
      <c r="B268" s="17" t="s">
        <v>611</v>
      </c>
      <c r="C268" s="18">
        <v>12.0</v>
      </c>
      <c r="D268" s="17" t="s">
        <v>99</v>
      </c>
      <c r="E268" s="17" t="s">
        <v>190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24.53537109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14.36213202</v>
      </c>
      <c r="AA268" s="20"/>
      <c r="AB268" s="20">
        <f>IFERROR(__xludf.DUMMYFUNCTION("iferror(PERCENTRANK.INC(FILTER($X$2:$X$422, $U$2:$U$422&lt;3.75), $X268), 1)"),0.454)</f>
        <v>0.454</v>
      </c>
      <c r="AC268" s="20">
        <f>IFERROR(__xludf.DUMMYFUNCTION("iferror(PERCENTRANK.INC(FILTER($X$2:$X$422, $U$2:$U$422&lt;4.25), $X268), 1)"),0.441)</f>
        <v>0.441</v>
      </c>
      <c r="AD268" s="20">
        <f>IFERROR(__xludf.DUMMYFUNCTION("iferror(PERCENTRANK.INC(FILTER($X$2:$X$422, $U$2:$U$422&gt;=4.1), $X268), 0.01)"),0.043)</f>
        <v>0.043</v>
      </c>
      <c r="AE268" s="20"/>
    </row>
    <row r="269" ht="14.25" customHeight="1">
      <c r="A269" s="17" t="s">
        <v>612</v>
      </c>
      <c r="B269" s="17" t="s">
        <v>613</v>
      </c>
      <c r="C269" s="18">
        <v>18.0</v>
      </c>
      <c r="D269" s="17" t="s">
        <v>99</v>
      </c>
      <c r="E269" s="17" t="s">
        <v>115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23.6610613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14.04479375</v>
      </c>
      <c r="AA269" s="20"/>
      <c r="AB269" s="20">
        <f>IFERROR(__xludf.DUMMYFUNCTION("iferror(PERCENTRANK.INC(FILTER($X$2:$X$422, $U$2:$U$422&lt;3.75), $X269), 1)"),0.351)</f>
        <v>0.351</v>
      </c>
      <c r="AC269" s="20">
        <f>IFERROR(__xludf.DUMMYFUNCTION("iferror(PERCENTRANK.INC(FILTER($X$2:$X$422, $U$2:$U$422&lt;4.25), $X269), 1)"),0.341)</f>
        <v>0.341</v>
      </c>
      <c r="AD269" s="20">
        <f>IFERROR(__xludf.DUMMYFUNCTION("iferror(PERCENTRANK.INC(FILTER($X$2:$X$422, $U$2:$U$422&gt;=4.1), $X269), 0.01)"),0.041)</f>
        <v>0.041</v>
      </c>
      <c r="AE269" s="20"/>
    </row>
    <row r="270" ht="14.25" customHeight="1">
      <c r="A270" s="17" t="s">
        <v>614</v>
      </c>
      <c r="B270" s="17" t="s">
        <v>326</v>
      </c>
      <c r="C270" s="18">
        <v>4.0</v>
      </c>
      <c r="D270" s="17" t="s">
        <v>99</v>
      </c>
      <c r="E270" s="17" t="s">
        <v>156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23.54552198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16.71946087</v>
      </c>
      <c r="AA270" s="20"/>
      <c r="AB270" s="20">
        <f>IFERROR(__xludf.DUMMYFUNCTION("iferror(PERCENTRANK.INC(FILTER($X$2:$X$422, $U$2:$U$422&lt;3.75), $X270), 1)"),0.541)</f>
        <v>0.541</v>
      </c>
      <c r="AC270" s="20">
        <f>IFERROR(__xludf.DUMMYFUNCTION("iferror(PERCENTRANK.INC(FILTER($X$2:$X$422, $U$2:$U$422&lt;4.25), $X270), 1)"),0.526)</f>
        <v>0.526</v>
      </c>
      <c r="AD270" s="20">
        <f>IFERROR(__xludf.DUMMYFUNCTION("iferror(PERCENTRANK.INC(FILTER($X$2:$X$422, $U$2:$U$422&gt;=4.1), $X270), 0.01)"),0.044)</f>
        <v>0.044</v>
      </c>
      <c r="AE270" s="20"/>
    </row>
    <row r="271" ht="14.25" customHeight="1">
      <c r="A271" s="17" t="s">
        <v>615</v>
      </c>
      <c r="B271" s="17" t="s">
        <v>616</v>
      </c>
      <c r="C271" s="18">
        <v>10.0</v>
      </c>
      <c r="D271" s="17" t="s">
        <v>99</v>
      </c>
      <c r="E271" s="17" t="s">
        <v>145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24.17901743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13.40880484</v>
      </c>
      <c r="AA271" s="20"/>
      <c r="AB271" s="20">
        <f>IFERROR(__xludf.DUMMYFUNCTION("iferror(PERCENTRANK.INC(FILTER($X$2:$X$422, $U$2:$U$422&lt;3.75), $X271), 1)"),0.343)</f>
        <v>0.343</v>
      </c>
      <c r="AC271" s="20">
        <f>IFERROR(__xludf.DUMMYFUNCTION("iferror(PERCENTRANK.INC(FILTER($X$2:$X$422, $U$2:$U$422&lt;4.25), $X271), 1)"),0.333)</f>
        <v>0.333</v>
      </c>
      <c r="AD271" s="20">
        <f>IFERROR(__xludf.DUMMYFUNCTION("iferror(PERCENTRANK.INC(FILTER($X$2:$X$422, $U$2:$U$422&gt;=4.1), $X271), 0.01)"),0.041)</f>
        <v>0.041</v>
      </c>
      <c r="AE271" s="20"/>
    </row>
    <row r="272" ht="14.25" customHeight="1">
      <c r="A272" s="17" t="s">
        <v>617</v>
      </c>
      <c r="B272" s="17" t="s">
        <v>618</v>
      </c>
      <c r="C272" s="18">
        <v>9.0</v>
      </c>
      <c r="D272" s="17" t="s">
        <v>99</v>
      </c>
      <c r="E272" s="17" t="s">
        <v>180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24.10208398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14.0182612</v>
      </c>
      <c r="AA272" s="20"/>
      <c r="AB272" s="20">
        <f>IFERROR(__xludf.DUMMYFUNCTION("iferror(PERCENTRANK.INC(FILTER($X$2:$X$422, $U$2:$U$422&lt;3.75), $X272), 1)"),0.384)</f>
        <v>0.384</v>
      </c>
      <c r="AC272" s="20">
        <f>IFERROR(__xludf.DUMMYFUNCTION("iferror(PERCENTRANK.INC(FILTER($X$2:$X$422, $U$2:$U$422&lt;4.25), $X272), 1)"),0.373)</f>
        <v>0.373</v>
      </c>
      <c r="AD272" s="20">
        <f>IFERROR(__xludf.DUMMYFUNCTION("iferror(PERCENTRANK.INC(FILTER($X$2:$X$422, $U$2:$U$422&gt;=4.1), $X272), 0.01)"),0.042)</f>
        <v>0.042</v>
      </c>
      <c r="AE272" s="20"/>
    </row>
    <row r="273" ht="14.25" customHeight="1">
      <c r="A273" s="17" t="s">
        <v>619</v>
      </c>
      <c r="B273" s="17" t="s">
        <v>278</v>
      </c>
      <c r="C273" s="18">
        <v>2.0</v>
      </c>
      <c r="D273" s="17" t="s">
        <v>99</v>
      </c>
      <c r="E273" s="17" t="s">
        <v>133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24.08850819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12.63147543</v>
      </c>
      <c r="AA273" s="20"/>
      <c r="AB273" s="20">
        <f>IFERROR(__xludf.DUMMYFUNCTION("iferror(PERCENTRANK.INC(FILTER($X$2:$X$422, $U$2:$U$422&lt;3.75), $X273), 1)"),0.268)</f>
        <v>0.268</v>
      </c>
      <c r="AC273" s="20">
        <f>IFERROR(__xludf.DUMMYFUNCTION("iferror(PERCENTRANK.INC(FILTER($X$2:$X$422, $U$2:$U$422&lt;4.25), $X273), 1)"),0.261)</f>
        <v>0.261</v>
      </c>
      <c r="AD273" s="20">
        <f>IFERROR(__xludf.DUMMYFUNCTION("iferror(PERCENTRANK.INC(FILTER($X$2:$X$422, $U$2:$U$422&gt;=4.1), $X273), 0.01)"),0.04)</f>
        <v>0.04</v>
      </c>
      <c r="AE273" s="20"/>
    </row>
    <row r="274" ht="14.25" customHeight="1">
      <c r="A274" s="17" t="s">
        <v>620</v>
      </c>
      <c r="B274" s="17" t="s">
        <v>506</v>
      </c>
      <c r="C274" s="18">
        <v>5.0</v>
      </c>
      <c r="D274" s="17" t="s">
        <v>99</v>
      </c>
      <c r="E274" s="17" t="s">
        <v>507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23.31609358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19.17827527</v>
      </c>
      <c r="AA274" s="20"/>
      <c r="AB274" s="20">
        <f>IFERROR(__xludf.DUMMYFUNCTION("iferror(PERCENTRANK.INC(FILTER($X$2:$X$422, $U$2:$U$422&lt;3.75), $X274), 1)"),0.631)</f>
        <v>0.631</v>
      </c>
      <c r="AC274" s="20">
        <f>IFERROR(__xludf.DUMMYFUNCTION("iferror(PERCENTRANK.INC(FILTER($X$2:$X$422, $U$2:$U$422&lt;4.25), $X274), 1)"),0.614)</f>
        <v>0.614</v>
      </c>
      <c r="AD274" s="20">
        <f>IFERROR(__xludf.DUMMYFUNCTION("iferror(PERCENTRANK.INC(FILTER($X$2:$X$422, $U$2:$U$422&gt;=4.1), $X274), 0.01)"),0.047)</f>
        <v>0.047</v>
      </c>
      <c r="AE274" s="20"/>
    </row>
    <row r="275" ht="14.25" customHeight="1">
      <c r="A275" s="17" t="s">
        <v>621</v>
      </c>
      <c r="B275" s="17" t="s">
        <v>304</v>
      </c>
      <c r="C275" s="18">
        <v>5.0</v>
      </c>
      <c r="D275" s="17" t="s">
        <v>99</v>
      </c>
      <c r="E275" s="17" t="s">
        <v>106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23.26923511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8.609083746</v>
      </c>
      <c r="AA275" s="20"/>
      <c r="AB275" s="20">
        <f>IFERROR(__xludf.DUMMYFUNCTION("iferror(PERCENTRANK.INC(FILTER($X$2:$X$422, $U$2:$U$422&lt;3.75), $X275), 1)"),0.072)</f>
        <v>0.072</v>
      </c>
      <c r="AC275" s="20">
        <f>IFERROR(__xludf.DUMMYFUNCTION("iferror(PERCENTRANK.INC(FILTER($X$2:$X$422, $U$2:$U$422&lt;4.25), $X275), 1)"),0.07)</f>
        <v>0.07</v>
      </c>
      <c r="AD275" s="20">
        <f>IFERROR(__xludf.DUMMYFUNCTION("iferror(PERCENTRANK.INC(FILTER($X$2:$X$422, $U$2:$U$422&gt;=4.1), $X275), 0.01)"),0.01)</f>
        <v>0.01</v>
      </c>
      <c r="AE275" s="20"/>
    </row>
    <row r="276" ht="14.25" customHeight="1">
      <c r="A276" s="17" t="s">
        <v>622</v>
      </c>
      <c r="B276" s="17" t="s">
        <v>623</v>
      </c>
      <c r="C276" s="18">
        <v>13.0</v>
      </c>
      <c r="D276" s="17" t="s">
        <v>99</v>
      </c>
      <c r="E276" s="17" t="s">
        <v>183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23.98338185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59.06049412</v>
      </c>
      <c r="AA276" s="20"/>
      <c r="AB276" s="20">
        <f>IFERROR(__xludf.DUMMYFUNCTION("iferror(PERCENTRANK.INC(FILTER($X$2:$X$422, $U$2:$U$422&lt;3.75), $X276), 1)"),0.996)</f>
        <v>0.996</v>
      </c>
      <c r="AC276" s="20">
        <f>IFERROR(__xludf.DUMMYFUNCTION("iferror(PERCENTRANK.INC(FILTER($X$2:$X$422, $U$2:$U$422&lt;4.25), $X276), 1)"),0.994)</f>
        <v>0.994</v>
      </c>
      <c r="AD276" s="20">
        <f>IFERROR(__xludf.DUMMYFUNCTION("iferror(PERCENTRANK.INC(FILTER($X$2:$X$422, $U$2:$U$422&gt;=4.1), $X276), 0.01)"),0.48)</f>
        <v>0.48</v>
      </c>
      <c r="AE276" s="20"/>
    </row>
    <row r="277" ht="14.25" customHeight="1">
      <c r="A277" s="17" t="s">
        <v>624</v>
      </c>
      <c r="B277" s="17" t="s">
        <v>554</v>
      </c>
      <c r="C277" s="18">
        <v>0.0</v>
      </c>
      <c r="D277" s="17" t="s">
        <v>99</v>
      </c>
      <c r="E277" s="17" t="s">
        <v>244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23.9760375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16.50003877</v>
      </c>
      <c r="AA277" s="20"/>
      <c r="AB277" s="20">
        <f>IFERROR(__xludf.DUMMYFUNCTION("iferror(PERCENTRANK.INC(FILTER($X$2:$X$422, $U$2:$U$422&lt;3.75), $X277), 1)"),0.544)</f>
        <v>0.544</v>
      </c>
      <c r="AC277" s="20">
        <f>IFERROR(__xludf.DUMMYFUNCTION("iferror(PERCENTRANK.INC(FILTER($X$2:$X$422, $U$2:$U$422&lt;4.25), $X277), 1)"),0.529)</f>
        <v>0.529</v>
      </c>
      <c r="AD277" s="20">
        <f>IFERROR(__xludf.DUMMYFUNCTION("iferror(PERCENTRANK.INC(FILTER($X$2:$X$422, $U$2:$U$422&gt;=4.1), $X277), 0.01)"),0.045)</f>
        <v>0.045</v>
      </c>
      <c r="AE277" s="20"/>
    </row>
    <row r="278" ht="14.25" customHeight="1">
      <c r="A278" s="17" t="s">
        <v>625</v>
      </c>
      <c r="B278" s="17" t="s">
        <v>430</v>
      </c>
      <c r="C278" s="18">
        <v>3.0</v>
      </c>
      <c r="D278" s="17" t="s">
        <v>99</v>
      </c>
      <c r="E278" s="17" t="s">
        <v>183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23.95732649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16.98426902</v>
      </c>
      <c r="AA278" s="20"/>
      <c r="AB278" s="20">
        <f>IFERROR(__xludf.DUMMYFUNCTION("iferror(PERCENTRANK.INC(FILTER($X$2:$X$422, $U$2:$U$422&lt;3.75), $X278), 1)"),0.57)</f>
        <v>0.57</v>
      </c>
      <c r="AC278" s="20">
        <f>IFERROR(__xludf.DUMMYFUNCTION("iferror(PERCENTRANK.INC(FILTER($X$2:$X$422, $U$2:$U$422&lt;4.25), $X278), 1)"),0.554)</f>
        <v>0.554</v>
      </c>
      <c r="AD278" s="20">
        <f>IFERROR(__xludf.DUMMYFUNCTION("iferror(PERCENTRANK.INC(FILTER($X$2:$X$422, $U$2:$U$422&gt;=4.1), $X278), 0.01)"),0.045)</f>
        <v>0.045</v>
      </c>
      <c r="AE278" s="20"/>
    </row>
    <row r="279" ht="14.25" customHeight="1">
      <c r="A279" s="17" t="s">
        <v>626</v>
      </c>
      <c r="B279" s="17" t="s">
        <v>627</v>
      </c>
      <c r="C279" s="18">
        <v>16.0</v>
      </c>
      <c r="D279" s="17" t="s">
        <v>99</v>
      </c>
      <c r="E279" s="17" t="s">
        <v>173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23.76862976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14.78537902</v>
      </c>
      <c r="AA279" s="20"/>
      <c r="AB279" s="20">
        <f>IFERROR(__xludf.DUMMYFUNCTION("iferror(PERCENTRANK.INC(FILTER($X$2:$X$422, $U$2:$U$422&lt;3.75), $X279), 1)"),0.425)</f>
        <v>0.425</v>
      </c>
      <c r="AC279" s="20">
        <f>IFERROR(__xludf.DUMMYFUNCTION("iferror(PERCENTRANK.INC(FILTER($X$2:$X$422, $U$2:$U$422&lt;4.25), $X279), 1)"),0.414)</f>
        <v>0.414</v>
      </c>
      <c r="AD279" s="20">
        <f>IFERROR(__xludf.DUMMYFUNCTION("iferror(PERCENTRANK.INC(FILTER($X$2:$X$422, $U$2:$U$422&gt;=4.1), $X279), 0.01)"),0.042)</f>
        <v>0.042</v>
      </c>
      <c r="AE279" s="20"/>
    </row>
    <row r="280" ht="14.25" customHeight="1">
      <c r="A280" s="17" t="s">
        <v>628</v>
      </c>
      <c r="B280" s="17" t="s">
        <v>520</v>
      </c>
      <c r="C280" s="18">
        <v>10.0</v>
      </c>
      <c r="D280" s="17" t="s">
        <v>99</v>
      </c>
      <c r="E280" s="17" t="s">
        <v>128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23.33889426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2.038916214</v>
      </c>
      <c r="AA280" s="20"/>
      <c r="AB280" s="20">
        <f>IFERROR(__xludf.DUMMYFUNCTION("iferror(PERCENTRANK.INC(FILTER($X$2:$X$422, $U$2:$U$422&lt;3.75), $X280), 1)"),0.023)</f>
        <v>0.023</v>
      </c>
      <c r="AC280" s="20">
        <f>IFERROR(__xludf.DUMMYFUNCTION("iferror(PERCENTRANK.INC(FILTER($X$2:$X$422, $U$2:$U$422&lt;4.25), $X280), 1)"),0.023)</f>
        <v>0.023</v>
      </c>
      <c r="AD280" s="20">
        <f>IFERROR(__xludf.DUMMYFUNCTION("iferror(PERCENTRANK.INC(FILTER($X$2:$X$422, $U$2:$U$422&gt;=4.1), $X280), 0.01)"),0.01)</f>
        <v>0.01</v>
      </c>
      <c r="AE280" s="20"/>
    </row>
    <row r="281" ht="14.25" customHeight="1">
      <c r="A281" s="17" t="s">
        <v>629</v>
      </c>
      <c r="B281" s="17" t="s">
        <v>611</v>
      </c>
      <c r="C281" s="18">
        <v>2.0</v>
      </c>
      <c r="D281" s="17" t="s">
        <v>99</v>
      </c>
      <c r="E281" s="17" t="s">
        <v>190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23.56375069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12.92017819</v>
      </c>
      <c r="AA281" s="20"/>
      <c r="AB281" s="20">
        <f>IFERROR(__xludf.DUMMYFUNCTION("iferror(PERCENTRANK.INC(FILTER($X$2:$X$422, $U$2:$U$422&lt;3.75), $X281), 1)"),0.237)</f>
        <v>0.237</v>
      </c>
      <c r="AC281" s="20">
        <f>IFERROR(__xludf.DUMMYFUNCTION("iferror(PERCENTRANK.INC(FILTER($X$2:$X$422, $U$2:$U$422&lt;4.25), $X281), 1)"),0.231)</f>
        <v>0.231</v>
      </c>
      <c r="AD281" s="20">
        <f>IFERROR(__xludf.DUMMYFUNCTION("iferror(PERCENTRANK.INC(FILTER($X$2:$X$422, $U$2:$U$422&gt;=4.1),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1.0</v>
      </c>
      <c r="D282" s="17" t="s">
        <v>99</v>
      </c>
      <c r="E282" s="17" t="s">
        <v>244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23.56071913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13.38645801</v>
      </c>
      <c r="AA282" s="20"/>
      <c r="AB282" s="20">
        <f>IFERROR(__xludf.DUMMYFUNCTION("iferror(PERCENTRANK.INC(FILTER($X$2:$X$422, $U$2:$U$422&lt;3.75), $X282), 1)"),0.294)</f>
        <v>0.294</v>
      </c>
      <c r="AC282" s="20">
        <f>IFERROR(__xludf.DUMMYFUNCTION("iferror(PERCENTRANK.INC(FILTER($X$2:$X$422, $U$2:$U$422&lt;4.25), $X282), 1)"),0.286)</f>
        <v>0.286</v>
      </c>
      <c r="AD282" s="20">
        <f>IFERROR(__xludf.DUMMYFUNCTION("iferror(PERCENTRANK.INC(FILTER($X$2:$X$422, $U$2:$U$422&gt;=4.1), $X282), 0.01)"),0.04)</f>
        <v>0.04</v>
      </c>
      <c r="AE282" s="20"/>
    </row>
    <row r="283" ht="14.25" customHeight="1">
      <c r="A283" s="17" t="s">
        <v>632</v>
      </c>
      <c r="B283" s="17" t="s">
        <v>633</v>
      </c>
      <c r="C283" s="18">
        <v>3.0</v>
      </c>
      <c r="D283" s="17" t="s">
        <v>99</v>
      </c>
      <c r="E283" s="17" t="s">
        <v>159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23.39269681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16.60890545</v>
      </c>
      <c r="AA283" s="20"/>
      <c r="AB283" s="20">
        <f>IFERROR(__xludf.DUMMYFUNCTION("iferror(PERCENTRANK.INC(FILTER($X$2:$X$422, $U$2:$U$422&lt;3.75), $X283), 1)"),0.526)</f>
        <v>0.526</v>
      </c>
      <c r="AC283" s="20">
        <f>IFERROR(__xludf.DUMMYFUNCTION("iferror(PERCENTRANK.INC(FILTER($X$2:$X$422, $U$2:$U$422&lt;4.25), $X283), 1)"),0.511)</f>
        <v>0.511</v>
      </c>
      <c r="AD283" s="20">
        <f>IFERROR(__xludf.DUMMYFUNCTION("iferror(PERCENTRANK.INC(FILTER($X$2:$X$422, $U$2:$U$422&gt;=4.1), $X283), 0.01)"),0.044)</f>
        <v>0.044</v>
      </c>
      <c r="AE283" s="20"/>
    </row>
    <row r="284" ht="14.25" customHeight="1">
      <c r="A284" s="17" t="s">
        <v>634</v>
      </c>
      <c r="B284" s="17" t="s">
        <v>568</v>
      </c>
      <c r="C284" s="18">
        <v>15.0</v>
      </c>
      <c r="D284" s="17" t="s">
        <v>99</v>
      </c>
      <c r="E284" s="17" t="s">
        <v>139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22.89280933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15.28844119</v>
      </c>
      <c r="AA284" s="20"/>
      <c r="AB284" s="20">
        <f>IFERROR(__xludf.DUMMYFUNCTION("iferror(PERCENTRANK.INC(FILTER($X$2:$X$422, $U$2:$U$422&lt;3.75), $X284), 1)"),0.397)</f>
        <v>0.397</v>
      </c>
      <c r="AC284" s="20">
        <f>IFERROR(__xludf.DUMMYFUNCTION("iferror(PERCENTRANK.INC(FILTER($X$2:$X$422, $U$2:$U$422&lt;4.25), $X284), 1)"),0.386)</f>
        <v>0.386</v>
      </c>
      <c r="AD284" s="20">
        <f>IFERROR(__xludf.DUMMYFUNCTION("iferror(PERCENTRANK.INC(FILTER($X$2:$X$422, $U$2:$U$422&gt;=4.1), $X284), 0.01)"),0.042)</f>
        <v>0.042</v>
      </c>
      <c r="AE284" s="20"/>
    </row>
    <row r="285" ht="14.25" customHeight="1">
      <c r="A285" s="17" t="s">
        <v>635</v>
      </c>
      <c r="B285" s="17" t="s">
        <v>391</v>
      </c>
      <c r="C285" s="18">
        <v>7.0</v>
      </c>
      <c r="D285" s="17" t="s">
        <v>99</v>
      </c>
      <c r="E285" s="17" t="s">
        <v>148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23.10507128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10.97036126</v>
      </c>
      <c r="AA285" s="20"/>
      <c r="AB285" s="20">
        <f>IFERROR(__xludf.DUMMYFUNCTION("iferror(PERCENTRANK.INC(FILTER($X$2:$X$422, $U$2:$U$422&lt;3.75), $X285), 1)"),0.106)</f>
        <v>0.106</v>
      </c>
      <c r="AC285" s="20">
        <f>IFERROR(__xludf.DUMMYFUNCTION("iferror(PERCENTRANK.INC(FILTER($X$2:$X$422, $U$2:$U$422&lt;4.25), $X285), 1)"),0.103)</f>
        <v>0.103</v>
      </c>
      <c r="AD285" s="20">
        <f>IFERROR(__xludf.DUMMYFUNCTION("iferror(PERCENTRANK.INC(FILTER($X$2:$X$422, $U$2:$U$422&gt;=4.1), $X285), 0.01)"),0.01)</f>
        <v>0.01</v>
      </c>
      <c r="AE285" s="20"/>
    </row>
    <row r="286" ht="14.25" customHeight="1">
      <c r="A286" s="17" t="s">
        <v>636</v>
      </c>
      <c r="B286" s="17" t="s">
        <v>598</v>
      </c>
      <c r="C286" s="18">
        <v>8.0</v>
      </c>
      <c r="D286" s="17" t="s">
        <v>99</v>
      </c>
      <c r="E286" s="17" t="s">
        <v>122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22.54332577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13.72254006</v>
      </c>
      <c r="AA286" s="20"/>
      <c r="AB286" s="20">
        <f>IFERROR(__xludf.DUMMYFUNCTION("iferror(PERCENTRANK.INC(FILTER($X$2:$X$422, $U$2:$U$422&lt;3.75), $X286), 1)"),0.227)</f>
        <v>0.227</v>
      </c>
      <c r="AC286" s="20">
        <f>IFERROR(__xludf.DUMMYFUNCTION("iferror(PERCENTRANK.INC(FILTER($X$2:$X$422, $U$2:$U$422&lt;4.25), $X286), 1)"),0.221)</f>
        <v>0.221</v>
      </c>
      <c r="AD286" s="20">
        <f>IFERROR(__xludf.DUMMYFUNCTION("iferror(PERCENTRANK.INC(FILTER($X$2:$X$422, $U$2:$U$422&gt;=4.1), $X286), 0.01)"),0.01)</f>
        <v>0.01</v>
      </c>
      <c r="AE286" s="20"/>
    </row>
    <row r="287" ht="14.25" customHeight="1">
      <c r="A287" s="17" t="s">
        <v>637</v>
      </c>
      <c r="B287" s="17" t="s">
        <v>618</v>
      </c>
      <c r="C287" s="18">
        <v>10.0</v>
      </c>
      <c r="D287" s="17" t="s">
        <v>99</v>
      </c>
      <c r="E287" s="17" t="s">
        <v>180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22.71984129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15.69447973</v>
      </c>
      <c r="AA287" s="20"/>
      <c r="AB287" s="20">
        <f>IFERROR(__xludf.DUMMYFUNCTION("iferror(PERCENTRANK.INC(FILTER($X$2:$X$422, $U$2:$U$422&lt;3.75), $X287), 1)"),0.415)</f>
        <v>0.415</v>
      </c>
      <c r="AC287" s="20">
        <f>IFERROR(__xludf.DUMMYFUNCTION("iferror(PERCENTRANK.INC(FILTER($X$2:$X$422, $U$2:$U$422&lt;4.25), $X287), 1)"),0.404)</f>
        <v>0.404</v>
      </c>
      <c r="AD287" s="20">
        <f>IFERROR(__xludf.DUMMYFUNCTION("iferror(PERCENTRANK.INC(FILTER($X$2:$X$422, $U$2:$U$422&gt;=4.1), $X287), 0.01)"),0.042)</f>
        <v>0.042</v>
      </c>
      <c r="AE287" s="20"/>
    </row>
    <row r="288" ht="14.25" customHeight="1">
      <c r="A288" s="17" t="s">
        <v>638</v>
      </c>
      <c r="B288" s="17" t="s">
        <v>524</v>
      </c>
      <c r="C288" s="18">
        <v>7.0</v>
      </c>
      <c r="D288" s="17" t="s">
        <v>99</v>
      </c>
      <c r="E288" s="17" t="s">
        <v>190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22.65069257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22.54743493</v>
      </c>
      <c r="AA288" s="20"/>
      <c r="AB288" s="20">
        <f>IFERROR(__xludf.DUMMYFUNCTION("iferror(PERCENTRANK.INC(FILTER($X$2:$X$422, $U$2:$U$422&lt;3.75), $X288), 1)"),0.768)</f>
        <v>0.768</v>
      </c>
      <c r="AC288" s="20">
        <f>IFERROR(__xludf.DUMMYFUNCTION("iferror(PERCENTRANK.INC(FILTER($X$2:$X$422, $U$2:$U$422&lt;4.25), $X288), 1)"),0.747)</f>
        <v>0.747</v>
      </c>
      <c r="AD288" s="20">
        <f>IFERROR(__xludf.DUMMYFUNCTION("iferror(PERCENTRANK.INC(FILTER($X$2:$X$422, $U$2:$U$422&gt;=4.1), $X288), 0.01)"),0.051)</f>
        <v>0.051</v>
      </c>
      <c r="AE288" s="20"/>
    </row>
    <row r="289" ht="14.25" customHeight="1">
      <c r="A289" s="17" t="s">
        <v>639</v>
      </c>
      <c r="B289" s="17" t="s">
        <v>294</v>
      </c>
      <c r="C289" s="18">
        <v>1.0</v>
      </c>
      <c r="D289" s="17" t="s">
        <v>99</v>
      </c>
      <c r="E289" s="17" t="s">
        <v>118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22.62432414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18.4153011</v>
      </c>
      <c r="AA289" s="20"/>
      <c r="AB289" s="20">
        <f>IFERROR(__xludf.DUMMYFUNCTION("iferror(PERCENTRANK.INC(FILTER($X$2:$X$422, $U$2:$U$422&lt;3.75), $X289), 1)"),0.575)</f>
        <v>0.575</v>
      </c>
      <c r="AC289" s="20">
        <f>IFERROR(__xludf.DUMMYFUNCTION("iferror(PERCENTRANK.INC(FILTER($X$2:$X$422, $U$2:$U$422&lt;4.25), $X289), 1)"),0.559)</f>
        <v>0.559</v>
      </c>
      <c r="AD289" s="20">
        <f>IFERROR(__xludf.DUMMYFUNCTION("iferror(PERCENTRANK.INC(FILTER($X$2:$X$422, $U$2:$U$422&gt;=4.1), $X289), 0.01)"),0.045)</f>
        <v>0.045</v>
      </c>
      <c r="AE289" s="20"/>
    </row>
    <row r="290" ht="14.25" customHeight="1">
      <c r="A290" s="17" t="s">
        <v>640</v>
      </c>
      <c r="B290" s="17" t="s">
        <v>496</v>
      </c>
      <c r="C290" s="18">
        <v>17.0</v>
      </c>
      <c r="D290" s="17" t="s">
        <v>99</v>
      </c>
      <c r="E290" s="17" t="s">
        <v>183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22.17293311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18.596915</v>
      </c>
      <c r="AA290" s="20"/>
      <c r="AB290" s="20">
        <f>IFERROR(__xludf.DUMMYFUNCTION("iferror(PERCENTRANK.INC(FILTER($X$2:$X$422, $U$2:$U$422&lt;3.75), $X290), 1)"),0.554)</f>
        <v>0.554</v>
      </c>
      <c r="AC290" s="20">
        <f>IFERROR(__xludf.DUMMYFUNCTION("iferror(PERCENTRANK.INC(FILTER($X$2:$X$422, $U$2:$U$422&lt;4.25), $X290), 1)"),0.539)</f>
        <v>0.539</v>
      </c>
      <c r="AD290" s="20">
        <f>IFERROR(__xludf.DUMMYFUNCTION("iferror(PERCENTRANK.INC(FILTER($X$2:$X$422, $U$2:$U$422&gt;=4.1), $X290), 0.01)"),0.045)</f>
        <v>0.045</v>
      </c>
      <c r="AE290" s="20"/>
    </row>
    <row r="291" ht="14.25" customHeight="1">
      <c r="A291" s="17" t="s">
        <v>641</v>
      </c>
      <c r="B291" s="17" t="s">
        <v>559</v>
      </c>
      <c r="C291" s="18">
        <v>8.0</v>
      </c>
      <c r="D291" s="17" t="s">
        <v>99</v>
      </c>
      <c r="E291" s="17" t="s">
        <v>100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22.03896945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49.06759436</v>
      </c>
      <c r="AA291" s="20"/>
      <c r="AB291" s="20">
        <f>IFERROR(__xludf.DUMMYFUNCTION("iferror(PERCENTRANK.INC(FILTER($X$2:$X$422, $U$2:$U$422&lt;3.75), $X291), 1)"),0.986)</f>
        <v>0.986</v>
      </c>
      <c r="AC291" s="20">
        <f>IFERROR(__xludf.DUMMYFUNCTION("iferror(PERCENTRANK.INC(FILTER($X$2:$X$422, $U$2:$U$422&lt;4.25), $X291), 1)"),0.962)</f>
        <v>0.962</v>
      </c>
      <c r="AD291" s="20">
        <f>IFERROR(__xludf.DUMMYFUNCTION("iferror(PERCENTRANK.INC(FILTER($X$2:$X$422, $U$2:$U$422&gt;=4.1), $X291), 0.01)"),0.107)</f>
        <v>0.107</v>
      </c>
      <c r="AE291" s="20"/>
    </row>
    <row r="292" ht="14.25" customHeight="1">
      <c r="A292" s="17" t="s">
        <v>642</v>
      </c>
      <c r="B292" s="17" t="s">
        <v>300</v>
      </c>
      <c r="C292" s="18">
        <v>6.0</v>
      </c>
      <c r="D292" s="17" t="s">
        <v>99</v>
      </c>
      <c r="E292" s="17" t="s">
        <v>148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22.33822077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19.34598914</v>
      </c>
      <c r="AA292" s="20"/>
      <c r="AB292" s="20">
        <f>IFERROR(__xludf.DUMMYFUNCTION("iferror(PERCENTRANK.INC(FILTER($X$2:$X$422, $U$2:$U$422&lt;3.75), $X292), 1)"),0.598)</f>
        <v>0.598</v>
      </c>
      <c r="AC292" s="20">
        <f>IFERROR(__xludf.DUMMYFUNCTION("iferror(PERCENTRANK.INC(FILTER($X$2:$X$422, $U$2:$U$422&lt;4.25), $X292), 1)"),0.581)</f>
        <v>0.581</v>
      </c>
      <c r="AD292" s="20">
        <f>IFERROR(__xludf.DUMMYFUNCTION("iferror(PERCENTRANK.INC(FILTER($X$2:$X$422, $U$2:$U$422&gt;=4.1), $X292), 0.01)"),0.046)</f>
        <v>0.046</v>
      </c>
      <c r="AE292" s="20"/>
    </row>
    <row r="293" ht="14.25" customHeight="1">
      <c r="A293" s="17" t="s">
        <v>643</v>
      </c>
      <c r="B293" s="17" t="s">
        <v>256</v>
      </c>
      <c r="C293" s="18">
        <v>11.0</v>
      </c>
      <c r="D293" s="17" t="s">
        <v>99</v>
      </c>
      <c r="E293" s="17" t="s">
        <v>125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22.2334787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16.95009588</v>
      </c>
      <c r="AA293" s="20"/>
      <c r="AB293" s="20">
        <f>IFERROR(__xludf.DUMMYFUNCTION("iferror(PERCENTRANK.INC(FILTER($X$2:$X$422, $U$2:$U$422&lt;3.75), $X293), 1)"),0.472)</f>
        <v>0.472</v>
      </c>
      <c r="AC293" s="20">
        <f>IFERROR(__xludf.DUMMYFUNCTION("iferror(PERCENTRANK.INC(FILTER($X$2:$X$422, $U$2:$U$422&lt;4.25), $X293), 1)"),0.459)</f>
        <v>0.459</v>
      </c>
      <c r="AD293" s="20">
        <f>IFERROR(__xludf.DUMMYFUNCTION("iferror(PERCENTRANK.INC(FILTER($X$2:$X$422, $U$2:$U$422&gt;=4.1), $X293), 0.01)"),0.043)</f>
        <v>0.043</v>
      </c>
      <c r="AE293" s="20"/>
    </row>
    <row r="294" ht="14.25" customHeight="1">
      <c r="A294" s="17" t="s">
        <v>644</v>
      </c>
      <c r="B294" s="17" t="s">
        <v>645</v>
      </c>
      <c r="C294" s="18">
        <v>8.0</v>
      </c>
      <c r="D294" s="17" t="s">
        <v>99</v>
      </c>
      <c r="E294" s="17" t="s">
        <v>103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22.21647623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17.93811092</v>
      </c>
      <c r="AA294" s="20"/>
      <c r="AB294" s="20">
        <f>IFERROR(__xludf.DUMMYFUNCTION("iferror(PERCENTRANK.INC(FILTER($X$2:$X$422, $U$2:$U$422&lt;3.75), $X294), 1)"),0.534)</f>
        <v>0.534</v>
      </c>
      <c r="AC294" s="20">
        <f>IFERROR(__xludf.DUMMYFUNCTION("iferror(PERCENTRANK.INC(FILTER($X$2:$X$422, $U$2:$U$422&lt;4.25), $X294), 1)"),0.519)</f>
        <v>0.519</v>
      </c>
      <c r="AD294" s="20">
        <f>IFERROR(__xludf.DUMMYFUNCTION("iferror(PERCENTRANK.INC(FILTER($X$2:$X$422, $U$2:$U$422&gt;=4.1), $X294), 0.01)"),0.044)</f>
        <v>0.044</v>
      </c>
      <c r="AE294" s="20"/>
    </row>
    <row r="295" ht="14.25" customHeight="1">
      <c r="A295" s="17" t="s">
        <v>646</v>
      </c>
      <c r="B295" s="17" t="s">
        <v>647</v>
      </c>
      <c r="C295" s="18">
        <v>15.0</v>
      </c>
      <c r="D295" s="17" t="s">
        <v>99</v>
      </c>
      <c r="E295" s="17" t="s">
        <v>211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22.1961449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15.86828772</v>
      </c>
      <c r="AA295" s="20"/>
      <c r="AB295" s="20">
        <f>IFERROR(__xludf.DUMMYFUNCTION("iferror(PERCENTRANK.INC(FILTER($X$2:$X$422, $U$2:$U$422&lt;3.75), $X295), 1)"),0.376)</f>
        <v>0.376</v>
      </c>
      <c r="AC295" s="20">
        <f>IFERROR(__xludf.DUMMYFUNCTION("iferror(PERCENTRANK.INC(FILTER($X$2:$X$422, $U$2:$U$422&lt;4.25), $X295), 1)"),0.366)</f>
        <v>0.366</v>
      </c>
      <c r="AD295" s="20">
        <f>IFERROR(__xludf.DUMMYFUNCTION("iferror(PERCENTRANK.INC(FILTER($X$2:$X$422, $U$2:$U$422&gt;=4.1), $X295), 0.01)"),0.042)</f>
        <v>0.042</v>
      </c>
      <c r="AE295" s="20"/>
    </row>
    <row r="296" ht="14.25" customHeight="1">
      <c r="A296" s="17" t="s">
        <v>648</v>
      </c>
      <c r="B296" s="17" t="s">
        <v>645</v>
      </c>
      <c r="C296" s="18">
        <v>15.0</v>
      </c>
      <c r="D296" s="17" t="s">
        <v>99</v>
      </c>
      <c r="E296" s="17" t="s">
        <v>103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13.58565806</v>
      </c>
      <c r="AA296" s="20"/>
      <c r="AB296" s="20">
        <f>IFERROR(__xludf.DUMMYFUNCTION("iferror(PERCENTRANK.INC(FILTER($X$2:$X$422, $U$2:$U$422&lt;3.75), $X296), 1)"),0.175)</f>
        <v>0.175</v>
      </c>
      <c r="AC296" s="20">
        <f>IFERROR(__xludf.DUMMYFUNCTION("iferror(PERCENTRANK.INC(FILTER($X$2:$X$422, $U$2:$U$422&lt;4.25), $X296), 1)"),0.17)</f>
        <v>0.17</v>
      </c>
      <c r="AD296" s="20">
        <f>IFERROR(__xludf.DUMMYFUNCTION("iferror(PERCENTRANK.INC(FILTER($X$2:$X$422, $U$2:$U$422&gt;=4.1), $X296), 0.01)"),0.01)</f>
        <v>0.01</v>
      </c>
      <c r="AE296" s="20"/>
    </row>
    <row r="297" ht="14.25" customHeight="1">
      <c r="A297" s="17" t="s">
        <v>649</v>
      </c>
      <c r="B297" s="17" t="s">
        <v>177</v>
      </c>
      <c r="C297" s="18">
        <v>3.0</v>
      </c>
      <c r="D297" s="17" t="s">
        <v>99</v>
      </c>
      <c r="E297" s="17" t="s">
        <v>115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4.363929013</v>
      </c>
      <c r="AA297" s="20"/>
      <c r="AB297" s="20">
        <f>IFERROR(__xludf.DUMMYFUNCTION("iferror(PERCENTRANK.INC(FILTER($X$2:$X$422, $U$2:$U$422&lt;3.75), $X297), 1)"),0.028)</f>
        <v>0.028</v>
      </c>
      <c r="AC297" s="20">
        <f>IFERROR(__xludf.DUMMYFUNCTION("iferror(PERCENTRANK.INC(FILTER($X$2:$X$422, $U$2:$U$422&lt;4.25), $X297), 1)"),0.028)</f>
        <v>0.028</v>
      </c>
      <c r="AD297" s="20">
        <f>IFERROR(__xludf.DUMMYFUNCTION("iferror(PERCENTRANK.INC(FILTER($X$2:$X$422, $U$2:$U$422&gt;=4.1), $X297), 0.01)"),0.01)</f>
        <v>0.01</v>
      </c>
      <c r="AE297" s="20"/>
    </row>
    <row r="298" ht="14.25" customHeight="1">
      <c r="A298" s="17" t="s">
        <v>650</v>
      </c>
      <c r="B298" s="17" t="s">
        <v>292</v>
      </c>
      <c r="C298" s="18">
        <v>21.0</v>
      </c>
      <c r="D298" s="17" t="s">
        <v>99</v>
      </c>
      <c r="E298" s="17" t="s">
        <v>139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10.33802131</v>
      </c>
      <c r="AA298" s="20"/>
      <c r="AB298" s="20">
        <f>IFERROR(__xludf.DUMMYFUNCTION("iferror(PERCENTRANK.INC(FILTER($X$2:$X$422, $U$2:$U$422&lt;3.75), $X298), 1)"),0.077)</f>
        <v>0.077</v>
      </c>
      <c r="AC298" s="20">
        <f>IFERROR(__xludf.DUMMYFUNCTION("iferror(PERCENTRANK.INC(FILTER($X$2:$X$422, $U$2:$U$422&lt;4.25), $X298), 1)"),0.075)</f>
        <v>0.075</v>
      </c>
      <c r="AD298" s="20">
        <f>IFERROR(__xludf.DUMMYFUNCTION("iferror(PERCENTRANK.INC(FILTER($X$2:$X$422, $U$2:$U$422&gt;=4.1), $X298), 0.01)"),0.01)</f>
        <v>0.01</v>
      </c>
      <c r="AE298" s="20"/>
    </row>
    <row r="299" ht="14.25" customHeight="1">
      <c r="A299" s="17" t="s">
        <v>651</v>
      </c>
      <c r="B299" s="17" t="s">
        <v>652</v>
      </c>
      <c r="C299" s="18">
        <v>15.0</v>
      </c>
      <c r="D299" s="17" t="s">
        <v>99</v>
      </c>
      <c r="E299" s="17" t="s">
        <v>148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15.61262391</v>
      </c>
      <c r="AA299" s="20"/>
      <c r="AB299" s="20">
        <f>IFERROR(__xludf.DUMMYFUNCTION("iferror(PERCENTRANK.INC(FILTER($X$2:$X$422, $U$2:$U$422&lt;3.75), $X299), 1)"),0.338)</f>
        <v>0.338</v>
      </c>
      <c r="AC299" s="20">
        <f>IFERROR(__xludf.DUMMYFUNCTION("iferror(PERCENTRANK.INC(FILTER($X$2:$X$422, $U$2:$U$422&lt;4.25), $X299), 1)"),0.328)</f>
        <v>0.328</v>
      </c>
      <c r="AD299" s="20">
        <f>IFERROR(__xludf.DUMMYFUNCTION("iferror(PERCENTRANK.INC(FILTER($X$2:$X$422, $U$2:$U$422&gt;=4.1), $X299), 0.01)"),0.041)</f>
        <v>0.041</v>
      </c>
      <c r="AE299" s="20"/>
    </row>
    <row r="300" ht="14.25" customHeight="1">
      <c r="A300" s="17" t="s">
        <v>653</v>
      </c>
      <c r="B300" s="17" t="s">
        <v>654</v>
      </c>
      <c r="C300" s="18">
        <v>17.0</v>
      </c>
      <c r="D300" s="17" t="s">
        <v>99</v>
      </c>
      <c r="E300" s="17" t="s">
        <v>136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17.95998296</v>
      </c>
      <c r="AA300" s="20"/>
      <c r="AB300" s="20">
        <f>IFERROR(__xludf.DUMMYFUNCTION("iferror(PERCENTRANK.INC(FILTER($X$2:$X$422, $U$2:$U$422&lt;3.75), $X300), 1)"),0.51)</f>
        <v>0.51</v>
      </c>
      <c r="AC300" s="20">
        <f>IFERROR(__xludf.DUMMYFUNCTION("iferror(PERCENTRANK.INC(FILTER($X$2:$X$422, $U$2:$U$422&lt;4.25), $X300), 1)"),0.496)</f>
        <v>0.496</v>
      </c>
      <c r="AD300" s="20">
        <f>IFERROR(__xludf.DUMMYFUNCTION("iferror(PERCENTRANK.INC(FILTER($X$2:$X$422, $U$2:$U$422&gt;=4.1), $X300), 0.01)"),0.044)</f>
        <v>0.044</v>
      </c>
      <c r="AE300" s="20"/>
    </row>
    <row r="301" ht="14.25" customHeight="1">
      <c r="A301" s="17" t="s">
        <v>655</v>
      </c>
      <c r="B301" s="17" t="s">
        <v>656</v>
      </c>
      <c r="C301" s="18">
        <v>14.0</v>
      </c>
      <c r="D301" s="17" t="s">
        <v>99</v>
      </c>
      <c r="E301" s="17" t="s">
        <v>190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16.85965007</v>
      </c>
      <c r="AA301" s="20"/>
      <c r="AB301" s="20">
        <f>IFERROR(__xludf.DUMMYFUNCTION("iferror(PERCENTRANK.INC(FILTER($X$2:$X$422, $U$2:$U$422&lt;3.75), $X301), 1)"),0.41)</f>
        <v>0.41</v>
      </c>
      <c r="AC301" s="20">
        <f>IFERROR(__xludf.DUMMYFUNCTION("iferror(PERCENTRANK.INC(FILTER($X$2:$X$422, $U$2:$U$422&lt;4.25), $X301), 1)"),0.398)</f>
        <v>0.398</v>
      </c>
      <c r="AD301" s="20">
        <f>IFERROR(__xludf.DUMMYFUNCTION("iferror(PERCENTRANK.INC(FILTER($X$2:$X$422, $U$2:$U$422&gt;=4.1), $X301), 0.01)"),0.042)</f>
        <v>0.042</v>
      </c>
      <c r="AE301" s="20"/>
    </row>
    <row r="302" ht="14.25" customHeight="1">
      <c r="A302" s="17" t="s">
        <v>657</v>
      </c>
      <c r="B302" s="17" t="s">
        <v>393</v>
      </c>
      <c r="C302" s="18">
        <v>10.0</v>
      </c>
      <c r="D302" s="17" t="s">
        <v>99</v>
      </c>
      <c r="E302" s="17" t="s">
        <v>122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18.00557741</v>
      </c>
      <c r="AA302" s="20"/>
      <c r="AB302" s="20">
        <f>IFERROR(__xludf.DUMMYFUNCTION("iferror(PERCENTRANK.INC(FILTER($X$2:$X$422, $U$2:$U$422&lt;3.75), $X302), 1)"),0.492)</f>
        <v>0.492</v>
      </c>
      <c r="AC302" s="20">
        <f>IFERROR(__xludf.DUMMYFUNCTION("iferror(PERCENTRANK.INC(FILTER($X$2:$X$422, $U$2:$U$422&lt;4.25), $X302), 1)"),0.479)</f>
        <v>0.479</v>
      </c>
      <c r="AD302" s="20">
        <f>IFERROR(__xludf.DUMMYFUNCTION("iferror(PERCENTRANK.INC(FILTER($X$2:$X$422, $U$2:$U$422&gt;=4.1), $X302), 0.01)"),0.044)</f>
        <v>0.044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136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13.54909676</v>
      </c>
      <c r="AA303" s="20"/>
      <c r="AB303" s="20">
        <f>IFERROR(__xludf.DUMMYFUNCTION("iferror(PERCENTRANK.INC(FILTER($X$2:$X$422, $U$2:$U$422&lt;3.75), $X303), 1)"),0.157)</f>
        <v>0.157</v>
      </c>
      <c r="AC303" s="20">
        <f>IFERROR(__xludf.DUMMYFUNCTION("iferror(PERCENTRANK.INC(FILTER($X$2:$X$422, $U$2:$U$422&lt;4.25), $X303), 1)"),0.153)</f>
        <v>0.153</v>
      </c>
      <c r="AD303" s="20">
        <f>IFERROR(__xludf.DUMMYFUNCTION("iferror(PERCENTRANK.INC(FILTER($X$2:$X$422, $U$2:$U$422&gt;=4.1), $X303), 0.01)"),0.01)</f>
        <v>0.01</v>
      </c>
      <c r="AE303" s="20"/>
    </row>
    <row r="304" ht="14.25" customHeight="1">
      <c r="A304" s="17" t="s">
        <v>660</v>
      </c>
      <c r="B304" s="17" t="s">
        <v>661</v>
      </c>
      <c r="C304" s="18">
        <v>10.0</v>
      </c>
      <c r="D304" s="17" t="s">
        <v>99</v>
      </c>
      <c r="E304" s="17" t="s">
        <v>156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15.50789512</v>
      </c>
      <c r="AA304" s="20"/>
      <c r="AB304" s="20">
        <f>IFERROR(__xludf.DUMMYFUNCTION("iferror(PERCENTRANK.INC(FILTER($X$2:$X$422, $U$2:$U$422&lt;3.75), $X304), 1)"),0.302)</f>
        <v>0.302</v>
      </c>
      <c r="AC304" s="20">
        <f>IFERROR(__xludf.DUMMYFUNCTION("iferror(PERCENTRANK.INC(FILTER($X$2:$X$422, $U$2:$U$422&lt;4.25), $X304), 1)"),0.293)</f>
        <v>0.293</v>
      </c>
      <c r="AD304" s="20">
        <f>IFERROR(__xludf.DUMMYFUNCTION("iferror(PERCENTRANK.INC(FILTER($X$2:$X$422, $U$2:$U$422&gt;=4.1), $X304), 0.01)"),0.04)</f>
        <v>0.04</v>
      </c>
      <c r="AE304" s="20"/>
    </row>
    <row r="305" ht="14.25" customHeight="1">
      <c r="A305" s="17" t="s">
        <v>662</v>
      </c>
      <c r="B305" s="17" t="s">
        <v>663</v>
      </c>
      <c r="C305" s="18">
        <v>4.0</v>
      </c>
      <c r="D305" s="17" t="s">
        <v>99</v>
      </c>
      <c r="E305" s="17" t="s">
        <v>115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15.56392929</v>
      </c>
      <c r="AA305" s="20"/>
      <c r="AB305" s="20">
        <f>IFERROR(__xludf.DUMMYFUNCTION("iferror(PERCENTRANK.INC(FILTER($X$2:$X$422, $U$2:$U$422&lt;3.75), $X305), 1)"),0.299)</f>
        <v>0.299</v>
      </c>
      <c r="AC305" s="20">
        <f>IFERROR(__xludf.DUMMYFUNCTION("iferror(PERCENTRANK.INC(FILTER($X$2:$X$422, $U$2:$U$422&lt;4.25), $X305), 1)"),0.291)</f>
        <v>0.291</v>
      </c>
      <c r="AD305" s="20">
        <f>IFERROR(__xludf.DUMMYFUNCTION("iferror(PERCENTRANK.INC(FILTER($X$2:$X$422, $U$2:$U$422&gt;=4.1), $X305), 0.01)"),0.04)</f>
        <v>0.04</v>
      </c>
      <c r="AE305" s="20"/>
    </row>
    <row r="306" ht="14.25" customHeight="1">
      <c r="A306" s="17" t="s">
        <v>664</v>
      </c>
      <c r="B306" s="17" t="s">
        <v>665</v>
      </c>
      <c r="C306" s="18">
        <v>2.0</v>
      </c>
      <c r="D306" s="17" t="s">
        <v>99</v>
      </c>
      <c r="E306" s="17" t="s">
        <v>211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12.57842678</v>
      </c>
      <c r="AA306" s="20"/>
      <c r="AB306" s="20">
        <f>IFERROR(__xludf.DUMMYFUNCTION("iferror(PERCENTRANK.INC(FILTER($X$2:$X$422, $U$2:$U$422&lt;3.75), $X306), 1)"),0.101)</f>
        <v>0.101</v>
      </c>
      <c r="AC306" s="20">
        <f>IFERROR(__xludf.DUMMYFUNCTION("iferror(PERCENTRANK.INC(FILTER($X$2:$X$422, $U$2:$U$422&lt;4.25), $X306), 1)"),0.098)</f>
        <v>0.098</v>
      </c>
      <c r="AD306" s="20">
        <f>IFERROR(__xludf.DUMMYFUNCTION("iferror(PERCENTRANK.INC(FILTER($X$2:$X$422, $U$2:$U$422&gt;=4.1), $X306), 0.01)"),0.01)</f>
        <v>0.01</v>
      </c>
      <c r="AE306" s="20"/>
    </row>
    <row r="307" ht="14.25" customHeight="1">
      <c r="A307" s="17" t="s">
        <v>666</v>
      </c>
      <c r="B307" s="17" t="s">
        <v>545</v>
      </c>
      <c r="C307" s="18">
        <v>12.0</v>
      </c>
      <c r="D307" s="17" t="s">
        <v>99</v>
      </c>
      <c r="E307" s="17" t="s">
        <v>159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5.19358793</v>
      </c>
      <c r="AA307" s="20"/>
      <c r="AB307" s="20">
        <f>IFERROR(__xludf.DUMMYFUNCTION("iferror(PERCENTRANK.INC(FILTER($X$2:$X$422, $U$2:$U$422&lt;3.75), $X307), 1)"),0.034)</f>
        <v>0.034</v>
      </c>
      <c r="AC307" s="20">
        <f>IFERROR(__xludf.DUMMYFUNCTION("iferror(PERCENTRANK.INC(FILTER($X$2:$X$422, $U$2:$U$422&lt;4.25), $X307), 1)"),0.033)</f>
        <v>0.033</v>
      </c>
      <c r="AD307" s="20">
        <f>IFERROR(__xludf.DUMMYFUNCTION("iferror(PERCENTRANK.INC(FILTER($X$2:$X$422, $U$2:$U$422&gt;=4.1), $X307), 0.01)"),0.01)</f>
        <v>0.01</v>
      </c>
      <c r="AE307" s="20"/>
    </row>
    <row r="308" ht="14.25" customHeight="1">
      <c r="A308" s="17" t="s">
        <v>667</v>
      </c>
      <c r="B308" s="17" t="s">
        <v>668</v>
      </c>
      <c r="C308" s="18">
        <v>14.0</v>
      </c>
      <c r="D308" s="17" t="s">
        <v>99</v>
      </c>
      <c r="E308" s="17" t="s">
        <v>211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16.58777052</v>
      </c>
      <c r="AA308" s="20"/>
      <c r="AB308" s="20">
        <f>IFERROR(__xludf.DUMMYFUNCTION("iferror(PERCENTRANK.INC(FILTER($X$2:$X$422, $U$2:$U$422&lt;3.75), $X308), 1)"),0.33)</f>
        <v>0.33</v>
      </c>
      <c r="AC308" s="20">
        <f>IFERROR(__xludf.DUMMYFUNCTION("iferror(PERCENTRANK.INC(FILTER($X$2:$X$422, $U$2:$U$422&lt;4.25), $X308), 1)"),0.321)</f>
        <v>0.321</v>
      </c>
      <c r="AD308" s="20">
        <f>IFERROR(__xludf.DUMMYFUNCTION("iferror(PERCENTRANK.INC(FILTER($X$2:$X$422, $U$2:$U$422&gt;=4.1), $X308), 0.01)"),0.041)</f>
        <v>0.041</v>
      </c>
      <c r="AE308" s="20"/>
    </row>
    <row r="309" ht="14.25" customHeight="1">
      <c r="A309" s="17" t="s">
        <v>669</v>
      </c>
      <c r="B309" s="17" t="s">
        <v>114</v>
      </c>
      <c r="C309" s="18">
        <v>2.0</v>
      </c>
      <c r="D309" s="17" t="s">
        <v>99</v>
      </c>
      <c r="E309" s="17" t="s">
        <v>115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14.25069837</v>
      </c>
      <c r="AA309" s="20"/>
      <c r="AB309" s="20">
        <f>IFERROR(__xludf.DUMMYFUNCTION("iferror(PERCENTRANK.INC(FILTER($X$2:$X$422, $U$2:$U$422&lt;3.75), $X309), 1)"),0.165)</f>
        <v>0.165</v>
      </c>
      <c r="AC309" s="20">
        <f>IFERROR(__xludf.DUMMYFUNCTION("iferror(PERCENTRANK.INC(FILTER($X$2:$X$422, $U$2:$U$422&lt;4.25), $X309), 1)"),0.16)</f>
        <v>0.16</v>
      </c>
      <c r="AD309" s="20">
        <f>IFERROR(__xludf.DUMMYFUNCTION("iferror(PERCENTRANK.INC(FILTER($X$2:$X$422, $U$2:$U$422&gt;=4.1), $X309), 0.01)"),0.01)</f>
        <v>0.01</v>
      </c>
      <c r="AE309" s="20"/>
    </row>
    <row r="310" ht="14.25" customHeight="1">
      <c r="A310" s="17" t="s">
        <v>670</v>
      </c>
      <c r="B310" s="17" t="s">
        <v>633</v>
      </c>
      <c r="C310" s="18">
        <v>10.0</v>
      </c>
      <c r="D310" s="17" t="s">
        <v>99</v>
      </c>
      <c r="E310" s="17" t="s">
        <v>159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17.72381841</v>
      </c>
      <c r="AA310" s="20"/>
      <c r="AB310" s="20">
        <f>IFERROR(__xludf.DUMMYFUNCTION("iferror(PERCENTRANK.INC(FILTER($X$2:$X$422, $U$2:$U$422&lt;3.75), $X310), 1)"),0.43)</f>
        <v>0.43</v>
      </c>
      <c r="AC310" s="20">
        <f>IFERROR(__xludf.DUMMYFUNCTION("iferror(PERCENTRANK.INC(FILTER($X$2:$X$422, $U$2:$U$422&lt;4.25), $X310), 1)"),0.419)</f>
        <v>0.419</v>
      </c>
      <c r="AD310" s="20">
        <f>IFERROR(__xludf.DUMMYFUNCTION("iferror(PERCENTRANK.INC(FILTER($X$2:$X$422, $U$2:$U$422&gt;=4.1), $X310), 0.01)"),0.042)</f>
        <v>0.042</v>
      </c>
      <c r="AE310" s="20"/>
    </row>
    <row r="311" ht="14.25" customHeight="1">
      <c r="A311" s="17" t="s">
        <v>671</v>
      </c>
      <c r="B311" s="17" t="s">
        <v>616</v>
      </c>
      <c r="C311" s="18">
        <v>8.0</v>
      </c>
      <c r="D311" s="17" t="s">
        <v>99</v>
      </c>
      <c r="E311" s="17" t="s">
        <v>145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20.02374781</v>
      </c>
      <c r="AA311" s="20"/>
      <c r="AB311" s="20">
        <f>IFERROR(__xludf.DUMMYFUNCTION("iferror(PERCENTRANK.INC(FILTER($X$2:$X$422, $U$2:$U$422&lt;3.75), $X311), 1)"),0.549)</f>
        <v>0.549</v>
      </c>
      <c r="AC311" s="20">
        <f>IFERROR(__xludf.DUMMYFUNCTION("iferror(PERCENTRANK.INC(FILTER($X$2:$X$422, $U$2:$U$422&lt;4.25), $X311), 1)"),0.534)</f>
        <v>0.534</v>
      </c>
      <c r="AD311" s="20">
        <f>IFERROR(__xludf.DUMMYFUNCTION("iferror(PERCENTRANK.INC(FILTER($X$2:$X$422, $U$2:$U$422&gt;=4.1), $X311), 0.01)"),0.045)</f>
        <v>0.045</v>
      </c>
      <c r="AE311" s="20"/>
    </row>
    <row r="312" ht="14.25" customHeight="1">
      <c r="A312" s="17" t="s">
        <v>672</v>
      </c>
      <c r="B312" s="17" t="s">
        <v>470</v>
      </c>
      <c r="C312" s="18">
        <v>12.0</v>
      </c>
      <c r="D312" s="17" t="s">
        <v>99</v>
      </c>
      <c r="E312" s="17" t="s">
        <v>211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8.890981114</v>
      </c>
      <c r="AA312" s="20"/>
      <c r="AB312" s="20">
        <f>IFERROR(__xludf.DUMMYFUNCTION("iferror(PERCENTRANK.INC(FILTER($X$2:$X$422, $U$2:$U$422&lt;3.75), $X312), 1)"),0.049)</f>
        <v>0.049</v>
      </c>
      <c r="AC312" s="20">
        <f>IFERROR(__xludf.DUMMYFUNCTION("iferror(PERCENTRANK.INC(FILTER($X$2:$X$422, $U$2:$U$422&lt;4.25), $X312), 1)"),0.048)</f>
        <v>0.048</v>
      </c>
      <c r="AD312" s="20">
        <f>IFERROR(__xludf.DUMMYFUNCTION("iferror(PERCENTRANK.INC(FILTER($X$2:$X$422, $U$2:$U$422&gt;=4.1), $X312), 0.01)"),0.01)</f>
        <v>0.01</v>
      </c>
      <c r="AE312" s="20"/>
    </row>
    <row r="313" ht="14.25" customHeight="1">
      <c r="A313" s="17" t="s">
        <v>673</v>
      </c>
      <c r="B313" s="17" t="s">
        <v>400</v>
      </c>
      <c r="C313" s="18">
        <v>12.0</v>
      </c>
      <c r="D313" s="17" t="s">
        <v>99</v>
      </c>
      <c r="E313" s="17" t="s">
        <v>211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17.47344035</v>
      </c>
      <c r="AA313" s="20"/>
      <c r="AB313" s="20">
        <f>IFERROR(__xludf.DUMMYFUNCTION("iferror(PERCENTRANK.INC(FILTER($X$2:$X$422, $U$2:$U$422&lt;3.75), $X313), 1)"),0.399)</f>
        <v>0.399</v>
      </c>
      <c r="AC313" s="20">
        <f>IFERROR(__xludf.DUMMYFUNCTION("iferror(PERCENTRANK.INC(FILTER($X$2:$X$422, $U$2:$U$422&lt;4.25), $X313), 1)"),0.388)</f>
        <v>0.388</v>
      </c>
      <c r="AD313" s="20">
        <f>IFERROR(__xludf.DUMMYFUNCTION("iferror(PERCENTRANK.INC(FILTER($X$2:$X$422, $U$2:$U$422&gt;=4.1), $X313), 0.01)"),0.042)</f>
        <v>0.042</v>
      </c>
      <c r="AE313" s="20"/>
    </row>
    <row r="314" ht="14.25" customHeight="1">
      <c r="A314" s="17" t="s">
        <v>674</v>
      </c>
      <c r="B314" s="17" t="s">
        <v>675</v>
      </c>
      <c r="C314" s="18">
        <v>2.0</v>
      </c>
      <c r="D314" s="17" t="s">
        <v>99</v>
      </c>
      <c r="E314" s="17" t="s">
        <v>115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16.69203196</v>
      </c>
      <c r="AA314" s="20"/>
      <c r="AB314" s="20">
        <f>IFERROR(__xludf.DUMMYFUNCTION("iferror(PERCENTRANK.INC(FILTER($X$2:$X$422, $U$2:$U$422&lt;3.75), $X314), 1)"),0.284)</f>
        <v>0.284</v>
      </c>
      <c r="AC314" s="20">
        <f>IFERROR(__xludf.DUMMYFUNCTION("iferror(PERCENTRANK.INC(FILTER($X$2:$X$422, $U$2:$U$422&lt;4.25), $X314), 1)"),0.276)</f>
        <v>0.276</v>
      </c>
      <c r="AD314" s="20">
        <f>IFERROR(__xludf.DUMMYFUNCTION("iferror(PERCENTRANK.INC(FILTER($X$2:$X$422, $U$2:$U$422&gt;=4.1), $X314), 0.01)"),0.04)</f>
        <v>0.04</v>
      </c>
      <c r="AE314" s="20"/>
    </row>
    <row r="315" ht="14.25" customHeight="1">
      <c r="A315" s="17" t="s">
        <v>676</v>
      </c>
      <c r="B315" s="17" t="s">
        <v>250</v>
      </c>
      <c r="C315" s="18">
        <v>10.0</v>
      </c>
      <c r="D315" s="17" t="s">
        <v>99</v>
      </c>
      <c r="E315" s="17" t="s">
        <v>190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13.69875504</v>
      </c>
      <c r="AA315" s="20"/>
      <c r="AB315" s="20">
        <f>IFERROR(__xludf.DUMMYFUNCTION("iferror(PERCENTRANK.INC(FILTER($X$2:$X$422, $U$2:$U$422&lt;3.75), $X315), 1)"),0.111)</f>
        <v>0.111</v>
      </c>
      <c r="AC315" s="20">
        <f>IFERROR(__xludf.DUMMYFUNCTION("iferror(PERCENTRANK.INC(FILTER($X$2:$X$422, $U$2:$U$422&lt;4.25), $X315), 1)"),0.108)</f>
        <v>0.108</v>
      </c>
      <c r="AD315" s="20">
        <f>IFERROR(__xludf.DUMMYFUNCTION("iferror(PERCENTRANK.INC(FILTER($X$2:$X$422, $U$2:$U$422&gt;=4.1), $X315), 0.01)"),0.01)</f>
        <v>0.01</v>
      </c>
      <c r="AE315" s="20"/>
    </row>
    <row r="316" ht="14.25" customHeight="1">
      <c r="A316" s="17" t="s">
        <v>677</v>
      </c>
      <c r="B316" s="17" t="s">
        <v>428</v>
      </c>
      <c r="C316" s="18">
        <v>7.0</v>
      </c>
      <c r="D316" s="17" t="s">
        <v>99</v>
      </c>
      <c r="E316" s="17" t="s">
        <v>125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22.89601318</v>
      </c>
      <c r="AA316" s="20"/>
      <c r="AB316" s="20">
        <f>IFERROR(__xludf.DUMMYFUNCTION("iferror(PERCENTRANK.INC(FILTER($X$2:$X$422, $U$2:$U$422&lt;3.75), $X316), 1)"),0.68)</f>
        <v>0.68</v>
      </c>
      <c r="AC316" s="20">
        <f>IFERROR(__xludf.DUMMYFUNCTION("iferror(PERCENTRANK.INC(FILTER($X$2:$X$422, $U$2:$U$422&lt;4.25), $X316), 1)"),0.662)</f>
        <v>0.662</v>
      </c>
      <c r="AD316" s="20">
        <f>IFERROR(__xludf.DUMMYFUNCTION("iferror(PERCENTRANK.INC(FILTER($X$2:$X$422, $U$2:$U$422&gt;=4.1), $X316), 0.01)"),0.048)</f>
        <v>0.048</v>
      </c>
      <c r="AE316" s="20"/>
    </row>
    <row r="317" ht="14.25" customHeight="1">
      <c r="A317" s="17" t="s">
        <v>678</v>
      </c>
      <c r="B317" s="17" t="s">
        <v>348</v>
      </c>
      <c r="C317" s="18">
        <v>11.0</v>
      </c>
      <c r="D317" s="17" t="s">
        <v>99</v>
      </c>
      <c r="E317" s="17" t="s">
        <v>118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13.563164</v>
      </c>
      <c r="AA317" s="20"/>
      <c r="AB317" s="20">
        <f>IFERROR(__xludf.DUMMYFUNCTION("iferror(PERCENTRANK.INC(FILTER($X$2:$X$422, $U$2:$U$422&lt;3.75), $X317), 1)"),0.09)</f>
        <v>0.09</v>
      </c>
      <c r="AC317" s="20">
        <f>IFERROR(__xludf.DUMMYFUNCTION("iferror(PERCENTRANK.INC(FILTER($X$2:$X$422, $U$2:$U$422&lt;4.25), $X317), 1)"),0.088)</f>
        <v>0.088</v>
      </c>
      <c r="AD317" s="20">
        <f>IFERROR(__xludf.DUMMYFUNCTION("iferror(PERCENTRANK.INC(FILTER($X$2:$X$422, $U$2:$U$422&gt;=4.1), $X317), 0.01)"),0.01)</f>
        <v>0.01</v>
      </c>
      <c r="AE317" s="20"/>
    </row>
    <row r="318" ht="14.25" customHeight="1">
      <c r="A318" s="17" t="s">
        <v>679</v>
      </c>
      <c r="B318" s="17" t="s">
        <v>262</v>
      </c>
      <c r="C318" s="18">
        <v>7.0</v>
      </c>
      <c r="D318" s="17" t="s">
        <v>99</v>
      </c>
      <c r="E318" s="17" t="s">
        <v>148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-8.088241448</v>
      </c>
      <c r="AA318" s="20"/>
      <c r="AB318" s="20">
        <f>IFERROR(__xludf.DUMMYFUNCTION("iferror(PERCENTRANK.INC(FILTER($X$2:$X$422, $U$2:$U$422&lt;3.75), $X318), 1)"),0.005)</f>
        <v>0.005</v>
      </c>
      <c r="AC318" s="20">
        <f>IFERROR(__xludf.DUMMYFUNCTION("iferror(PERCENTRANK.INC(FILTER($X$2:$X$422, $U$2:$U$422&lt;4.25), $X318), 1)"),0.005)</f>
        <v>0.005</v>
      </c>
      <c r="AD318" s="20">
        <f>IFERROR(__xludf.DUMMYFUNCTION("iferror(PERCENTRANK.INC(FILTER($X$2:$X$422, $U$2:$U$422&gt;=4.1), $X318), 0.01)"),0.01)</f>
        <v>0.01</v>
      </c>
      <c r="AE318" s="20"/>
    </row>
    <row r="319" ht="14.25" customHeight="1">
      <c r="A319" s="17" t="s">
        <v>680</v>
      </c>
      <c r="B319" s="17" t="s">
        <v>681</v>
      </c>
      <c r="C319" s="18">
        <v>18.0</v>
      </c>
      <c r="D319" s="17" t="s">
        <v>99</v>
      </c>
      <c r="E319" s="17" t="s">
        <v>109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17.43161459</v>
      </c>
      <c r="AA319" s="20"/>
      <c r="AB319" s="20">
        <f>IFERROR(__xludf.DUMMYFUNCTION("iferror(PERCENTRANK.INC(FILTER($X$2:$X$422, $U$2:$U$422&lt;3.75), $X319), 1)"),0.322)</f>
        <v>0.322</v>
      </c>
      <c r="AC319" s="20">
        <f>IFERROR(__xludf.DUMMYFUNCTION("iferror(PERCENTRANK.INC(FILTER($X$2:$X$422, $U$2:$U$422&lt;4.25), $X319), 1)"),0.313)</f>
        <v>0.313</v>
      </c>
      <c r="AD319" s="20">
        <f>IFERROR(__xludf.DUMMYFUNCTION("iferror(PERCENTRANK.INC(FILTER($X$2:$X$422, $U$2:$U$422&gt;=4.1), $X319), 0.01)"),0.041)</f>
        <v>0.041</v>
      </c>
      <c r="AE319" s="20"/>
    </row>
    <row r="320" ht="14.25" customHeight="1">
      <c r="A320" s="17" t="s">
        <v>682</v>
      </c>
      <c r="B320" s="17" t="s">
        <v>683</v>
      </c>
      <c r="C320" s="18">
        <v>1.0</v>
      </c>
      <c r="D320" s="17" t="s">
        <v>99</v>
      </c>
      <c r="E320" s="17" t="s">
        <v>125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17.11938034</v>
      </c>
      <c r="AA320" s="20"/>
      <c r="AB320" s="20">
        <f>IFERROR(__xludf.DUMMYFUNCTION("iferror(PERCENTRANK.INC(FILTER($X$2:$X$422, $U$2:$U$422&lt;3.75), $X320), 1)"),0.273)</f>
        <v>0.273</v>
      </c>
      <c r="AC320" s="20">
        <f>IFERROR(__xludf.DUMMYFUNCTION("iferror(PERCENTRANK.INC(FILTER($X$2:$X$422, $U$2:$U$422&lt;4.25), $X320), 1)"),0.266)</f>
        <v>0.266</v>
      </c>
      <c r="AD320" s="20">
        <f>IFERROR(__xludf.DUMMYFUNCTION("iferror(PERCENTRANK.INC(FILTER($X$2:$X$422, $U$2:$U$422&gt;=4.1), $X320), 0.01)"),0.04)</f>
        <v>0.04</v>
      </c>
      <c r="AE320" s="20"/>
    </row>
    <row r="321" ht="14.25" customHeight="1">
      <c r="A321" s="17" t="s">
        <v>684</v>
      </c>
      <c r="B321" s="17" t="s">
        <v>314</v>
      </c>
      <c r="C321" s="18">
        <v>3.0</v>
      </c>
      <c r="D321" s="17" t="s">
        <v>99</v>
      </c>
      <c r="E321" s="17" t="s">
        <v>159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21.38488787</v>
      </c>
      <c r="AA321" s="20"/>
      <c r="AB321" s="20">
        <f>IFERROR(__xludf.DUMMYFUNCTION("iferror(PERCENTRANK.INC(FILTER($X$2:$X$422, $U$2:$U$422&lt;3.75), $X321), 1)"),0.585)</f>
        <v>0.585</v>
      </c>
      <c r="AC321" s="20">
        <f>IFERROR(__xludf.DUMMYFUNCTION("iferror(PERCENTRANK.INC(FILTER($X$2:$X$422, $U$2:$U$422&lt;4.25), $X321), 1)"),0.569)</f>
        <v>0.569</v>
      </c>
      <c r="AD321" s="20">
        <f>IFERROR(__xludf.DUMMYFUNCTION("iferror(PERCENTRANK.INC(FILTER($X$2:$X$422, $U$2:$U$422&gt;=4.1), $X321), 0.01)"),0.046)</f>
        <v>0.046</v>
      </c>
      <c r="AE321" s="20"/>
    </row>
    <row r="322" ht="14.25" customHeight="1">
      <c r="A322" s="17" t="s">
        <v>685</v>
      </c>
      <c r="B322" s="17" t="s">
        <v>284</v>
      </c>
      <c r="C322" s="18">
        <v>17.0</v>
      </c>
      <c r="D322" s="17" t="s">
        <v>99</v>
      </c>
      <c r="E322" s="17" t="s">
        <v>125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18.54109767</v>
      </c>
      <c r="AA322" s="20"/>
      <c r="AB322" s="20">
        <f>IFERROR(__xludf.DUMMYFUNCTION("iferror(PERCENTRANK.INC(FILTER($X$2:$X$422, $U$2:$U$422&lt;3.75), $X322), 1)"),0.42)</f>
        <v>0.42</v>
      </c>
      <c r="AC322" s="20">
        <f>IFERROR(__xludf.DUMMYFUNCTION("iferror(PERCENTRANK.INC(FILTER($X$2:$X$422, $U$2:$U$422&lt;4.25), $X322), 1)"),0.409)</f>
        <v>0.409</v>
      </c>
      <c r="AD322" s="20">
        <f>IFERROR(__xludf.DUMMYFUNCTION("iferror(PERCENTRANK.INC(FILTER($X$2:$X$422, $U$2:$U$422&gt;=4.1), $X322), 0.01)"),0.042)</f>
        <v>0.042</v>
      </c>
      <c r="AE322" s="20"/>
    </row>
    <row r="323" ht="14.25" customHeight="1">
      <c r="A323" s="17" t="s">
        <v>686</v>
      </c>
      <c r="B323" s="17" t="s">
        <v>687</v>
      </c>
      <c r="C323" s="18">
        <v>12.0</v>
      </c>
      <c r="D323" s="17" t="s">
        <v>99</v>
      </c>
      <c r="E323" s="17" t="s">
        <v>148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20.39795346</v>
      </c>
      <c r="AA323" s="20"/>
      <c r="AB323" s="20">
        <f>IFERROR(__xludf.DUMMYFUNCTION("iferror(PERCENTRANK.INC(FILTER($X$2:$X$422, $U$2:$U$422&lt;3.75), $X323), 1)"),0.528)</f>
        <v>0.528</v>
      </c>
      <c r="AC323" s="20">
        <f>IFERROR(__xludf.DUMMYFUNCTION("iferror(PERCENTRANK.INC(FILTER($X$2:$X$422, $U$2:$U$422&lt;4.25), $X323), 1)"),0.514)</f>
        <v>0.514</v>
      </c>
      <c r="AD323" s="20">
        <f>IFERROR(__xludf.DUMMYFUNCTION("iferror(PERCENTRANK.INC(FILTER($X$2:$X$422, $U$2:$U$422&gt;=4.1), $X323), 0.01)"),0.044)</f>
        <v>0.044</v>
      </c>
      <c r="AE323" s="20"/>
    </row>
    <row r="324" ht="14.25" customHeight="1">
      <c r="A324" s="17" t="s">
        <v>688</v>
      </c>
      <c r="B324" s="17" t="s">
        <v>162</v>
      </c>
      <c r="C324" s="18">
        <v>17.0</v>
      </c>
      <c r="D324" s="17" t="s">
        <v>99</v>
      </c>
      <c r="E324" s="17" t="s">
        <v>122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15.47700748</v>
      </c>
      <c r="AA324" s="20"/>
      <c r="AB324" s="20">
        <f>IFERROR(__xludf.DUMMYFUNCTION("iferror(PERCENTRANK.INC(FILTER($X$2:$X$422, $U$2:$U$422&lt;3.75), $X324), 1)"),0.168)</f>
        <v>0.168</v>
      </c>
      <c r="AC324" s="20">
        <f>IFERROR(__xludf.DUMMYFUNCTION("iferror(PERCENTRANK.INC(FILTER($X$2:$X$422, $U$2:$U$422&lt;4.25), $X324), 1)"),0.163)</f>
        <v>0.163</v>
      </c>
      <c r="AD324" s="20">
        <f>IFERROR(__xludf.DUMMYFUNCTION("iferror(PERCENTRANK.INC(FILTER($X$2:$X$422, $U$2:$U$422&gt;=4.1), $X324), 0.01)"),0.01)</f>
        <v>0.01</v>
      </c>
      <c r="AE324" s="20"/>
    </row>
    <row r="325" ht="14.25" customHeight="1">
      <c r="A325" s="17" t="s">
        <v>689</v>
      </c>
      <c r="B325" s="17" t="s">
        <v>170</v>
      </c>
      <c r="C325" s="18">
        <v>1.0</v>
      </c>
      <c r="D325" s="17" t="s">
        <v>99</v>
      </c>
      <c r="E325" s="17" t="s">
        <v>122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19.09313194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17.57420918</v>
      </c>
      <c r="AA325" s="20"/>
      <c r="AB325" s="20">
        <f>IFERROR(__xludf.DUMMYFUNCTION("iferror(PERCENTRANK.INC(FILTER($X$2:$X$422, $U$2:$U$422&lt;3.75), $X325), 1)"),0.258)</f>
        <v>0.258</v>
      </c>
      <c r="AC325" s="20">
        <f>IFERROR(__xludf.DUMMYFUNCTION("iferror(PERCENTRANK.INC(FILTER($X$2:$X$422, $U$2:$U$422&lt;4.25), $X325), 1)"),0.251)</f>
        <v>0.251</v>
      </c>
      <c r="AD325" s="20">
        <f>IFERROR(__xludf.DUMMYFUNCTION("iferror(PERCENTRANK.INC(FILTER($X$2:$X$422, $U$2:$U$422&gt;=4.1), $X325), 0.01)"),0.01)</f>
        <v>0.01</v>
      </c>
      <c r="AE325" s="20"/>
    </row>
    <row r="326" ht="14.25" customHeight="1">
      <c r="A326" s="17" t="s">
        <v>690</v>
      </c>
      <c r="B326" s="17" t="s">
        <v>422</v>
      </c>
      <c r="C326" s="18">
        <v>5.0</v>
      </c>
      <c r="D326" s="17" t="s">
        <v>99</v>
      </c>
      <c r="E326" s="17" t="s">
        <v>190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19.5881917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7.79102087</v>
      </c>
      <c r="AA326" s="20"/>
      <c r="AB326" s="20">
        <f>IFERROR(__xludf.DUMMYFUNCTION("iferror(PERCENTRANK.INC(FILTER($X$2:$X$422, $U$2:$U$422&lt;3.75), $X326), 1)"),0.044)</f>
        <v>0.044</v>
      </c>
      <c r="AC326" s="20">
        <f>IFERROR(__xludf.DUMMYFUNCTION("iferror(PERCENTRANK.INC(FILTER($X$2:$X$422, $U$2:$U$422&lt;4.25), $X326), 1)"),0.043)</f>
        <v>0.043</v>
      </c>
      <c r="AD326" s="20">
        <f>IFERROR(__xludf.DUMMYFUNCTION("iferror(PERCENTRANK.INC(FILTER($X$2:$X$422, $U$2:$U$422&gt;=4.1), $X326), 0.01)"),0.01)</f>
        <v>0.01</v>
      </c>
      <c r="AE326" s="20"/>
    </row>
    <row r="327" ht="14.25" customHeight="1">
      <c r="A327" s="17" t="s">
        <v>691</v>
      </c>
      <c r="B327" s="17" t="s">
        <v>476</v>
      </c>
      <c r="C327" s="18">
        <v>15.0</v>
      </c>
      <c r="D327" s="17" t="s">
        <v>99</v>
      </c>
      <c r="E327" s="17" t="s">
        <v>139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19.52887825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22.06721934</v>
      </c>
      <c r="AA327" s="20"/>
      <c r="AB327" s="20">
        <f>IFERROR(__xludf.DUMMYFUNCTION("iferror(PERCENTRANK.INC(FILTER($X$2:$X$422, $U$2:$U$422&lt;3.75), $X327), 1)"),0.595)</f>
        <v>0.595</v>
      </c>
      <c r="AC327" s="20">
        <f>IFERROR(__xludf.DUMMYFUNCTION("iferror(PERCENTRANK.INC(FILTER($X$2:$X$422, $U$2:$U$422&lt;4.25), $X327), 1)"),0.579)</f>
        <v>0.579</v>
      </c>
      <c r="AD327" s="20">
        <f>IFERROR(__xludf.DUMMYFUNCTION("iferror(PERCENTRANK.INC(FILTER($X$2:$X$422, $U$2:$U$422&gt;=4.1), $X327), 0.01)"),0.046)</f>
        <v>0.046</v>
      </c>
      <c r="AE327" s="20"/>
    </row>
    <row r="328" ht="14.25" customHeight="1">
      <c r="A328" s="17" t="s">
        <v>692</v>
      </c>
      <c r="B328" s="17" t="s">
        <v>616</v>
      </c>
      <c r="C328" s="18">
        <v>3.0</v>
      </c>
      <c r="D328" s="17" t="s">
        <v>99</v>
      </c>
      <c r="E328" s="17" t="s">
        <v>145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19.26764806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16.0525926</v>
      </c>
      <c r="AA328" s="20"/>
      <c r="AB328" s="20">
        <f>IFERROR(__xludf.DUMMYFUNCTION("iferror(PERCENTRANK.INC(FILTER($X$2:$X$422, $U$2:$U$422&lt;3.75), $X328), 1)"),0.17)</f>
        <v>0.17</v>
      </c>
      <c r="AC328" s="20">
        <f>IFERROR(__xludf.DUMMYFUNCTION("iferror(PERCENTRANK.INC(FILTER($X$2:$X$422, $U$2:$U$422&lt;4.25), $X328), 1)"),0.165)</f>
        <v>0.165</v>
      </c>
      <c r="AD328" s="20">
        <f>IFERROR(__xludf.DUMMYFUNCTION("iferror(PERCENTRANK.INC(FILTER($X$2:$X$422, $U$2:$U$422&gt;=4.1), $X328), 0.01)"),0.01)</f>
        <v>0.01</v>
      </c>
      <c r="AE328" s="20"/>
    </row>
    <row r="329" ht="14.25" customHeight="1">
      <c r="A329" s="17" t="s">
        <v>693</v>
      </c>
      <c r="B329" s="17" t="s">
        <v>611</v>
      </c>
      <c r="C329" s="18">
        <v>15.0</v>
      </c>
      <c r="D329" s="17" t="s">
        <v>99</v>
      </c>
      <c r="E329" s="17" t="s">
        <v>190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19.25233416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18.14300635</v>
      </c>
      <c r="AA329" s="20"/>
      <c r="AB329" s="20">
        <f>IFERROR(__xludf.DUMMYFUNCTION("iferror(PERCENTRANK.INC(FILTER($X$2:$X$422, $U$2:$U$422&lt;3.75), $X329), 1)"),0.327)</f>
        <v>0.327</v>
      </c>
      <c r="AC329" s="20">
        <f>IFERROR(__xludf.DUMMYFUNCTION("iferror(PERCENTRANK.INC(FILTER($X$2:$X$422, $U$2:$U$422&lt;4.25), $X329), 1)"),0.318)</f>
        <v>0.318</v>
      </c>
      <c r="AD329" s="20">
        <f>IFERROR(__xludf.DUMMYFUNCTION("iferror(PERCENTRANK.INC(FILTER($X$2:$X$422, $U$2:$U$422&gt;=4.1), $X329), 0.01)"),0.041)</f>
        <v>0.041</v>
      </c>
      <c r="AE329" s="20"/>
    </row>
    <row r="330" ht="14.25" customHeight="1">
      <c r="A330" s="17" t="s">
        <v>694</v>
      </c>
      <c r="B330" s="17" t="s">
        <v>538</v>
      </c>
      <c r="C330" s="18">
        <v>8.0</v>
      </c>
      <c r="D330" s="17" t="s">
        <v>99</v>
      </c>
      <c r="E330" s="17" t="s">
        <v>180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19.24691391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17.5726616</v>
      </c>
      <c r="AA330" s="20"/>
      <c r="AB330" s="20">
        <f>IFERROR(__xludf.DUMMYFUNCTION("iferror(PERCENTRANK.INC(FILTER($X$2:$X$422, $U$2:$U$422&lt;3.75), $X330), 1)"),0.278)</f>
        <v>0.278</v>
      </c>
      <c r="AC330" s="20">
        <f>IFERROR(__xludf.DUMMYFUNCTION("iferror(PERCENTRANK.INC(FILTER($X$2:$X$422, $U$2:$U$422&lt;4.25), $X330), 1)"),0.271)</f>
        <v>0.271</v>
      </c>
      <c r="AD330" s="20">
        <f>IFERROR(__xludf.DUMMYFUNCTION("iferror(PERCENTRANK.INC(FILTER($X$2:$X$422, $U$2:$U$422&gt;=4.1), $X330), 0.01)"),0.04)</f>
        <v>0.04</v>
      </c>
      <c r="AE330" s="20"/>
    </row>
    <row r="331" ht="14.25" customHeight="1">
      <c r="A331" s="17" t="s">
        <v>695</v>
      </c>
      <c r="B331" s="17" t="s">
        <v>586</v>
      </c>
      <c r="C331" s="18">
        <v>7.0</v>
      </c>
      <c r="D331" s="17" t="s">
        <v>99</v>
      </c>
      <c r="E331" s="17" t="s">
        <v>145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19.20358618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17.40883382</v>
      </c>
      <c r="AA331" s="20"/>
      <c r="AB331" s="20">
        <f>IFERROR(__xludf.DUMMYFUNCTION("iferror(PERCENTRANK.INC(FILTER($X$2:$X$422, $U$2:$U$422&lt;3.75), $X331), 1)"),0.255)</f>
        <v>0.255</v>
      </c>
      <c r="AC331" s="20">
        <f>IFERROR(__xludf.DUMMYFUNCTION("iferror(PERCENTRANK.INC(FILTER($X$2:$X$422, $U$2:$U$422&lt;4.25), $X331), 1)"),0.248)</f>
        <v>0.248</v>
      </c>
      <c r="AD331" s="20">
        <f>IFERROR(__xludf.DUMMYFUNCTION("iferror(PERCENTRANK.INC(FILTER($X$2:$X$422, $U$2:$U$422&gt;=4.1), $X331), 0.01)"),0.01)</f>
        <v>0.01</v>
      </c>
      <c r="AE331" s="20"/>
    </row>
    <row r="332" ht="14.25" customHeight="1">
      <c r="A332" s="17" t="s">
        <v>696</v>
      </c>
      <c r="B332" s="17" t="s">
        <v>296</v>
      </c>
      <c r="C332" s="18">
        <v>6.0</v>
      </c>
      <c r="D332" s="17" t="s">
        <v>99</v>
      </c>
      <c r="E332" s="17" t="s">
        <v>159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19.18727986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20.57267639</v>
      </c>
      <c r="AA332" s="20"/>
      <c r="AB332" s="20">
        <f>IFERROR(__xludf.DUMMYFUNCTION("iferror(PERCENTRANK.INC(FILTER($X$2:$X$422, $U$2:$U$422&lt;3.75), $X332), 1)"),0.505)</f>
        <v>0.505</v>
      </c>
      <c r="AC332" s="20">
        <f>IFERROR(__xludf.DUMMYFUNCTION("iferror(PERCENTRANK.INC(FILTER($X$2:$X$422, $U$2:$U$422&lt;4.25), $X332), 1)"),0.491)</f>
        <v>0.491</v>
      </c>
      <c r="AD332" s="20">
        <f>IFERROR(__xludf.DUMMYFUNCTION("iferror(PERCENTRANK.INC(FILTER($X$2:$X$422, $U$2:$U$422&gt;=4.1), $X332), 0.01)"),0.044)</f>
        <v>0.044</v>
      </c>
      <c r="AE332" s="20"/>
    </row>
    <row r="333" ht="14.25" customHeight="1">
      <c r="A333" s="17" t="s">
        <v>697</v>
      </c>
      <c r="B333" s="17" t="s">
        <v>342</v>
      </c>
      <c r="C333" s="18">
        <v>15.0</v>
      </c>
      <c r="D333" s="17" t="s">
        <v>99</v>
      </c>
      <c r="E333" s="17" t="s">
        <v>115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19.08130404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6.344471731</v>
      </c>
      <c r="AA333" s="20"/>
      <c r="AB333" s="20">
        <f>IFERROR(__xludf.DUMMYFUNCTION("iferror(PERCENTRANK.INC(FILTER($X$2:$X$422, $U$2:$U$422&lt;3.75), $X333), 1)"),0.026)</f>
        <v>0.026</v>
      </c>
      <c r="AC333" s="20">
        <f>IFERROR(__xludf.DUMMYFUNCTION("iferror(PERCENTRANK.INC(FILTER($X$2:$X$422, $U$2:$U$422&lt;4.25), $X333), 1)"),0.025)</f>
        <v>0.025</v>
      </c>
      <c r="AD333" s="20">
        <f>IFERROR(__xludf.DUMMYFUNCTION("iferror(PERCENTRANK.INC(FILTER($X$2:$X$422, $U$2:$U$422&gt;=4.1), $X333), 0.01)"),0.01)</f>
        <v>0.01</v>
      </c>
      <c r="AE333" s="20"/>
    </row>
    <row r="334" ht="14.25" customHeight="1">
      <c r="A334" s="17" t="s">
        <v>698</v>
      </c>
      <c r="B334" s="17" t="s">
        <v>264</v>
      </c>
      <c r="C334" s="18">
        <v>8.0</v>
      </c>
      <c r="D334" s="17" t="s">
        <v>99</v>
      </c>
      <c r="E334" s="17" t="s">
        <v>180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19.02478375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18.43014774</v>
      </c>
      <c r="AA334" s="20"/>
      <c r="AB334" s="20">
        <f>IFERROR(__xludf.DUMMYFUNCTION("iferror(PERCENTRANK.INC(FILTER($X$2:$X$422, $U$2:$U$422&lt;3.75), $X334), 1)"),0.332)</f>
        <v>0.332</v>
      </c>
      <c r="AC334" s="20">
        <f>IFERROR(__xludf.DUMMYFUNCTION("iferror(PERCENTRANK.INC(FILTER($X$2:$X$422, $U$2:$U$422&lt;4.25), $X334), 1)"),0.323)</f>
        <v>0.323</v>
      </c>
      <c r="AD334" s="20">
        <f>IFERROR(__xludf.DUMMYFUNCTION("iferror(PERCENTRANK.INC(FILTER($X$2:$X$422, $U$2:$U$422&gt;=4.1), $X334), 0.01)"),0.041)</f>
        <v>0.041</v>
      </c>
      <c r="AE334" s="20"/>
    </row>
    <row r="335" ht="14.25" customHeight="1">
      <c r="A335" s="17" t="s">
        <v>699</v>
      </c>
      <c r="B335" s="17" t="s">
        <v>683</v>
      </c>
      <c r="C335" s="18">
        <v>2.0</v>
      </c>
      <c r="D335" s="17" t="s">
        <v>99</v>
      </c>
      <c r="E335" s="17" t="s">
        <v>125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18.53213658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17.90510428</v>
      </c>
      <c r="AA335" s="20"/>
      <c r="AB335" s="20">
        <f>IFERROR(__xludf.DUMMYFUNCTION("iferror(PERCENTRANK.INC(FILTER($X$2:$X$422, $U$2:$U$422&lt;3.75), $X335), 1)"),0.232)</f>
        <v>0.232</v>
      </c>
      <c r="AC335" s="20">
        <f>IFERROR(__xludf.DUMMYFUNCTION("iferror(PERCENTRANK.INC(FILTER($X$2:$X$422, $U$2:$U$422&lt;4.25), $X335), 1)"),0.226)</f>
        <v>0.226</v>
      </c>
      <c r="AD335" s="20">
        <f>IFERROR(__xludf.DUMMYFUNCTION("iferror(PERCENTRANK.INC(FILTER($X$2:$X$422, $U$2:$U$422&gt;=4.1), $X335), 0.01)"),0.01)</f>
        <v>0.01</v>
      </c>
      <c r="AE335" s="20"/>
    </row>
    <row r="336" ht="14.25" customHeight="1">
      <c r="A336" s="17" t="s">
        <v>700</v>
      </c>
      <c r="B336" s="17" t="s">
        <v>530</v>
      </c>
      <c r="C336" s="18">
        <v>2.0</v>
      </c>
      <c r="D336" s="17" t="s">
        <v>99</v>
      </c>
      <c r="E336" s="17" t="s">
        <v>145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18.7354064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15.95087543</v>
      </c>
      <c r="AA336" s="20"/>
      <c r="AB336" s="20">
        <f>IFERROR(__xludf.DUMMYFUNCTION("iferror(PERCENTRANK.INC(FILTER($X$2:$X$422, $U$2:$U$422&lt;3.75), $X336), 1)"),0.137)</f>
        <v>0.137</v>
      </c>
      <c r="AC336" s="20">
        <f>IFERROR(__xludf.DUMMYFUNCTION("iferror(PERCENTRANK.INC(FILTER($X$2:$X$422, $U$2:$U$422&lt;4.25), $X336), 1)"),0.133)</f>
        <v>0.133</v>
      </c>
      <c r="AD336" s="20">
        <f>IFERROR(__xludf.DUMMYFUNCTION("iferror(PERCENTRANK.INC(FILTER($X$2:$X$422, $U$2:$U$422&gt;=4.1), $X336), 0.01)"),0.01)</f>
        <v>0.01</v>
      </c>
      <c r="AE336" s="20"/>
    </row>
    <row r="337" ht="14.25" customHeight="1">
      <c r="A337" s="17" t="s">
        <v>701</v>
      </c>
      <c r="B337" s="17" t="s">
        <v>340</v>
      </c>
      <c r="C337" s="18">
        <v>4.0</v>
      </c>
      <c r="D337" s="17" t="s">
        <v>99</v>
      </c>
      <c r="E337" s="17" t="s">
        <v>106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18.49599763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22.07209253</v>
      </c>
      <c r="AA337" s="20"/>
      <c r="AB337" s="20">
        <f>IFERROR(__xludf.DUMMYFUNCTION("iferror(PERCENTRANK.INC(FILTER($X$2:$X$422, $U$2:$U$422&lt;3.75), $X337), 1)"),0.552)</f>
        <v>0.552</v>
      </c>
      <c r="AC337" s="20">
        <f>IFERROR(__xludf.DUMMYFUNCTION("iferror(PERCENTRANK.INC(FILTER($X$2:$X$422, $U$2:$U$422&lt;4.25), $X337), 1)"),0.536)</f>
        <v>0.536</v>
      </c>
      <c r="AD337" s="20">
        <f>IFERROR(__xludf.DUMMYFUNCTION("iferror(PERCENTRANK.INC(FILTER($X$2:$X$422, $U$2:$U$422&gt;=4.1), $X337), 0.01)"),0.045)</f>
        <v>0.045</v>
      </c>
      <c r="AE337" s="20"/>
    </row>
    <row r="338" ht="14.25" customHeight="1">
      <c r="A338" s="17" t="s">
        <v>702</v>
      </c>
      <c r="B338" s="17" t="s">
        <v>668</v>
      </c>
      <c r="C338" s="18">
        <v>11.0</v>
      </c>
      <c r="D338" s="17" t="s">
        <v>99</v>
      </c>
      <c r="E338" s="17" t="s">
        <v>211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18.89671464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19.39275054</v>
      </c>
      <c r="AA338" s="20"/>
      <c r="AB338" s="20">
        <f>IFERROR(__xludf.DUMMYFUNCTION("iferror(PERCENTRANK.INC(FILTER($X$2:$X$422, $U$2:$U$422&lt;3.75), $X338), 1)"),0.407)</f>
        <v>0.407</v>
      </c>
      <c r="AC338" s="20">
        <f>IFERROR(__xludf.DUMMYFUNCTION("iferror(PERCENTRANK.INC(FILTER($X$2:$X$422, $U$2:$U$422&lt;4.25), $X338), 1)"),0.396)</f>
        <v>0.396</v>
      </c>
      <c r="AD338" s="20">
        <f>IFERROR(__xludf.DUMMYFUNCTION("iferror(PERCENTRANK.INC(FILTER($X$2:$X$422, $U$2:$U$422&gt;=4.1), $X338), 0.01)"),0.042)</f>
        <v>0.042</v>
      </c>
      <c r="AE338" s="20"/>
    </row>
    <row r="339" ht="14.25" customHeight="1">
      <c r="A339" s="17" t="s">
        <v>703</v>
      </c>
      <c r="B339" s="17" t="s">
        <v>704</v>
      </c>
      <c r="C339" s="18">
        <v>1.0</v>
      </c>
      <c r="D339" s="17" t="s">
        <v>99</v>
      </c>
      <c r="E339" s="17" t="s">
        <v>180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18.87116816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4.780523466</v>
      </c>
      <c r="AA339" s="20"/>
      <c r="AB339" s="20">
        <f>IFERROR(__xludf.DUMMYFUNCTION("iferror(PERCENTRANK.INC(FILTER($X$2:$X$422, $U$2:$U$422&lt;3.75), $X339), 1)"),0.01)</f>
        <v>0.01</v>
      </c>
      <c r="AC339" s="20">
        <f>IFERROR(__xludf.DUMMYFUNCTION("iferror(PERCENTRANK.INC(FILTER($X$2:$X$422, $U$2:$U$422&lt;4.25), $X339), 1)"),0.01)</f>
        <v>0.01</v>
      </c>
      <c r="AD339" s="20">
        <f>IFERROR(__xludf.DUMMYFUNCTION("iferror(PERCENTRANK.INC(FILTER($X$2:$X$422, $U$2:$U$422&gt;=4.1), $X339), 0.01)"),0.01)</f>
        <v>0.01</v>
      </c>
      <c r="AE339" s="20"/>
    </row>
    <row r="340" ht="14.25" customHeight="1">
      <c r="A340" s="17" t="s">
        <v>705</v>
      </c>
      <c r="B340" s="17" t="s">
        <v>485</v>
      </c>
      <c r="C340" s="18">
        <v>4.0</v>
      </c>
      <c r="D340" s="17" t="s">
        <v>99</v>
      </c>
      <c r="E340" s="17" t="s">
        <v>115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18.78603401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-8.241545223</v>
      </c>
      <c r="AA340" s="20"/>
      <c r="AB340" s="20">
        <f>IFERROR(__xludf.DUMMYFUNCTION("iferror(PERCENTRANK.INC(FILTER($X$2:$X$422, $U$2:$U$422&lt;3.75), $X340), 1)"),0.003)</f>
        <v>0.003</v>
      </c>
      <c r="AC340" s="20">
        <f>IFERROR(__xludf.DUMMYFUNCTION("iferror(PERCENTRANK.INC(FILTER($X$2:$X$422, $U$2:$U$422&lt;4.25), $X340), 1)"),0.003)</f>
        <v>0.003</v>
      </c>
      <c r="AD340" s="20">
        <f>IFERROR(__xludf.DUMMYFUNCTION("iferror(PERCENTRANK.INC(FILTER($X$2:$X$422, $U$2:$U$422&gt;=4.1), $X340), 0.01)"),0.01)</f>
        <v>0.01</v>
      </c>
      <c r="AE340" s="20"/>
    </row>
    <row r="341" ht="14.25" customHeight="1">
      <c r="A341" s="17" t="s">
        <v>706</v>
      </c>
      <c r="B341" s="17" t="s">
        <v>538</v>
      </c>
      <c r="C341" s="18">
        <v>10.0</v>
      </c>
      <c r="D341" s="17" t="s">
        <v>99</v>
      </c>
      <c r="E341" s="17" t="s">
        <v>180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18.77791312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16.04439377</v>
      </c>
      <c r="AA341" s="20"/>
      <c r="AB341" s="20">
        <f>IFERROR(__xludf.DUMMYFUNCTION("iferror(PERCENTRANK.INC(FILTER($X$2:$X$422, $U$2:$U$422&lt;3.75), $X341), 1)"),0.144)</f>
        <v>0.144</v>
      </c>
      <c r="AC341" s="20">
        <f>IFERROR(__xludf.DUMMYFUNCTION("iferror(PERCENTRANK.INC(FILTER($X$2:$X$422, $U$2:$U$422&lt;4.25), $X341), 1)"),0.14)</f>
        <v>0.14</v>
      </c>
      <c r="AD341" s="20">
        <f>IFERROR(__xludf.DUMMYFUNCTION("iferror(PERCENTRANK.INC(FILTER($X$2:$X$422, $U$2:$U$422&gt;=4.1), $X341), 0.01)"),0.01)</f>
        <v>0.01</v>
      </c>
      <c r="AE341" s="20"/>
    </row>
    <row r="342" ht="14.25" customHeight="1">
      <c r="A342" s="17" t="s">
        <v>707</v>
      </c>
      <c r="B342" s="17" t="s">
        <v>361</v>
      </c>
      <c r="C342" s="18">
        <v>10.0</v>
      </c>
      <c r="D342" s="17" t="s">
        <v>99</v>
      </c>
      <c r="E342" s="17" t="s">
        <v>190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18.25684899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15.38628278</v>
      </c>
      <c r="AA342" s="20"/>
      <c r="AB342" s="20">
        <f>IFERROR(__xludf.DUMMYFUNCTION("iferror(PERCENTRANK.INC(FILTER($X$2:$X$422, $U$2:$U$422&lt;3.75), $X342), 1)"),0.093)</f>
        <v>0.093</v>
      </c>
      <c r="AC342" s="20">
        <f>IFERROR(__xludf.DUMMYFUNCTION("iferror(PERCENTRANK.INC(FILTER($X$2:$X$422, $U$2:$U$422&lt;4.25), $X342), 1)"),0.09)</f>
        <v>0.09</v>
      </c>
      <c r="AD342" s="20">
        <f>IFERROR(__xludf.DUMMYFUNCTION("iferror(PERCENTRANK.INC(FILTER($X$2:$X$422, $U$2:$U$422&gt;=4.1), $X342), 0.01)"),0.01)</f>
        <v>0.01</v>
      </c>
      <c r="AE342" s="20"/>
    </row>
    <row r="343" ht="14.25" customHeight="1">
      <c r="A343" s="17" t="s">
        <v>708</v>
      </c>
      <c r="B343" s="17" t="s">
        <v>549</v>
      </c>
      <c r="C343" s="18">
        <v>15.0</v>
      </c>
      <c r="D343" s="17" t="s">
        <v>99</v>
      </c>
      <c r="E343" s="17" t="s">
        <v>122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18.38146113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20.59339909</v>
      </c>
      <c r="AA343" s="20"/>
      <c r="AB343" s="20">
        <f>IFERROR(__xludf.DUMMYFUNCTION("iferror(PERCENTRANK.INC(FILTER($X$2:$X$422, $U$2:$U$422&lt;3.75), $X343), 1)"),0.459)</f>
        <v>0.459</v>
      </c>
      <c r="AC343" s="20">
        <f>IFERROR(__xludf.DUMMYFUNCTION("iferror(PERCENTRANK.INC(FILTER($X$2:$X$422, $U$2:$U$422&lt;4.25), $X343), 1)"),0.446)</f>
        <v>0.446</v>
      </c>
      <c r="AD343" s="20">
        <f>IFERROR(__xludf.DUMMYFUNCTION("iferror(PERCENTRANK.INC(FILTER($X$2:$X$422, $U$2:$U$422&gt;=4.1), $X343), 0.01)"),0.043)</f>
        <v>0.043</v>
      </c>
      <c r="AE343" s="20"/>
    </row>
    <row r="344" ht="14.25" customHeight="1">
      <c r="A344" s="17" t="s">
        <v>709</v>
      </c>
      <c r="B344" s="17" t="s">
        <v>155</v>
      </c>
      <c r="C344" s="18">
        <v>11.0</v>
      </c>
      <c r="D344" s="17" t="s">
        <v>99</v>
      </c>
      <c r="E344" s="17" t="s">
        <v>156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17.99548661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17.17653504</v>
      </c>
      <c r="AA344" s="20"/>
      <c r="AB344" s="20">
        <f>IFERROR(__xludf.DUMMYFUNCTION("iferror(PERCENTRANK.INC(FILTER($X$2:$X$422, $U$2:$U$422&lt;3.75), $X344), 1)"),0.16)</f>
        <v>0.16</v>
      </c>
      <c r="AC344" s="20">
        <f>IFERROR(__xludf.DUMMYFUNCTION("iferror(PERCENTRANK.INC(FILTER($X$2:$X$422, $U$2:$U$422&lt;4.25), $X344), 1)"),0.155)</f>
        <v>0.155</v>
      </c>
      <c r="AD344" s="20">
        <f>IFERROR(__xludf.DUMMYFUNCTION("iferror(PERCENTRANK.INC(FILTER($X$2:$X$422, $U$2:$U$422&gt;=4.1), $X344), 0.01)"),0.01)</f>
        <v>0.01</v>
      </c>
      <c r="AE344" s="20"/>
    </row>
    <row r="345" ht="14.25" customHeight="1">
      <c r="A345" s="17" t="s">
        <v>710</v>
      </c>
      <c r="B345" s="17" t="s">
        <v>711</v>
      </c>
      <c r="C345" s="18">
        <v>7.0</v>
      </c>
      <c r="D345" s="17" t="s">
        <v>99</v>
      </c>
      <c r="E345" s="17" t="s">
        <v>159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18.40685146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28.56245245</v>
      </c>
      <c r="AA345" s="20"/>
      <c r="AB345" s="20">
        <f>IFERROR(__xludf.DUMMYFUNCTION("iferror(PERCENTRANK.INC(FILTER($X$2:$X$422, $U$2:$U$422&lt;3.75), $X345), 1)"),0.845)</f>
        <v>0.845</v>
      </c>
      <c r="AC345" s="20">
        <f>IFERROR(__xludf.DUMMYFUNCTION("iferror(PERCENTRANK.INC(FILTER($X$2:$X$422, $U$2:$U$422&lt;4.25), $X345), 1)"),0.822)</f>
        <v>0.822</v>
      </c>
      <c r="AD345" s="20">
        <f>IFERROR(__xludf.DUMMYFUNCTION("iferror(PERCENTRANK.INC(FILTER($X$2:$X$422, $U$2:$U$422&gt;=4.1), $X345), 0.01)"),0.053)</f>
        <v>0.053</v>
      </c>
      <c r="AE345" s="20"/>
    </row>
    <row r="346" ht="14.25" customHeight="1">
      <c r="A346" s="17" t="s">
        <v>712</v>
      </c>
      <c r="B346" s="17" t="s">
        <v>661</v>
      </c>
      <c r="C346" s="18">
        <v>5.0</v>
      </c>
      <c r="D346" s="17" t="s">
        <v>99</v>
      </c>
      <c r="E346" s="17" t="s">
        <v>156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18.34513155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18.56565357</v>
      </c>
      <c r="AA346" s="20"/>
      <c r="AB346" s="20">
        <f>IFERROR(__xludf.DUMMYFUNCTION("iferror(PERCENTRANK.INC(FILTER($X$2:$X$422, $U$2:$U$422&lt;3.75), $X346), 1)"),0.286)</f>
        <v>0.286</v>
      </c>
      <c r="AC346" s="20">
        <f>IFERROR(__xludf.DUMMYFUNCTION("iferror(PERCENTRANK.INC(FILTER($X$2:$X$422, $U$2:$U$422&lt;4.25), $X346), 1)"),0.278)</f>
        <v>0.278</v>
      </c>
      <c r="AD346" s="20">
        <f>IFERROR(__xludf.DUMMYFUNCTION("iferror(PERCENTRANK.INC(FILTER($X$2:$X$422, $U$2:$U$422&gt;=4.1), $X346), 0.01)"),0.04)</f>
        <v>0.04</v>
      </c>
      <c r="AE346" s="20"/>
    </row>
    <row r="347" ht="14.25" customHeight="1">
      <c r="A347" s="17" t="s">
        <v>713</v>
      </c>
      <c r="B347" s="17" t="s">
        <v>510</v>
      </c>
      <c r="C347" s="18">
        <v>16.0</v>
      </c>
      <c r="D347" s="17" t="s">
        <v>99</v>
      </c>
      <c r="E347" s="17" t="s">
        <v>100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17.96425087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20.67162093</v>
      </c>
      <c r="AA347" s="20"/>
      <c r="AB347" s="20">
        <f>IFERROR(__xludf.DUMMYFUNCTION("iferror(PERCENTRANK.INC(FILTER($X$2:$X$422, $U$2:$U$422&lt;3.75), $X347), 1)"),0.433)</f>
        <v>0.433</v>
      </c>
      <c r="AC347" s="20">
        <f>IFERROR(__xludf.DUMMYFUNCTION("iferror(PERCENTRANK.INC(FILTER($X$2:$X$422, $U$2:$U$422&lt;4.25), $X347), 1)"),0.421)</f>
        <v>0.421</v>
      </c>
      <c r="AD347" s="20">
        <f>IFERROR(__xludf.DUMMYFUNCTION("iferror(PERCENTRANK.INC(FILTER($X$2:$X$422, $U$2:$U$422&gt;=4.1), $X347), 0.01)"),0.042)</f>
        <v>0.042</v>
      </c>
      <c r="AE347" s="20"/>
    </row>
    <row r="348" ht="14.25" customHeight="1">
      <c r="A348" s="17" t="s">
        <v>714</v>
      </c>
      <c r="B348" s="17" t="s">
        <v>663</v>
      </c>
      <c r="C348" s="18">
        <v>15.0</v>
      </c>
      <c r="D348" s="17" t="s">
        <v>99</v>
      </c>
      <c r="E348" s="17" t="s">
        <v>115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17.9549569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17.73049349</v>
      </c>
      <c r="AA348" s="20"/>
      <c r="AB348" s="20">
        <f>IFERROR(__xludf.DUMMYFUNCTION("iferror(PERCENTRANK.INC(FILTER($X$2:$X$422, $U$2:$U$422&lt;3.75), $X348), 1)"),0.191)</f>
        <v>0.191</v>
      </c>
      <c r="AC348" s="20">
        <f>IFERROR(__xludf.DUMMYFUNCTION("iferror(PERCENTRANK.INC(FILTER($X$2:$X$422, $U$2:$U$422&lt;4.25), $X348), 1)"),0.185)</f>
        <v>0.185</v>
      </c>
      <c r="AD348" s="20">
        <f>IFERROR(__xludf.DUMMYFUNCTION("iferror(PERCENTRANK.INC(FILTER($X$2:$X$422, $U$2:$U$422&gt;=4.1), $X348), 0.01)"),0.01)</f>
        <v>0.01</v>
      </c>
      <c r="AE348" s="20"/>
    </row>
    <row r="349" ht="14.25" customHeight="1">
      <c r="A349" s="17" t="s">
        <v>715</v>
      </c>
      <c r="B349" s="17" t="s">
        <v>152</v>
      </c>
      <c r="C349" s="18">
        <v>18.0</v>
      </c>
      <c r="D349" s="17" t="s">
        <v>99</v>
      </c>
      <c r="E349" s="17" t="s">
        <v>125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17.59579427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20.5772417</v>
      </c>
      <c r="AA349" s="20"/>
      <c r="AB349" s="20">
        <f>IFERROR(__xludf.DUMMYFUNCTION("iferror(PERCENTRANK.INC(FILTER($X$2:$X$422, $U$2:$U$422&lt;3.75), $X349), 1)"),0.392)</f>
        <v>0.392</v>
      </c>
      <c r="AC349" s="20">
        <f>IFERROR(__xludf.DUMMYFUNCTION("iferror(PERCENTRANK.INC(FILTER($X$2:$X$422, $U$2:$U$422&lt;4.25), $X349), 1)"),0.381)</f>
        <v>0.381</v>
      </c>
      <c r="AD349" s="20">
        <f>IFERROR(__xludf.DUMMYFUNCTION("iferror(PERCENTRANK.INC(FILTER($X$2:$X$422, $U$2:$U$422&gt;=4.1), $X349), 0.01)"),0.042)</f>
        <v>0.042</v>
      </c>
      <c r="AE349" s="20"/>
    </row>
    <row r="350" ht="14.25" customHeight="1">
      <c r="A350" s="17" t="s">
        <v>716</v>
      </c>
      <c r="B350" s="17" t="s">
        <v>717</v>
      </c>
      <c r="C350" s="18">
        <v>3.0</v>
      </c>
      <c r="D350" s="17" t="s">
        <v>99</v>
      </c>
      <c r="E350" s="17" t="s">
        <v>148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17.58110876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17.10395631</v>
      </c>
      <c r="AA350" s="20"/>
      <c r="AB350" s="20">
        <f>IFERROR(__xludf.DUMMYFUNCTION("iferror(PERCENTRANK.INC(FILTER($X$2:$X$422, $U$2:$U$422&lt;3.75), $X350), 1)"),0.134)</f>
        <v>0.134</v>
      </c>
      <c r="AC350" s="20">
        <f>IFERROR(__xludf.DUMMYFUNCTION("iferror(PERCENTRANK.INC(FILTER($X$2:$X$422, $U$2:$U$422&lt;4.25), $X350), 1)"),0.13)</f>
        <v>0.13</v>
      </c>
      <c r="AD350" s="20">
        <f>IFERROR(__xludf.DUMMYFUNCTION("iferror(PERCENTRANK.INC(FILTER($X$2:$X$422, $U$2:$U$422&gt;=4.1), $X350), 0.01)"),0.01)</f>
        <v>0.01</v>
      </c>
      <c r="AE350" s="20"/>
    </row>
    <row r="351" ht="14.25" customHeight="1">
      <c r="A351" s="17" t="s">
        <v>718</v>
      </c>
      <c r="B351" s="17" t="s">
        <v>162</v>
      </c>
      <c r="C351" s="18">
        <v>11.0</v>
      </c>
      <c r="D351" s="17" t="s">
        <v>99</v>
      </c>
      <c r="E351" s="17" t="s">
        <v>122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17.46727423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19.11928661</v>
      </c>
      <c r="AA351" s="20"/>
      <c r="AB351" s="20">
        <f>IFERROR(__xludf.DUMMYFUNCTION("iferror(PERCENTRANK.INC(FILTER($X$2:$X$422, $U$2:$U$422&lt;3.75), $X351), 1)"),0.247)</f>
        <v>0.247</v>
      </c>
      <c r="AC351" s="20">
        <f>IFERROR(__xludf.DUMMYFUNCTION("iferror(PERCENTRANK.INC(FILTER($X$2:$X$422, $U$2:$U$422&lt;4.25), $X351), 1)"),0.241)</f>
        <v>0.241</v>
      </c>
      <c r="AD351" s="20">
        <f>IFERROR(__xludf.DUMMYFUNCTION("iferror(PERCENTRANK.INC(FILTER($X$2:$X$422, $U$2:$U$422&gt;=4.1), $X351), 0.01)"),0.01)</f>
        <v>0.01</v>
      </c>
      <c r="AE351" s="20"/>
    </row>
    <row r="352" ht="14.25" customHeight="1">
      <c r="A352" s="17" t="s">
        <v>719</v>
      </c>
      <c r="B352" s="17" t="s">
        <v>400</v>
      </c>
      <c r="C352" s="18">
        <v>16.0</v>
      </c>
      <c r="D352" s="17" t="s">
        <v>99</v>
      </c>
      <c r="E352" s="17" t="s">
        <v>211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17.25466411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18.97794131</v>
      </c>
      <c r="AA352" s="20"/>
      <c r="AB352" s="20">
        <f>IFERROR(__xludf.DUMMYFUNCTION("iferror(PERCENTRANK.INC(FILTER($X$2:$X$422, $U$2:$U$422&lt;3.75), $X352), 1)"),0.224)</f>
        <v>0.224</v>
      </c>
      <c r="AC352" s="20">
        <f>IFERROR(__xludf.DUMMYFUNCTION("iferror(PERCENTRANK.INC(FILTER($X$2:$X$422, $U$2:$U$422&lt;4.25), $X352), 1)"),0.218)</f>
        <v>0.218</v>
      </c>
      <c r="AD352" s="20">
        <f>IFERROR(__xludf.DUMMYFUNCTION("iferror(PERCENTRANK.INC(FILTER($X$2:$X$422, $U$2:$U$422&gt;=4.1), $X352), 0.01)"),0.01)</f>
        <v>0.01</v>
      </c>
      <c r="AE352" s="20"/>
    </row>
    <row r="353" ht="14.25" customHeight="1">
      <c r="A353" s="17" t="s">
        <v>720</v>
      </c>
      <c r="B353" s="17" t="s">
        <v>446</v>
      </c>
      <c r="C353" s="18">
        <v>1.0</v>
      </c>
      <c r="D353" s="17" t="s">
        <v>99</v>
      </c>
      <c r="E353" s="17" t="s">
        <v>156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17.38475672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17.43410249</v>
      </c>
      <c r="AA353" s="20"/>
      <c r="AB353" s="20">
        <f>IFERROR(__xludf.DUMMYFUNCTION("iferror(PERCENTRANK.INC(FILTER($X$2:$X$422, $U$2:$U$422&lt;3.75), $X353), 1)"),0.142)</f>
        <v>0.142</v>
      </c>
      <c r="AC353" s="20">
        <f>IFERROR(__xludf.DUMMYFUNCTION("iferror(PERCENTRANK.INC(FILTER($X$2:$X$422, $U$2:$U$422&lt;4.25), $X353), 1)"),0.138)</f>
        <v>0.138</v>
      </c>
      <c r="AD353" s="20">
        <f>IFERROR(__xludf.DUMMYFUNCTION("iferror(PERCENTRANK.INC(FILTER($X$2:$X$422, $U$2:$U$422&gt;=4.1), $X353), 0.01)"),0.01)</f>
        <v>0.01</v>
      </c>
      <c r="AE353" s="20"/>
    </row>
    <row r="354" ht="14.25" customHeight="1">
      <c r="A354" s="17" t="s">
        <v>721</v>
      </c>
      <c r="B354" s="17" t="s">
        <v>352</v>
      </c>
      <c r="C354" s="18">
        <v>10.0</v>
      </c>
      <c r="D354" s="17" t="s">
        <v>99</v>
      </c>
      <c r="E354" s="17" t="s">
        <v>136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17.35405108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14.28144022</v>
      </c>
      <c r="AA354" s="20"/>
      <c r="AB354" s="20">
        <f>IFERROR(__xludf.DUMMYFUNCTION("iferror(PERCENTRANK.INC(FILTER($X$2:$X$422, $U$2:$U$422&lt;3.75), $X354), 1)"),0.067)</f>
        <v>0.067</v>
      </c>
      <c r="AC354" s="20">
        <f>IFERROR(__xludf.DUMMYFUNCTION("iferror(PERCENTRANK.INC(FILTER($X$2:$X$422, $U$2:$U$422&lt;4.25), $X354), 1)"),0.065)</f>
        <v>0.065</v>
      </c>
      <c r="AD354" s="20">
        <f>IFERROR(__xludf.DUMMYFUNCTION("iferror(PERCENTRANK.INC(FILTER($X$2:$X$422, $U$2:$U$422&gt;=4.1), $X354), 0.01)"),0.01)</f>
        <v>0.01</v>
      </c>
      <c r="AE354" s="20"/>
    </row>
    <row r="355" ht="14.25" customHeight="1">
      <c r="A355" s="17" t="s">
        <v>722</v>
      </c>
      <c r="B355" s="17" t="s">
        <v>645</v>
      </c>
      <c r="C355" s="18">
        <v>18.0</v>
      </c>
      <c r="D355" s="17" t="s">
        <v>99</v>
      </c>
      <c r="E355" s="17" t="s">
        <v>103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17.54424351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18.09797588</v>
      </c>
      <c r="AA355" s="20"/>
      <c r="AB355" s="20">
        <f>IFERROR(__xludf.DUMMYFUNCTION("iferror(PERCENTRANK.INC(FILTER($X$2:$X$422, $U$2:$U$422&lt;3.75), $X355), 1)"),0.188)</f>
        <v>0.188</v>
      </c>
      <c r="AC355" s="20">
        <f>IFERROR(__xludf.DUMMYFUNCTION("iferror(PERCENTRANK.INC(FILTER($X$2:$X$422, $U$2:$U$422&lt;4.25), $X355), 1)"),0.183)</f>
        <v>0.183</v>
      </c>
      <c r="AD355" s="20">
        <f>IFERROR(__xludf.DUMMYFUNCTION("iferror(PERCENTRANK.INC(FILTER($X$2:$X$422, $U$2:$U$422&gt;=4.1), $X355), 0.01)"),0.01)</f>
        <v>0.01</v>
      </c>
      <c r="AE355" s="20"/>
    </row>
    <row r="356" ht="14.25" customHeight="1">
      <c r="A356" s="17" t="s">
        <v>723</v>
      </c>
      <c r="B356" s="17" t="s">
        <v>724</v>
      </c>
      <c r="C356" s="18">
        <v>6.0</v>
      </c>
      <c r="D356" s="17" t="s">
        <v>99</v>
      </c>
      <c r="E356" s="17" t="s">
        <v>133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17.32204383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20.67035097</v>
      </c>
      <c r="AA356" s="20"/>
      <c r="AB356" s="20">
        <f>IFERROR(__xludf.DUMMYFUNCTION("iferror(PERCENTRANK.INC(FILTER($X$2:$X$422, $U$2:$U$422&lt;3.75), $X356), 1)"),0.374)</f>
        <v>0.374</v>
      </c>
      <c r="AC356" s="20">
        <f>IFERROR(__xludf.DUMMYFUNCTION("iferror(PERCENTRANK.INC(FILTER($X$2:$X$422, $U$2:$U$422&lt;4.25), $X356), 1)"),0.363)</f>
        <v>0.363</v>
      </c>
      <c r="AD356" s="20">
        <f>IFERROR(__xludf.DUMMYFUNCTION("iferror(PERCENTRANK.INC(FILTER($X$2:$X$422, $U$2:$U$422&gt;=4.1), $X356), 0.01)"),0.042)</f>
        <v>0.042</v>
      </c>
      <c r="AE356" s="20"/>
    </row>
    <row r="357" ht="14.25" customHeight="1">
      <c r="A357" s="17" t="s">
        <v>725</v>
      </c>
      <c r="B357" s="17" t="s">
        <v>462</v>
      </c>
      <c r="C357" s="18">
        <v>2.0</v>
      </c>
      <c r="D357" s="17" t="s">
        <v>99</v>
      </c>
      <c r="E357" s="17" t="s">
        <v>103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17.25109236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22.45531915</v>
      </c>
      <c r="AA357" s="20"/>
      <c r="AB357" s="20">
        <f>IFERROR(__xludf.DUMMYFUNCTION("iferror(PERCENTRANK.INC(FILTER($X$2:$X$422, $U$2:$U$422&lt;3.75), $X357), 1)"),0.503)</f>
        <v>0.503</v>
      </c>
      <c r="AC357" s="20">
        <f>IFERROR(__xludf.DUMMYFUNCTION("iferror(PERCENTRANK.INC(FILTER($X$2:$X$422, $U$2:$U$422&lt;4.25), $X357), 1)"),0.489)</f>
        <v>0.489</v>
      </c>
      <c r="AD357" s="20">
        <f>IFERROR(__xludf.DUMMYFUNCTION("iferror(PERCENTRANK.INC(FILTER($X$2:$X$422, $U$2:$U$422&gt;=4.1), $X357), 0.01)"),0.044)</f>
        <v>0.044</v>
      </c>
      <c r="AE357" s="20"/>
    </row>
    <row r="358" ht="14.25" customHeight="1">
      <c r="A358" s="17" t="s">
        <v>726</v>
      </c>
      <c r="B358" s="17" t="s">
        <v>727</v>
      </c>
      <c r="C358" s="18">
        <v>6.0</v>
      </c>
      <c r="D358" s="17" t="s">
        <v>99</v>
      </c>
      <c r="E358" s="17" t="s">
        <v>100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17.39270374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54.92271639</v>
      </c>
      <c r="AA358" s="20"/>
      <c r="AB358" s="20">
        <f>IFERROR(__xludf.DUMMYFUNCTION("iferror(PERCENTRANK.INC(FILTER($X$2:$X$422, $U$2:$U$422&lt;3.75), $X358), 1)"),0.986)</f>
        <v>0.986</v>
      </c>
      <c r="AC358" s="20">
        <f>IFERROR(__xludf.DUMMYFUNCTION("iferror(PERCENTRANK.INC(FILTER($X$2:$X$422, $U$2:$U$422&lt;4.25), $X358), 1)"),0.965)</f>
        <v>0.965</v>
      </c>
      <c r="AD358" s="20">
        <f>IFERROR(__xludf.DUMMYFUNCTION("iferror(PERCENTRANK.INC(FILTER($X$2:$X$422, $U$2:$U$422&gt;=4.1), $X358), 0.01)"),0.12)</f>
        <v>0.12</v>
      </c>
      <c r="AE358" s="20"/>
    </row>
    <row r="359" ht="14.25" customHeight="1">
      <c r="A359" s="17" t="s">
        <v>728</v>
      </c>
      <c r="B359" s="17" t="s">
        <v>387</v>
      </c>
      <c r="C359" s="18">
        <v>11.0</v>
      </c>
      <c r="D359" s="17" t="s">
        <v>99</v>
      </c>
      <c r="E359" s="17" t="s">
        <v>159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17.24694414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19.14470267</v>
      </c>
      <c r="AA359" s="20"/>
      <c r="AB359" s="20">
        <f>IFERROR(__xludf.DUMMYFUNCTION("iferror(PERCENTRANK.INC(FILTER($X$2:$X$422, $U$2:$U$422&lt;3.75), $X359), 1)"),0.229)</f>
        <v>0.229</v>
      </c>
      <c r="AC359" s="20">
        <f>IFERROR(__xludf.DUMMYFUNCTION("iferror(PERCENTRANK.INC(FILTER($X$2:$X$422, $U$2:$U$422&lt;4.25), $X359), 1)"),0.223)</f>
        <v>0.223</v>
      </c>
      <c r="AD359" s="20">
        <f>IFERROR(__xludf.DUMMYFUNCTION("iferror(PERCENTRANK.INC(FILTER($X$2:$X$422, $U$2:$U$422&gt;=4.1), $X359), 0.01)"),0.01)</f>
        <v>0.01</v>
      </c>
      <c r="AE359" s="20"/>
    </row>
    <row r="360" ht="14.25" customHeight="1">
      <c r="A360" s="17" t="s">
        <v>729</v>
      </c>
      <c r="B360" s="17" t="s">
        <v>727</v>
      </c>
      <c r="C360" s="18">
        <v>18.0</v>
      </c>
      <c r="D360" s="17" t="s">
        <v>99</v>
      </c>
      <c r="E360" s="17" t="s">
        <v>100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17.12490237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20.33639461</v>
      </c>
      <c r="AA360" s="20"/>
      <c r="AB360" s="20">
        <f>IFERROR(__xludf.DUMMYFUNCTION("iferror(PERCENTRANK.INC(FILTER($X$2:$X$422, $U$2:$U$422&lt;3.75), $X360), 1)"),0.335)</f>
        <v>0.335</v>
      </c>
      <c r="AC360" s="20">
        <f>IFERROR(__xludf.DUMMYFUNCTION("iferror(PERCENTRANK.INC(FILTER($X$2:$X$422, $U$2:$U$422&lt;4.25), $X360), 1)"),0.326)</f>
        <v>0.326</v>
      </c>
      <c r="AD360" s="20">
        <f>IFERROR(__xludf.DUMMYFUNCTION("iferror(PERCENTRANK.INC(FILTER($X$2:$X$422, $U$2:$U$422&gt;=4.1), $X360), 0.01)"),0.041)</f>
        <v>0.041</v>
      </c>
      <c r="AE360" s="20"/>
    </row>
    <row r="361" ht="14.25" customHeight="1">
      <c r="A361" s="17" t="s">
        <v>730</v>
      </c>
      <c r="B361" s="17" t="s">
        <v>556</v>
      </c>
      <c r="C361" s="18">
        <v>12.0</v>
      </c>
      <c r="D361" s="17" t="s">
        <v>99</v>
      </c>
      <c r="E361" s="17" t="s">
        <v>118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17.06708814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19.01279723</v>
      </c>
      <c r="AA361" s="20"/>
      <c r="AB361" s="20">
        <f>IFERROR(__xludf.DUMMYFUNCTION("iferror(PERCENTRANK.INC(FILTER($X$2:$X$422, $U$2:$U$422&lt;3.75), $X361), 1)"),0.216)</f>
        <v>0.216</v>
      </c>
      <c r="AC361" s="20">
        <f>IFERROR(__xludf.DUMMYFUNCTION("iferror(PERCENTRANK.INC(FILTER($X$2:$X$422, $U$2:$U$422&lt;4.25), $X361), 1)"),0.211)</f>
        <v>0.211</v>
      </c>
      <c r="AD361" s="20">
        <f>IFERROR(__xludf.DUMMYFUNCTION("iferror(PERCENTRANK.INC(FILTER($X$2:$X$422, $U$2:$U$422&gt;=4.1), $X361), 0.01)"),0.01)</f>
        <v>0.01</v>
      </c>
      <c r="AE361" s="20"/>
    </row>
    <row r="362" ht="14.25" customHeight="1">
      <c r="A362" s="17" t="s">
        <v>731</v>
      </c>
      <c r="B362" s="17" t="s">
        <v>566</v>
      </c>
      <c r="C362" s="18">
        <v>5.0</v>
      </c>
      <c r="D362" s="17" t="s">
        <v>99</v>
      </c>
      <c r="E362" s="17" t="s">
        <v>507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16.93646172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19.88040977</v>
      </c>
      <c r="AA362" s="20"/>
      <c r="AB362" s="20">
        <f>IFERROR(__xludf.DUMMYFUNCTION("iferror(PERCENTRANK.INC(FILTER($X$2:$X$422, $U$2:$U$422&lt;3.75), $X362), 1)"),0.276)</f>
        <v>0.276</v>
      </c>
      <c r="AC362" s="20">
        <f>IFERROR(__xludf.DUMMYFUNCTION("iferror(PERCENTRANK.INC(FILTER($X$2:$X$422, $U$2:$U$422&lt;4.25), $X362), 1)"),0.268)</f>
        <v>0.268</v>
      </c>
      <c r="AD362" s="20">
        <f>IFERROR(__xludf.DUMMYFUNCTION("iferror(PERCENTRANK.INC(FILTER($X$2:$X$422, $U$2:$U$422&gt;=4.1), $X362), 0.01)"),0.04)</f>
        <v>0.04</v>
      </c>
      <c r="AE362" s="20"/>
    </row>
    <row r="363" ht="14.25" customHeight="1">
      <c r="A363" s="17" t="s">
        <v>732</v>
      </c>
      <c r="B363" s="17" t="s">
        <v>450</v>
      </c>
      <c r="C363" s="18">
        <v>10.0</v>
      </c>
      <c r="D363" s="17" t="s">
        <v>99</v>
      </c>
      <c r="E363" s="17" t="s">
        <v>173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16.71386151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20.40444079</v>
      </c>
      <c r="AA363" s="20"/>
      <c r="AB363" s="20">
        <f>IFERROR(__xludf.DUMMYFUNCTION("iferror(PERCENTRANK.INC(FILTER($X$2:$X$422, $U$2:$U$422&lt;3.75), $X363), 1)"),0.309)</f>
        <v>0.309</v>
      </c>
      <c r="AC363" s="20">
        <f>IFERROR(__xludf.DUMMYFUNCTION("iferror(PERCENTRANK.INC(FILTER($X$2:$X$422, $U$2:$U$422&lt;4.25), $X363), 1)"),0.301)</f>
        <v>0.301</v>
      </c>
      <c r="AD363" s="20">
        <f>IFERROR(__xludf.DUMMYFUNCTION("iferror(PERCENTRANK.INC(FILTER($X$2:$X$422, $U$2:$U$422&gt;=4.1), $X363), 0.01)"),0.041)</f>
        <v>0.041</v>
      </c>
      <c r="AE363" s="20"/>
    </row>
    <row r="364" ht="14.25" customHeight="1">
      <c r="A364" s="17" t="s">
        <v>733</v>
      </c>
      <c r="B364" s="17" t="s">
        <v>258</v>
      </c>
      <c r="C364" s="18">
        <v>12.0</v>
      </c>
      <c r="D364" s="17" t="s">
        <v>99</v>
      </c>
      <c r="E364" s="17" t="s">
        <v>183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16.86245431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20.94798776</v>
      </c>
      <c r="AA364" s="20"/>
      <c r="AB364" s="20">
        <f>IFERROR(__xludf.DUMMYFUNCTION("iferror(PERCENTRANK.INC(FILTER($X$2:$X$422, $U$2:$U$422&lt;3.75), $X364), 1)"),0.358)</f>
        <v>0.358</v>
      </c>
      <c r="AC364" s="20">
        <f>IFERROR(__xludf.DUMMYFUNCTION("iferror(PERCENTRANK.INC(FILTER($X$2:$X$422, $U$2:$U$422&lt;4.25), $X364), 1)"),0.348)</f>
        <v>0.348</v>
      </c>
      <c r="AD364" s="20">
        <f>IFERROR(__xludf.DUMMYFUNCTION("iferror(PERCENTRANK.INC(FILTER($X$2:$X$422, $U$2:$U$422&gt;=4.1), $X364), 0.01)"),0.041)</f>
        <v>0.041</v>
      </c>
      <c r="AE364" s="20"/>
    </row>
    <row r="365" ht="14.25" customHeight="1">
      <c r="A365" s="17" t="s">
        <v>734</v>
      </c>
      <c r="B365" s="17" t="s">
        <v>724</v>
      </c>
      <c r="C365" s="18">
        <v>10.0</v>
      </c>
      <c r="D365" s="17" t="s">
        <v>99</v>
      </c>
      <c r="E365" s="17" t="s">
        <v>133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16.48394383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20.61913209</v>
      </c>
      <c r="AA365" s="20"/>
      <c r="AB365" s="20">
        <f>IFERROR(__xludf.DUMMYFUNCTION("iferror(PERCENTRANK.INC(FILTER($X$2:$X$422, $U$2:$U$422&lt;3.75), $X365), 1)"),0.307)</f>
        <v>0.307</v>
      </c>
      <c r="AC365" s="20">
        <f>IFERROR(__xludf.DUMMYFUNCTION("iferror(PERCENTRANK.INC(FILTER($X$2:$X$422, $U$2:$U$422&lt;4.25), $X365), 1)"),0.298)</f>
        <v>0.298</v>
      </c>
      <c r="AD365" s="20">
        <f>IFERROR(__xludf.DUMMYFUNCTION("iferror(PERCENTRANK.INC(FILTER($X$2:$X$422, $U$2:$U$422&gt;=4.1), $X365), 0.01)"),0.041)</f>
        <v>0.041</v>
      </c>
      <c r="AE365" s="20"/>
    </row>
    <row r="366" ht="14.25" customHeight="1">
      <c r="A366" s="17" t="s">
        <v>735</v>
      </c>
      <c r="B366" s="17" t="s">
        <v>474</v>
      </c>
      <c r="C366" s="18">
        <v>9.0</v>
      </c>
      <c r="D366" s="17" t="s">
        <v>99</v>
      </c>
      <c r="E366" s="17" t="s">
        <v>118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16.45196755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25.50620239</v>
      </c>
      <c r="AA366" s="20"/>
      <c r="AB366" s="20">
        <f>IFERROR(__xludf.DUMMYFUNCTION("iferror(PERCENTRANK.INC(FILTER($X$2:$X$422, $U$2:$U$422&lt;3.75), $X366), 1)"),0.608)</f>
        <v>0.608</v>
      </c>
      <c r="AC366" s="20">
        <f>IFERROR(__xludf.DUMMYFUNCTION("iferror(PERCENTRANK.INC(FILTER($X$2:$X$422, $U$2:$U$422&lt;4.25), $X366), 1)"),0.591)</f>
        <v>0.591</v>
      </c>
      <c r="AD366" s="20">
        <f>IFERROR(__xludf.DUMMYFUNCTION("iferror(PERCENTRANK.INC(FILTER($X$2:$X$422, $U$2:$U$422&gt;=4.1), $X366), 0.01)"),0.047)</f>
        <v>0.047</v>
      </c>
      <c r="AE366" s="20"/>
    </row>
    <row r="367" ht="14.25" customHeight="1">
      <c r="A367" s="17" t="s">
        <v>736</v>
      </c>
      <c r="B367" s="17" t="s">
        <v>130</v>
      </c>
      <c r="C367" s="18">
        <v>6.0</v>
      </c>
      <c r="D367" s="17" t="s">
        <v>99</v>
      </c>
      <c r="E367" s="17" t="s">
        <v>125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16.44108375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10.80600015</v>
      </c>
      <c r="AA367" s="20"/>
      <c r="AB367" s="20">
        <f>IFERROR(__xludf.DUMMYFUNCTION("iferror(PERCENTRANK.INC(FILTER($X$2:$X$422, $U$2:$U$422&lt;3.75), $X367), 1)"),0.041)</f>
        <v>0.041</v>
      </c>
      <c r="AC367" s="20">
        <f>IFERROR(__xludf.DUMMYFUNCTION("iferror(PERCENTRANK.INC(FILTER($X$2:$X$422, $U$2:$U$422&lt;4.25), $X367), 1)"),0.04)</f>
        <v>0.04</v>
      </c>
      <c r="AD367" s="20">
        <f>IFERROR(__xludf.DUMMYFUNCTION("iferror(PERCENTRANK.INC(FILTER($X$2:$X$422, $U$2:$U$422&gt;=4.1), $X367), 0.01)"),0.01)</f>
        <v>0.01</v>
      </c>
      <c r="AE367" s="20"/>
    </row>
    <row r="368" ht="14.25" customHeight="1">
      <c r="A368" s="17" t="s">
        <v>737</v>
      </c>
      <c r="B368" s="17" t="s">
        <v>675</v>
      </c>
      <c r="C368" s="18">
        <v>10.0</v>
      </c>
      <c r="D368" s="17" t="s">
        <v>99</v>
      </c>
      <c r="E368" s="17" t="s">
        <v>115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16.24787789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19.83807022</v>
      </c>
      <c r="AA368" s="20"/>
      <c r="AB368" s="20">
        <f>IFERROR(__xludf.DUMMYFUNCTION("iferror(PERCENTRANK.INC(FILTER($X$2:$X$422, $U$2:$U$422&lt;3.75), $X368), 1)"),0.219)</f>
        <v>0.219</v>
      </c>
      <c r="AC368" s="20">
        <f>IFERROR(__xludf.DUMMYFUNCTION("iferror(PERCENTRANK.INC(FILTER($X$2:$X$422, $U$2:$U$422&lt;4.25), $X368), 1)"),0.213)</f>
        <v>0.213</v>
      </c>
      <c r="AD368" s="20">
        <f>IFERROR(__xludf.DUMMYFUNCTION("iferror(PERCENTRANK.INC(FILTER($X$2:$X$422, $U$2:$U$422&gt;=4.1), $X368), 0.01)"),0.01)</f>
        <v>0.01</v>
      </c>
      <c r="AE368" s="20"/>
    </row>
    <row r="369" ht="14.25" customHeight="1">
      <c r="A369" s="17" t="s">
        <v>738</v>
      </c>
      <c r="B369" s="17" t="s">
        <v>411</v>
      </c>
      <c r="C369" s="18">
        <v>9.0</v>
      </c>
      <c r="D369" s="17" t="s">
        <v>99</v>
      </c>
      <c r="E369" s="17" t="s">
        <v>148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16.17175354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14.95089784</v>
      </c>
      <c r="AA369" s="20"/>
      <c r="AB369" s="20">
        <f>IFERROR(__xludf.DUMMYFUNCTION("iferror(PERCENTRANK.INC(FILTER($X$2:$X$422, $U$2:$U$422&lt;3.75), $X369), 1)"),0.057)</f>
        <v>0.057</v>
      </c>
      <c r="AC369" s="20">
        <f>IFERROR(__xludf.DUMMYFUNCTION("iferror(PERCENTRANK.INC(FILTER($X$2:$X$422, $U$2:$U$422&lt;4.25), $X369), 1)"),0.055)</f>
        <v>0.055</v>
      </c>
      <c r="AD369" s="20">
        <f>IFERROR(__xludf.DUMMYFUNCTION("iferror(PERCENTRANK.INC(FILTER($X$2:$X$422, $U$2:$U$422&gt;=4.1), $X369), 0.01)"),0.01)</f>
        <v>0.01</v>
      </c>
      <c r="AE369" s="20"/>
    </row>
    <row r="370" ht="14.25" customHeight="1">
      <c r="A370" s="17" t="s">
        <v>739</v>
      </c>
      <c r="B370" s="17" t="s">
        <v>545</v>
      </c>
      <c r="C370" s="18">
        <v>1.0</v>
      </c>
      <c r="D370" s="17" t="s">
        <v>99</v>
      </c>
      <c r="E370" s="17" t="s">
        <v>159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15.78203063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16.28542041</v>
      </c>
      <c r="AA370" s="20"/>
      <c r="AB370" s="20">
        <f>IFERROR(__xludf.DUMMYFUNCTION("iferror(PERCENTRANK.INC(FILTER($X$2:$X$422, $U$2:$U$422&lt;3.75), $X370), 1)"),0.075)</f>
        <v>0.075</v>
      </c>
      <c r="AC370" s="20">
        <f>IFERROR(__xludf.DUMMYFUNCTION("iferror(PERCENTRANK.INC(FILTER($X$2:$X$422, $U$2:$U$422&lt;4.25), $X370), 1)"),0.073)</f>
        <v>0.073</v>
      </c>
      <c r="AD370" s="20">
        <f>IFERROR(__xludf.DUMMYFUNCTION("iferror(PERCENTRANK.INC(FILTER($X$2:$X$422, $U$2:$U$422&gt;=4.1), $X370), 0.01)"),0.01)</f>
        <v>0.01</v>
      </c>
      <c r="AE370" s="20"/>
    </row>
    <row r="371" ht="14.25" customHeight="1">
      <c r="A371" s="17" t="s">
        <v>740</v>
      </c>
      <c r="B371" s="17" t="s">
        <v>741</v>
      </c>
      <c r="C371" s="18">
        <v>5.0</v>
      </c>
      <c r="D371" s="17" t="s">
        <v>99</v>
      </c>
      <c r="E371" s="17" t="s">
        <v>156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15.87776313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21.26712651</v>
      </c>
      <c r="AA371" s="20"/>
      <c r="AB371" s="20">
        <f>IFERROR(__xludf.DUMMYFUNCTION("iferror(PERCENTRANK.INC(FILTER($X$2:$X$422, $U$2:$U$422&lt;3.75), $X371), 1)"),0.312)</f>
        <v>0.312</v>
      </c>
      <c r="AC371" s="20">
        <f>IFERROR(__xludf.DUMMYFUNCTION("iferror(PERCENTRANK.INC(FILTER($X$2:$X$422, $U$2:$U$422&lt;4.25), $X371), 1)"),0.303)</f>
        <v>0.303</v>
      </c>
      <c r="AD371" s="20">
        <f>IFERROR(__xludf.DUMMYFUNCTION("iferror(PERCENTRANK.INC(FILTER($X$2:$X$422, $U$2:$U$422&gt;=4.1), $X371), 0.01)"),0.041)</f>
        <v>0.041</v>
      </c>
      <c r="AE371" s="20"/>
    </row>
    <row r="372" ht="14.25" customHeight="1">
      <c r="A372" s="17" t="s">
        <v>742</v>
      </c>
      <c r="B372" s="17" t="s">
        <v>383</v>
      </c>
      <c r="C372" s="18">
        <v>9.0</v>
      </c>
      <c r="D372" s="17" t="s">
        <v>99</v>
      </c>
      <c r="E372" s="17" t="s">
        <v>183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15.85252734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17.18427579</v>
      </c>
      <c r="AA372" s="20"/>
      <c r="AB372" s="20">
        <f>IFERROR(__xludf.DUMMYFUNCTION("iferror(PERCENTRANK.INC(FILTER($X$2:$X$422, $U$2:$U$422&lt;3.75), $X372), 1)"),0.088)</f>
        <v>0.088</v>
      </c>
      <c r="AC372" s="20">
        <f>IFERROR(__xludf.DUMMYFUNCTION("iferror(PERCENTRANK.INC(FILTER($X$2:$X$422, $U$2:$U$422&lt;4.25), $X372), 1)"),0.085)</f>
        <v>0.085</v>
      </c>
      <c r="AD372" s="20">
        <f>IFERROR(__xludf.DUMMYFUNCTION("iferror(PERCENTRANK.INC(FILTER($X$2:$X$422, $U$2:$U$422&gt;=4.1), $X372), 0.01)"),0.01)</f>
        <v>0.01</v>
      </c>
      <c r="AE372" s="20"/>
    </row>
    <row r="373" ht="14.25" customHeight="1">
      <c r="A373" s="17" t="s">
        <v>743</v>
      </c>
      <c r="B373" s="17" t="s">
        <v>741</v>
      </c>
      <c r="C373" s="18">
        <v>8.0</v>
      </c>
      <c r="D373" s="17" t="s">
        <v>99</v>
      </c>
      <c r="E373" s="17" t="s">
        <v>156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15.75194261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19.60639139</v>
      </c>
      <c r="AA373" s="20"/>
      <c r="AB373" s="20">
        <f>IFERROR(__xludf.DUMMYFUNCTION("iferror(PERCENTRANK.INC(FILTER($X$2:$X$422, $U$2:$U$422&lt;3.75), $X373), 1)"),0.173)</f>
        <v>0.173</v>
      </c>
      <c r="AC373" s="20">
        <f>IFERROR(__xludf.DUMMYFUNCTION("iferror(PERCENTRANK.INC(FILTER($X$2:$X$422, $U$2:$U$422&lt;4.25), $X373), 1)"),0.168)</f>
        <v>0.168</v>
      </c>
      <c r="AD373" s="20">
        <f>IFERROR(__xludf.DUMMYFUNCTION("iferror(PERCENTRANK.INC(FILTER($X$2:$X$422, $U$2:$U$422&gt;=4.1), $X373), 0.01)"),0.01)</f>
        <v>0.01</v>
      </c>
      <c r="AE373" s="20"/>
    </row>
    <row r="374" ht="14.25" customHeight="1">
      <c r="A374" s="17" t="s">
        <v>744</v>
      </c>
      <c r="B374" s="17" t="s">
        <v>627</v>
      </c>
      <c r="C374" s="18">
        <v>4.0</v>
      </c>
      <c r="D374" s="17" t="s">
        <v>99</v>
      </c>
      <c r="E374" s="17" t="s">
        <v>173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15.66744995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18.42354569</v>
      </c>
      <c r="AA374" s="20"/>
      <c r="AB374" s="20">
        <f>IFERROR(__xludf.DUMMYFUNCTION("iferror(PERCENTRANK.INC(FILTER($X$2:$X$422, $U$2:$U$422&lt;3.75), $X374), 1)"),0.108)</f>
        <v>0.108</v>
      </c>
      <c r="AC374" s="20">
        <f>IFERROR(__xludf.DUMMYFUNCTION("iferror(PERCENTRANK.INC(FILTER($X$2:$X$422, $U$2:$U$422&lt;4.25), $X374), 1)"),0.105)</f>
        <v>0.105</v>
      </c>
      <c r="AD374" s="20">
        <f>IFERROR(__xludf.DUMMYFUNCTION("iferror(PERCENTRANK.INC(FILTER($X$2:$X$422, $U$2:$U$422&gt;=4.1), $X374), 0.01)"),0.01)</f>
        <v>0.01</v>
      </c>
      <c r="AE374" s="20"/>
    </row>
    <row r="375" ht="14.25" customHeight="1">
      <c r="A375" s="17" t="s">
        <v>745</v>
      </c>
      <c r="B375" s="17" t="s">
        <v>704</v>
      </c>
      <c r="C375" s="18">
        <v>16.0</v>
      </c>
      <c r="D375" s="17" t="s">
        <v>99</v>
      </c>
      <c r="E375" s="17" t="s">
        <v>180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15.3718625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31.34408247</v>
      </c>
      <c r="AA375" s="20"/>
      <c r="AB375" s="20">
        <f>IFERROR(__xludf.DUMMYFUNCTION("iferror(PERCENTRANK.INC(FILTER($X$2:$X$422, $U$2:$U$422&lt;3.75), $X375), 1)"),0.832)</f>
        <v>0.832</v>
      </c>
      <c r="AC375" s="20">
        <f>IFERROR(__xludf.DUMMYFUNCTION("iferror(PERCENTRANK.INC(FILTER($X$2:$X$422, $U$2:$U$422&lt;4.25), $X375), 1)"),0.81)</f>
        <v>0.81</v>
      </c>
      <c r="AD375" s="20">
        <f>IFERROR(__xludf.DUMMYFUNCTION("iferror(PERCENTRANK.INC(FILTER($X$2:$X$422, $U$2:$U$422&gt;=4.1), $X375), 0.01)"),0.053)</f>
        <v>0.053</v>
      </c>
      <c r="AE375" s="20"/>
    </row>
    <row r="376" ht="14.25" customHeight="1">
      <c r="A376" s="17" t="s">
        <v>746</v>
      </c>
      <c r="B376" s="17" t="s">
        <v>358</v>
      </c>
      <c r="C376" s="18">
        <v>11.0</v>
      </c>
      <c r="D376" s="17" t="s">
        <v>99</v>
      </c>
      <c r="E376" s="17" t="s">
        <v>122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15.30586329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9.866710189</v>
      </c>
      <c r="AA376" s="20"/>
      <c r="AB376" s="20">
        <f>IFERROR(__xludf.DUMMYFUNCTION("iferror(PERCENTRANK.INC(FILTER($X$2:$X$422, $U$2:$U$422&lt;3.75), $X376), 1)"),0.021)</f>
        <v>0.021</v>
      </c>
      <c r="AC376" s="20">
        <f>IFERROR(__xludf.DUMMYFUNCTION("iferror(PERCENTRANK.INC(FILTER($X$2:$X$422, $U$2:$U$422&lt;4.25), $X376), 1)"),0.02)</f>
        <v>0.02</v>
      </c>
      <c r="AD376" s="20">
        <f>IFERROR(__xludf.DUMMYFUNCTION("iferror(PERCENTRANK.INC(FILTER($X$2:$X$422, $U$2:$U$422&gt;=4.1), $X376), 0.01)"),0.01)</f>
        <v>0.01</v>
      </c>
      <c r="AE376" s="20"/>
    </row>
    <row r="377" ht="14.25" customHeight="1">
      <c r="A377" s="17" t="s">
        <v>747</v>
      </c>
      <c r="B377" s="17" t="s">
        <v>748</v>
      </c>
      <c r="C377" s="18">
        <v>15.0</v>
      </c>
      <c r="D377" s="17" t="s">
        <v>99</v>
      </c>
      <c r="E377" s="17" t="s">
        <v>148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15.25407793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16.03165829</v>
      </c>
      <c r="AA377" s="20"/>
      <c r="AB377" s="20">
        <f>IFERROR(__xludf.DUMMYFUNCTION("iferror(PERCENTRANK.INC(FILTER($X$2:$X$422, $U$2:$U$422&lt;3.75), $X377), 1)"),0.059)</f>
        <v>0.059</v>
      </c>
      <c r="AC377" s="20">
        <f>IFERROR(__xludf.DUMMYFUNCTION("iferror(PERCENTRANK.INC(FILTER($X$2:$X$422, $U$2:$U$422&lt;4.25), $X377), 1)"),0.058)</f>
        <v>0.058</v>
      </c>
      <c r="AD377" s="20">
        <f>IFERROR(__xludf.DUMMYFUNCTION("iferror(PERCENTRANK.INC(FILTER($X$2:$X$422, $U$2:$U$422&gt;=4.1), $X377), 0.01)"),0.01)</f>
        <v>0.01</v>
      </c>
      <c r="AE377" s="20"/>
    </row>
    <row r="378" ht="14.25" customHeight="1">
      <c r="A378" s="17" t="s">
        <v>749</v>
      </c>
      <c r="B378" s="17" t="s">
        <v>185</v>
      </c>
      <c r="C378" s="18">
        <v>3.0</v>
      </c>
      <c r="D378" s="17" t="s">
        <v>99</v>
      </c>
      <c r="E378" s="17" t="s">
        <v>159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15.24922002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21.34869384</v>
      </c>
      <c r="AA378" s="20"/>
      <c r="AB378" s="20">
        <f>IFERROR(__xludf.DUMMYFUNCTION("iferror(PERCENTRANK.INC(FILTER($X$2:$X$422, $U$2:$U$422&lt;3.75), $X378), 1)"),0.25)</f>
        <v>0.25</v>
      </c>
      <c r="AC378" s="20">
        <f>IFERROR(__xludf.DUMMYFUNCTION("iferror(PERCENTRANK.INC(FILTER($X$2:$X$422, $U$2:$U$422&lt;4.25), $X378), 1)"),0.243)</f>
        <v>0.243</v>
      </c>
      <c r="AD378" s="20">
        <f>IFERROR(__xludf.DUMMYFUNCTION("iferror(PERCENTRANK.INC(FILTER($X$2:$X$422, $U$2:$U$422&gt;=4.1), $X378), 0.01)"),0.01)</f>
        <v>0.01</v>
      </c>
      <c r="AE378" s="20"/>
    </row>
    <row r="379" ht="14.25" customHeight="1">
      <c r="A379" s="17" t="s">
        <v>750</v>
      </c>
      <c r="B379" s="17" t="s">
        <v>478</v>
      </c>
      <c r="C379" s="18">
        <v>14.0</v>
      </c>
      <c r="D379" s="17" t="s">
        <v>99</v>
      </c>
      <c r="E379" s="17" t="s">
        <v>180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15.08952649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20.83466684</v>
      </c>
      <c r="AA379" s="20"/>
      <c r="AB379" s="20">
        <f>IFERROR(__xludf.DUMMYFUNCTION("iferror(PERCENTRANK.INC(FILTER($X$2:$X$422, $U$2:$U$422&lt;3.75), $X379), 1)"),0.206)</f>
        <v>0.206</v>
      </c>
      <c r="AC379" s="20">
        <f>IFERROR(__xludf.DUMMYFUNCTION("iferror(PERCENTRANK.INC(FILTER($X$2:$X$422, $U$2:$U$422&lt;4.25), $X379), 1)"),0.201)</f>
        <v>0.201</v>
      </c>
      <c r="AD379" s="20">
        <f>IFERROR(__xludf.DUMMYFUNCTION("iferror(PERCENTRANK.INC(FILTER($X$2:$X$422, $U$2:$U$422&gt;=4.1), $X379), 0.01)"),0.01)</f>
        <v>0.01</v>
      </c>
      <c r="AE379" s="20"/>
    </row>
    <row r="380" ht="14.25" customHeight="1">
      <c r="A380" s="17" t="s">
        <v>751</v>
      </c>
      <c r="B380" s="17" t="s">
        <v>385</v>
      </c>
      <c r="C380" s="18">
        <v>17.0</v>
      </c>
      <c r="D380" s="17" t="s">
        <v>99</v>
      </c>
      <c r="E380" s="17" t="s">
        <v>125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15.00605671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22.82794669</v>
      </c>
      <c r="AA380" s="20"/>
      <c r="AB380" s="20">
        <f>IFERROR(__xludf.DUMMYFUNCTION("iferror(PERCENTRANK.INC(FILTER($X$2:$X$422, $U$2:$U$422&lt;3.75), $X380), 1)"),0.361)</f>
        <v>0.361</v>
      </c>
      <c r="AC380" s="20">
        <f>IFERROR(__xludf.DUMMYFUNCTION("iferror(PERCENTRANK.INC(FILTER($X$2:$X$422, $U$2:$U$422&lt;4.25), $X380), 1)"),0.351)</f>
        <v>0.351</v>
      </c>
      <c r="AD380" s="20">
        <f>IFERROR(__xludf.DUMMYFUNCTION("iferror(PERCENTRANK.INC(FILTER($X$2:$X$422, $U$2:$U$422&gt;=4.1), $X380), 0.01)"),0.041)</f>
        <v>0.041</v>
      </c>
      <c r="AE380" s="20"/>
    </row>
    <row r="381" ht="14.25" customHeight="1">
      <c r="A381" s="17" t="s">
        <v>752</v>
      </c>
      <c r="B381" s="17" t="s">
        <v>552</v>
      </c>
      <c r="C381" s="18">
        <v>7.0</v>
      </c>
      <c r="D381" s="17" t="s">
        <v>99</v>
      </c>
      <c r="E381" s="17" t="s">
        <v>180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14.80430282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20.62621922</v>
      </c>
      <c r="AA381" s="20"/>
      <c r="AB381" s="20">
        <f>IFERROR(__xludf.DUMMYFUNCTION("iferror(PERCENTRANK.INC(FILTER($X$2:$X$422, $U$2:$U$422&lt;3.75), $X381), 1)"),0.178)</f>
        <v>0.178</v>
      </c>
      <c r="AC381" s="20">
        <f>IFERROR(__xludf.DUMMYFUNCTION("iferror(PERCENTRANK.INC(FILTER($X$2:$X$422, $U$2:$U$422&lt;4.25), $X381), 1)"),0.173)</f>
        <v>0.173</v>
      </c>
      <c r="AD381" s="20">
        <f>IFERROR(__xludf.DUMMYFUNCTION("iferror(PERCENTRANK.INC(FILTER($X$2:$X$422, $U$2:$U$422&gt;=4.1), $X381), 0.01)"),0.01)</f>
        <v>0.01</v>
      </c>
      <c r="AE381" s="20"/>
    </row>
    <row r="382" ht="14.25" customHeight="1">
      <c r="A382" s="17" t="s">
        <v>753</v>
      </c>
      <c r="B382" s="17" t="s">
        <v>656</v>
      </c>
      <c r="C382" s="18">
        <v>5.0</v>
      </c>
      <c r="D382" s="17" t="s">
        <v>99</v>
      </c>
      <c r="E382" s="17" t="s">
        <v>190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14.5419617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12.24426148</v>
      </c>
      <c r="AA382" s="20"/>
      <c r="AB382" s="20">
        <f>IFERROR(__xludf.DUMMYFUNCTION("iferror(PERCENTRANK.INC(FILTER($X$2:$X$422, $U$2:$U$422&lt;3.75), $X382), 1)"),0.036)</f>
        <v>0.036</v>
      </c>
      <c r="AC382" s="20">
        <f>IFERROR(__xludf.DUMMYFUNCTION("iferror(PERCENTRANK.INC(FILTER($X$2:$X$422, $U$2:$U$422&lt;4.25), $X382), 1)"),0.035)</f>
        <v>0.035</v>
      </c>
      <c r="AD382" s="20">
        <f>IFERROR(__xludf.DUMMYFUNCTION("iferror(PERCENTRANK.INC(FILTER($X$2:$X$422, $U$2:$U$422&gt;=4.1), $X382), 0.01)"),0.01)</f>
        <v>0.01</v>
      </c>
      <c r="AE382" s="20"/>
    </row>
    <row r="383" ht="14.25" customHeight="1">
      <c r="A383" s="17" t="s">
        <v>754</v>
      </c>
      <c r="B383" s="17" t="s">
        <v>147</v>
      </c>
      <c r="C383" s="18">
        <v>1.0</v>
      </c>
      <c r="D383" s="17" t="s">
        <v>99</v>
      </c>
      <c r="E383" s="17" t="s">
        <v>148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14.48709918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22.12135744</v>
      </c>
      <c r="AA383" s="20"/>
      <c r="AB383" s="20">
        <f>IFERROR(__xludf.DUMMYFUNCTION("iferror(PERCENTRANK.INC(FILTER($X$2:$X$422, $U$2:$U$422&lt;3.75), $X383), 1)"),0.253)</f>
        <v>0.253</v>
      </c>
      <c r="AC383" s="20">
        <f>IFERROR(__xludf.DUMMYFUNCTION("iferror(PERCENTRANK.INC(FILTER($X$2:$X$422, $U$2:$U$422&lt;4.25), $X383), 1)"),0.246)</f>
        <v>0.246</v>
      </c>
      <c r="AD383" s="20">
        <f>IFERROR(__xludf.DUMMYFUNCTION("iferror(PERCENTRANK.INC(FILTER($X$2:$X$422, $U$2:$U$422&gt;=4.1), $X383), 0.01)"),0.01)</f>
        <v>0.01</v>
      </c>
      <c r="AE383" s="20"/>
    </row>
    <row r="384" ht="14.25" customHeight="1">
      <c r="A384" s="17" t="s">
        <v>755</v>
      </c>
      <c r="B384" s="17" t="s">
        <v>398</v>
      </c>
      <c r="C384" s="18">
        <v>11.0</v>
      </c>
      <c r="D384" s="17" t="s">
        <v>99</v>
      </c>
      <c r="E384" s="17" t="s">
        <v>118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14.47343623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10.52223585</v>
      </c>
      <c r="AA384" s="20"/>
      <c r="AB384" s="20">
        <f>IFERROR(__xludf.DUMMYFUNCTION("iferror(PERCENTRANK.INC(FILTER($X$2:$X$422, $U$2:$U$422&lt;3.75), $X384), 1)"),0.018)</f>
        <v>0.018</v>
      </c>
      <c r="AC384" s="20">
        <f>IFERROR(__xludf.DUMMYFUNCTION("iferror(PERCENTRANK.INC(FILTER($X$2:$X$422, $U$2:$U$422&lt;4.25), $X384), 1)"),0.018)</f>
        <v>0.018</v>
      </c>
      <c r="AD384" s="20">
        <f>IFERROR(__xludf.DUMMYFUNCTION("iferror(PERCENTRANK.INC(FILTER($X$2:$X$422, $U$2:$U$422&gt;=4.1), $X384), 0.01)"),0.01)</f>
        <v>0.01</v>
      </c>
      <c r="AE384" s="20"/>
    </row>
    <row r="385" ht="14.25" customHeight="1">
      <c r="A385" s="17" t="s">
        <v>756</v>
      </c>
      <c r="B385" s="17" t="s">
        <v>124</v>
      </c>
      <c r="C385" s="18">
        <v>3.0</v>
      </c>
      <c r="D385" s="17" t="s">
        <v>99</v>
      </c>
      <c r="E385" s="17" t="s">
        <v>125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14.35376256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23.34812677</v>
      </c>
      <c r="AA385" s="20"/>
      <c r="AB385" s="20">
        <f>IFERROR(__xludf.DUMMYFUNCTION("iferror(PERCENTRANK.INC(FILTER($X$2:$X$422, $U$2:$U$422&lt;3.75), $X385), 1)"),0.348)</f>
        <v>0.348</v>
      </c>
      <c r="AC385" s="20">
        <f>IFERROR(__xludf.DUMMYFUNCTION("iferror(PERCENTRANK.INC(FILTER($X$2:$X$422, $U$2:$U$422&lt;4.25), $X385), 1)"),0.338)</f>
        <v>0.338</v>
      </c>
      <c r="AD385" s="20">
        <f>IFERROR(__xludf.DUMMYFUNCTION("iferror(PERCENTRANK.INC(FILTER($X$2:$X$422, $U$2:$U$422&gt;=4.1), $X385), 0.01)"),0.041)</f>
        <v>0.041</v>
      </c>
      <c r="AE385" s="20"/>
    </row>
    <row r="386" ht="14.25" customHeight="1">
      <c r="A386" s="17" t="s">
        <v>757</v>
      </c>
      <c r="B386" s="17" t="s">
        <v>758</v>
      </c>
      <c r="C386" s="18">
        <v>10.0</v>
      </c>
      <c r="D386" s="17" t="s">
        <v>99</v>
      </c>
      <c r="E386" s="17" t="s">
        <v>190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14.2922225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24.58774843</v>
      </c>
      <c r="AA386" s="20"/>
      <c r="AB386" s="20">
        <f>IFERROR(__xludf.DUMMYFUNCTION("iferror(PERCENTRANK.INC(FILTER($X$2:$X$422, $U$2:$U$422&lt;3.75), $X386), 1)"),0.446)</f>
        <v>0.446</v>
      </c>
      <c r="AC386" s="20">
        <f>IFERROR(__xludf.DUMMYFUNCTION("iferror(PERCENTRANK.INC(FILTER($X$2:$X$422, $U$2:$U$422&lt;4.25), $X386), 1)"),0.434)</f>
        <v>0.434</v>
      </c>
      <c r="AD386" s="20">
        <f>IFERROR(__xludf.DUMMYFUNCTION("iferror(PERCENTRANK.INC(FILTER($X$2:$X$422, $U$2:$U$422&gt;=4.1), $X386), 0.01)"),0.043)</f>
        <v>0.043</v>
      </c>
      <c r="AE386" s="20"/>
    </row>
    <row r="387" ht="14.25" customHeight="1">
      <c r="A387" s="17" t="s">
        <v>759</v>
      </c>
      <c r="B387" s="17" t="s">
        <v>498</v>
      </c>
      <c r="C387" s="18">
        <v>3.0</v>
      </c>
      <c r="D387" s="17" t="s">
        <v>99</v>
      </c>
      <c r="E387" s="17" t="s">
        <v>106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14.07738074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21.65529854</v>
      </c>
      <c r="AA387" s="20"/>
      <c r="AB387" s="20">
        <f>IFERROR(__xludf.DUMMYFUNCTION("iferror(PERCENTRANK.INC(FILTER($X$2:$X$422, $U$2:$U$422&lt;3.75), $X387), 1)"),0.193)</f>
        <v>0.193</v>
      </c>
      <c r="AC387" s="20">
        <f>IFERROR(__xludf.DUMMYFUNCTION("iferror(PERCENTRANK.INC(FILTER($X$2:$X$422, $U$2:$U$422&lt;4.25), $X387), 1)"),0.188)</f>
        <v>0.188</v>
      </c>
      <c r="AD387" s="20">
        <f>IFERROR(__xludf.DUMMYFUNCTION("iferror(PERCENTRANK.INC(FILTER($X$2:$X$422, $U$2:$U$422&gt;=4.1), $X387), 0.01)"),0.01)</f>
        <v>0.01</v>
      </c>
      <c r="AE387" s="20"/>
    </row>
    <row r="388" ht="14.25" customHeight="1">
      <c r="A388" s="17" t="s">
        <v>760</v>
      </c>
      <c r="B388" s="17" t="s">
        <v>428</v>
      </c>
      <c r="C388" s="18">
        <v>12.0</v>
      </c>
      <c r="D388" s="17" t="s">
        <v>99</v>
      </c>
      <c r="E388" s="17" t="s">
        <v>125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14.0751843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21.99103173</v>
      </c>
      <c r="AA388" s="20"/>
      <c r="AB388" s="20">
        <f>IFERROR(__xludf.DUMMYFUNCTION("iferror(PERCENTRANK.INC(FILTER($X$2:$X$422, $U$2:$U$422&lt;3.75), $X388), 1)"),0.214)</f>
        <v>0.214</v>
      </c>
      <c r="AC388" s="20">
        <f>IFERROR(__xludf.DUMMYFUNCTION("iferror(PERCENTRANK.INC(FILTER($X$2:$X$422, $U$2:$U$422&lt;4.25), $X388), 1)"),0.208)</f>
        <v>0.208</v>
      </c>
      <c r="AD388" s="20">
        <f>IFERROR(__xludf.DUMMYFUNCTION("iferror(PERCENTRANK.INC(FILTER($X$2:$X$422, $U$2:$U$422&gt;=4.1), $X388), 0.01)"),0.01)</f>
        <v>0.01</v>
      </c>
      <c r="AE388" s="20"/>
    </row>
    <row r="389" ht="14.25" customHeight="1">
      <c r="A389" s="17" t="s">
        <v>761</v>
      </c>
      <c r="B389" s="17" t="s">
        <v>520</v>
      </c>
      <c r="C389" s="18">
        <v>17.0</v>
      </c>
      <c r="D389" s="17" t="s">
        <v>99</v>
      </c>
      <c r="E389" s="17" t="s">
        <v>128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13.8455509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13.24110147</v>
      </c>
      <c r="AA389" s="20"/>
      <c r="AB389" s="20">
        <f>IFERROR(__xludf.DUMMYFUNCTION("iferror(PERCENTRANK.INC(FILTER($X$2:$X$422, $U$2:$U$422&lt;3.75), $X389), 1)"),0.039)</f>
        <v>0.039</v>
      </c>
      <c r="AC389" s="20">
        <f>IFERROR(__xludf.DUMMYFUNCTION("iferror(PERCENTRANK.INC(FILTER($X$2:$X$422, $U$2:$U$422&lt;4.25), $X389), 1)"),0.038)</f>
        <v>0.038</v>
      </c>
      <c r="AD389" s="20">
        <f>IFERROR(__xludf.DUMMYFUNCTION("iferror(PERCENTRANK.INC(FILTER($X$2:$X$422, $U$2:$U$422&gt;=4.1), $X389), 0.01)"),0.01)</f>
        <v>0.01</v>
      </c>
      <c r="AE389" s="20"/>
    </row>
    <row r="390" ht="14.25" customHeight="1">
      <c r="A390" s="17" t="s">
        <v>762</v>
      </c>
      <c r="B390" s="17" t="s">
        <v>363</v>
      </c>
      <c r="C390" s="18">
        <v>7.0</v>
      </c>
      <c r="D390" s="17" t="s">
        <v>99</v>
      </c>
      <c r="E390" s="17" t="s">
        <v>244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13.77888665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-13.77888665</v>
      </c>
      <c r="AA390" s="20"/>
      <c r="AB390" s="20">
        <f>IFERROR(__xludf.DUMMYFUNCTION("iferror(PERCENTRANK.INC(FILTER($X$2:$X$422, $U$2:$U$422&lt;3.75), $X390), 1)"),0.0)</f>
        <v>0</v>
      </c>
      <c r="AC390" s="20">
        <f>IFERROR(__xludf.DUMMYFUNCTION("iferror(PERCENTRANK.INC(FILTER($X$2:$X$422, $U$2:$U$422&lt;4.25), $X390), 1)"),0.0)</f>
        <v>0</v>
      </c>
      <c r="AD390" s="20">
        <f>IFERROR(__xludf.DUMMYFUNCTION("iferror(PERCENTRANK.INC(FILTER($X$2:$X$422, $U$2:$U$422&gt;=4.1), $X390), 0.01)"),0.01)</f>
        <v>0.01</v>
      </c>
      <c r="AE390" s="20"/>
    </row>
    <row r="391" ht="14.25" customHeight="1">
      <c r="A391" s="17" t="s">
        <v>763</v>
      </c>
      <c r="B391" s="17" t="s">
        <v>591</v>
      </c>
      <c r="C391" s="18">
        <v>19.0</v>
      </c>
      <c r="D391" s="17" t="s">
        <v>99</v>
      </c>
      <c r="E391" s="17" t="s">
        <v>125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13.56998479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22.55247261</v>
      </c>
      <c r="AA391" s="20"/>
      <c r="AB391" s="20">
        <f>IFERROR(__xludf.DUMMYFUNCTION("iferror(PERCENTRANK.INC(FILTER($X$2:$X$422, $U$2:$U$422&lt;3.75), $X391), 1)"),0.222)</f>
        <v>0.222</v>
      </c>
      <c r="AC391" s="20">
        <f>IFERROR(__xludf.DUMMYFUNCTION("iferror(PERCENTRANK.INC(FILTER($X$2:$X$422, $U$2:$U$422&lt;4.25), $X391), 1)"),0.216)</f>
        <v>0.216</v>
      </c>
      <c r="AD391" s="20">
        <f>IFERROR(__xludf.DUMMYFUNCTION("iferror(PERCENTRANK.INC(FILTER($X$2:$X$422, $U$2:$U$422&gt;=4.1), $X391), 0.01)"),0.01)</f>
        <v>0.01</v>
      </c>
      <c r="AE391" s="20"/>
    </row>
    <row r="392" ht="14.25" customHeight="1">
      <c r="A392" s="17" t="s">
        <v>764</v>
      </c>
      <c r="B392" s="17" t="s">
        <v>665</v>
      </c>
      <c r="C392" s="18">
        <v>6.0</v>
      </c>
      <c r="D392" s="17" t="s">
        <v>99</v>
      </c>
      <c r="E392" s="17" t="s">
        <v>211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13.77398527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22.02578434</v>
      </c>
      <c r="AA392" s="20"/>
      <c r="AB392" s="20">
        <f>IFERROR(__xludf.DUMMYFUNCTION("iferror(PERCENTRANK.INC(FILTER($X$2:$X$422, $U$2:$U$422&lt;3.75), $X392), 1)"),0.198)</f>
        <v>0.198</v>
      </c>
      <c r="AC392" s="20">
        <f>IFERROR(__xludf.DUMMYFUNCTION("iferror(PERCENTRANK.INC(FILTER($X$2:$X$422, $U$2:$U$422&lt;4.25), $X392), 1)"),0.193)</f>
        <v>0.193</v>
      </c>
      <c r="AD392" s="20">
        <f>IFERROR(__xludf.DUMMYFUNCTION("iferror(PERCENTRANK.INC(FILTER($X$2:$X$422, $U$2:$U$422&gt;=4.1), $X392), 0.01)"),0.01)</f>
        <v>0.01</v>
      </c>
      <c r="AE392" s="20"/>
    </row>
    <row r="393" ht="14.25" customHeight="1">
      <c r="A393" s="17" t="s">
        <v>765</v>
      </c>
      <c r="B393" s="17" t="s">
        <v>196</v>
      </c>
      <c r="C393" s="18">
        <v>8.0</v>
      </c>
      <c r="D393" s="17" t="s">
        <v>99</v>
      </c>
      <c r="E393" s="17" t="s">
        <v>173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13.58036256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19.24213471</v>
      </c>
      <c r="AA393" s="20"/>
      <c r="AB393" s="20">
        <f>IFERROR(__xludf.DUMMYFUNCTION("iferror(PERCENTRANK.INC(FILTER($X$2:$X$422, $U$2:$U$422&lt;3.75), $X393), 1)"),0.082)</f>
        <v>0.082</v>
      </c>
      <c r="AC393" s="20">
        <f>IFERROR(__xludf.DUMMYFUNCTION("iferror(PERCENTRANK.INC(FILTER($X$2:$X$422, $U$2:$U$422&lt;4.25), $X393), 1)"),0.08)</f>
        <v>0.08</v>
      </c>
      <c r="AD393" s="20">
        <f>IFERROR(__xludf.DUMMYFUNCTION("iferror(PERCENTRANK.INC(FILTER($X$2:$X$422, $U$2:$U$422&gt;=4.1), $X393), 0.01)"),0.01)</f>
        <v>0.01</v>
      </c>
      <c r="AE393" s="20"/>
    </row>
    <row r="394" ht="14.25" customHeight="1">
      <c r="A394" s="17" t="s">
        <v>766</v>
      </c>
      <c r="B394" s="17" t="s">
        <v>559</v>
      </c>
      <c r="C394" s="18">
        <v>14.0</v>
      </c>
      <c r="D394" s="17" t="s">
        <v>99</v>
      </c>
      <c r="E394" s="17" t="s">
        <v>100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13.50719917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23.4036589</v>
      </c>
      <c r="AA394" s="20"/>
      <c r="AB394" s="20">
        <f>IFERROR(__xludf.DUMMYFUNCTION("iferror(PERCENTRANK.INC(FILTER($X$2:$X$422, $U$2:$U$422&lt;3.75), $X394), 1)"),0.289)</f>
        <v>0.289</v>
      </c>
      <c r="AC394" s="20">
        <f>IFERROR(__xludf.DUMMYFUNCTION("iferror(PERCENTRANK.INC(FILTER($X$2:$X$422, $U$2:$U$422&lt;4.25), $X394), 1)"),0.281)</f>
        <v>0.281</v>
      </c>
      <c r="AD394" s="20">
        <f>IFERROR(__xludf.DUMMYFUNCTION("iferror(PERCENTRANK.INC(FILTER($X$2:$X$422, $U$2:$U$422&gt;=4.1), $X394), 0.01)"),0.04)</f>
        <v>0.04</v>
      </c>
      <c r="AE394" s="20"/>
    </row>
    <row r="395" ht="14.25" customHeight="1">
      <c r="A395" s="17" t="s">
        <v>767</v>
      </c>
      <c r="B395" s="17" t="s">
        <v>530</v>
      </c>
      <c r="C395" s="18">
        <v>7.0</v>
      </c>
      <c r="D395" s="17" t="s">
        <v>99</v>
      </c>
      <c r="E395" s="17" t="s">
        <v>145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13.31360066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20.34553984</v>
      </c>
      <c r="AA395" s="20"/>
      <c r="AB395" s="20">
        <f>IFERROR(__xludf.DUMMYFUNCTION("iferror(PERCENTRANK.INC(FILTER($X$2:$X$422, $U$2:$U$422&lt;3.75), $X395), 1)"),0.095)</f>
        <v>0.095</v>
      </c>
      <c r="AC395" s="20">
        <f>IFERROR(__xludf.DUMMYFUNCTION("iferror(PERCENTRANK.INC(FILTER($X$2:$X$422, $U$2:$U$422&lt;4.25), $X395), 1)"),0.093)</f>
        <v>0.093</v>
      </c>
      <c r="AD395" s="20">
        <f>IFERROR(__xludf.DUMMYFUNCTION("iferror(PERCENTRANK.INC(FILTER($X$2:$X$422, $U$2:$U$422&gt;=4.1), $X395), 0.01)"),0.01)</f>
        <v>0.01</v>
      </c>
      <c r="AE395" s="20"/>
    </row>
    <row r="396" ht="14.25" customHeight="1">
      <c r="A396" s="17" t="s">
        <v>768</v>
      </c>
      <c r="B396" s="17" t="s">
        <v>504</v>
      </c>
      <c r="C396" s="18">
        <v>8.0</v>
      </c>
      <c r="D396" s="17" t="s">
        <v>99</v>
      </c>
      <c r="E396" s="17" t="s">
        <v>190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13.17585234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21.87911619</v>
      </c>
      <c r="AA396" s="20"/>
      <c r="AB396" s="20">
        <f>IFERROR(__xludf.DUMMYFUNCTION("iferror(PERCENTRANK.INC(FILTER($X$2:$X$422, $U$2:$U$422&lt;3.75), $X396), 1)"),0.155)</f>
        <v>0.155</v>
      </c>
      <c r="AC396" s="20">
        <f>IFERROR(__xludf.DUMMYFUNCTION("iferror(PERCENTRANK.INC(FILTER($X$2:$X$422, $U$2:$U$422&lt;4.25), $X396), 1)"),0.15)</f>
        <v>0.15</v>
      </c>
      <c r="AD396" s="20">
        <f>IFERROR(__xludf.DUMMYFUNCTION("iferror(PERCENTRANK.INC(FILTER($X$2:$X$422, $U$2:$U$422&gt;=4.1), $X396), 0.01)"),0.01)</f>
        <v>0.01</v>
      </c>
      <c r="AE396" s="20"/>
    </row>
    <row r="397" ht="14.25" customHeight="1">
      <c r="A397" s="17" t="s">
        <v>769</v>
      </c>
      <c r="B397" s="17" t="s">
        <v>591</v>
      </c>
      <c r="C397" s="18">
        <v>17.0</v>
      </c>
      <c r="D397" s="17" t="s">
        <v>99</v>
      </c>
      <c r="E397" s="17" t="s">
        <v>125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12.86171646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22.17454585</v>
      </c>
      <c r="AA397" s="20"/>
      <c r="AB397" s="20">
        <f>IFERROR(__xludf.DUMMYFUNCTION("iferror(PERCENTRANK.INC(FILTER($X$2:$X$422, $U$2:$U$422&lt;3.75), $X397), 1)"),0.152)</f>
        <v>0.152</v>
      </c>
      <c r="AC397" s="20">
        <f>IFERROR(__xludf.DUMMYFUNCTION("iferror(PERCENTRANK.INC(FILTER($X$2:$X$422, $U$2:$U$422&lt;4.25), $X397), 1)"),0.148)</f>
        <v>0.148</v>
      </c>
      <c r="AD397" s="20">
        <f>IFERROR(__xludf.DUMMYFUNCTION("iferror(PERCENTRANK.INC(FILTER($X$2:$X$422, $U$2:$U$422&gt;=4.1), $X397), 0.01)"),0.01)</f>
        <v>0.01</v>
      </c>
      <c r="AE397" s="20"/>
    </row>
    <row r="398" ht="14.25" customHeight="1">
      <c r="A398" s="17" t="s">
        <v>770</v>
      </c>
      <c r="B398" s="17" t="s">
        <v>446</v>
      </c>
      <c r="C398" s="18">
        <v>7.0</v>
      </c>
      <c r="D398" s="17" t="s">
        <v>99</v>
      </c>
      <c r="E398" s="17" t="s">
        <v>156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12.70233216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29.19187047</v>
      </c>
      <c r="AA398" s="20"/>
      <c r="AB398" s="20">
        <f>IFERROR(__xludf.DUMMYFUNCTION("iferror(PERCENTRANK.INC(FILTER($X$2:$X$422, $U$2:$U$422&lt;3.75), $X398), 1)"),0.606)</f>
        <v>0.606</v>
      </c>
      <c r="AC398" s="20">
        <f>IFERROR(__xludf.DUMMYFUNCTION("iferror(PERCENTRANK.INC(FILTER($X$2:$X$422, $U$2:$U$422&lt;4.25), $X398), 1)"),0.589)</f>
        <v>0.589</v>
      </c>
      <c r="AD398" s="20">
        <f>IFERROR(__xludf.DUMMYFUNCTION("iferror(PERCENTRANK.INC(FILTER($X$2:$X$422, $U$2:$U$422&gt;=4.1), $X398), 0.01)"),0.047)</f>
        <v>0.047</v>
      </c>
      <c r="AE398" s="20"/>
    </row>
    <row r="399" ht="14.25" customHeight="1">
      <c r="A399" s="17" t="s">
        <v>771</v>
      </c>
      <c r="B399" s="17" t="s">
        <v>613</v>
      </c>
      <c r="C399" s="18">
        <v>16.0</v>
      </c>
      <c r="D399" s="17" t="s">
        <v>99</v>
      </c>
      <c r="E399" s="17" t="s">
        <v>115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12.28206802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23.31892343</v>
      </c>
      <c r="AA399" s="20"/>
      <c r="AB399" s="20">
        <f>IFERROR(__xludf.DUMMYFUNCTION("iferror(PERCENTRANK.INC(FILTER($X$2:$X$422, $U$2:$U$422&lt;3.75), $X399), 1)"),0.183)</f>
        <v>0.183</v>
      </c>
      <c r="AC399" s="20">
        <f>IFERROR(__xludf.DUMMYFUNCTION("iferror(PERCENTRANK.INC(FILTER($X$2:$X$422, $U$2:$U$422&lt;4.25), $X399), 1)"),0.178)</f>
        <v>0.178</v>
      </c>
      <c r="AD399" s="20">
        <f>IFERROR(__xludf.DUMMYFUNCTION("iferror(PERCENTRANK.INC(FILTER($X$2:$X$422, $U$2:$U$422&gt;=4.1), $X399), 0.01)"),0.01)</f>
        <v>0.01</v>
      </c>
      <c r="AE399" s="20"/>
    </row>
    <row r="400" ht="14.25" customHeight="1">
      <c r="A400" s="17" t="s">
        <v>772</v>
      </c>
      <c r="B400" s="17" t="s">
        <v>370</v>
      </c>
      <c r="C400" s="18">
        <v>10.0</v>
      </c>
      <c r="D400" s="17" t="s">
        <v>99</v>
      </c>
      <c r="E400" s="17" t="s">
        <v>136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12.39180036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18.58827699</v>
      </c>
      <c r="AA400" s="20"/>
      <c r="AB400" s="20">
        <f>IFERROR(__xludf.DUMMYFUNCTION("iferror(PERCENTRANK.INC(FILTER($X$2:$X$422, $U$2:$U$422&lt;3.75), $X400), 1)"),0.054)</f>
        <v>0.054</v>
      </c>
      <c r="AC400" s="20">
        <f>IFERROR(__xludf.DUMMYFUNCTION("iferror(PERCENTRANK.INC(FILTER($X$2:$X$422, $U$2:$U$422&lt;4.25), $X400), 1)"),0.053)</f>
        <v>0.053</v>
      </c>
      <c r="AD400" s="20">
        <f>IFERROR(__xludf.DUMMYFUNCTION("iferror(PERCENTRANK.INC(FILTER($X$2:$X$422, $U$2:$U$422&gt;=4.1), $X400), 0.01)"),0.01)</f>
        <v>0.01</v>
      </c>
      <c r="AE400" s="20"/>
    </row>
    <row r="401" ht="14.25" customHeight="1">
      <c r="A401" s="17" t="s">
        <v>773</v>
      </c>
      <c r="B401" s="17" t="s">
        <v>556</v>
      </c>
      <c r="C401" s="18">
        <v>7.0</v>
      </c>
      <c r="D401" s="17" t="s">
        <v>99</v>
      </c>
      <c r="E401" s="17" t="s">
        <v>118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11.88041615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24.16196829</v>
      </c>
      <c r="AA401" s="20"/>
      <c r="AB401" s="20">
        <f>IFERROR(__xludf.DUMMYFUNCTION("iferror(PERCENTRANK.INC(FILTER($X$2:$X$422, $U$2:$U$422&lt;3.75), $X401), 1)"),0.211)</f>
        <v>0.211</v>
      </c>
      <c r="AC401" s="20">
        <f>IFERROR(__xludf.DUMMYFUNCTION("iferror(PERCENTRANK.INC(FILTER($X$2:$X$422, $U$2:$U$422&lt;4.25), $X401), 1)"),0.206)</f>
        <v>0.206</v>
      </c>
      <c r="AD401" s="20">
        <f>IFERROR(__xludf.DUMMYFUNCTION("iferror(PERCENTRANK.INC(FILTER($X$2:$X$422, $U$2:$U$422&gt;=4.1), $X401), 0.01)"),0.01)</f>
        <v>0.01</v>
      </c>
      <c r="AE401" s="20"/>
    </row>
    <row r="402" ht="14.25" customHeight="1">
      <c r="A402" s="17" t="s">
        <v>774</v>
      </c>
      <c r="B402" s="17" t="s">
        <v>591</v>
      </c>
      <c r="C402" s="18">
        <v>16.0</v>
      </c>
      <c r="D402" s="17" t="s">
        <v>99</v>
      </c>
      <c r="E402" s="17" t="s">
        <v>125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11.76555189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20.69984616</v>
      </c>
      <c r="AA402" s="20"/>
      <c r="AB402" s="20">
        <f>IFERROR(__xludf.DUMMYFUNCTION("iferror(PERCENTRANK.INC(FILTER($X$2:$X$422, $U$2:$U$422&lt;3.75), $X402), 1)"),0.08)</f>
        <v>0.08</v>
      </c>
      <c r="AC402" s="20">
        <f>IFERROR(__xludf.DUMMYFUNCTION("iferror(PERCENTRANK.INC(FILTER($X$2:$X$422, $U$2:$U$422&lt;4.25), $X402), 1)"),0.078)</f>
        <v>0.078</v>
      </c>
      <c r="AD402" s="20">
        <f>IFERROR(__xludf.DUMMYFUNCTION("iferror(PERCENTRANK.INC(FILTER($X$2:$X$422, $U$2:$U$422&gt;=4.1), $X402), 0.01)"),0.01)</f>
        <v>0.01</v>
      </c>
      <c r="AE402" s="20"/>
    </row>
    <row r="403" ht="14.25" customHeight="1">
      <c r="A403" s="17" t="s">
        <v>775</v>
      </c>
      <c r="B403" s="17" t="s">
        <v>524</v>
      </c>
      <c r="C403" s="18">
        <v>12.0</v>
      </c>
      <c r="D403" s="17" t="s">
        <v>99</v>
      </c>
      <c r="E403" s="17" t="s">
        <v>190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11.58802846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14.74373496</v>
      </c>
      <c r="AA403" s="20"/>
      <c r="AB403" s="20">
        <f>IFERROR(__xludf.DUMMYFUNCTION("iferror(PERCENTRANK.INC(FILTER($X$2:$X$422, $U$2:$U$422&lt;3.75), $X403), 1)"),0.031)</f>
        <v>0.031</v>
      </c>
      <c r="AC403" s="20">
        <f>IFERROR(__xludf.DUMMYFUNCTION("iferror(PERCENTRANK.INC(FILTER($X$2:$X$422, $U$2:$U$422&lt;4.25), $X403), 1)"),0.03)</f>
        <v>0.03</v>
      </c>
      <c r="AD403" s="20">
        <f>IFERROR(__xludf.DUMMYFUNCTION("iferror(PERCENTRANK.INC(FILTER($X$2:$X$422, $U$2:$U$422&gt;=4.1), $X403), 0.01)"),0.01)</f>
        <v>0.01</v>
      </c>
      <c r="AE403" s="20"/>
    </row>
    <row r="404" ht="14.25" customHeight="1">
      <c r="A404" s="17" t="s">
        <v>776</v>
      </c>
      <c r="B404" s="17" t="s">
        <v>618</v>
      </c>
      <c r="C404" s="18">
        <v>12.0</v>
      </c>
      <c r="D404" s="17" t="s">
        <v>99</v>
      </c>
      <c r="E404" s="17" t="s">
        <v>180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11.42348076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17.59787838</v>
      </c>
      <c r="AA404" s="20"/>
      <c r="AB404" s="20">
        <f>IFERROR(__xludf.DUMMYFUNCTION("iferror(PERCENTRANK.INC(FILTER($X$2:$X$422, $U$2:$U$422&lt;3.75), $X404), 1)"),0.046)</f>
        <v>0.046</v>
      </c>
      <c r="AC404" s="20">
        <f>IFERROR(__xludf.DUMMYFUNCTION("iferror(PERCENTRANK.INC(FILTER($X$2:$X$422, $U$2:$U$422&lt;4.25), $X404), 1)"),0.045)</f>
        <v>0.045</v>
      </c>
      <c r="AD404" s="20">
        <f>IFERROR(__xludf.DUMMYFUNCTION("iferror(PERCENTRANK.INC(FILTER($X$2:$X$422, $U$2:$U$422&gt;=4.1), $X404), 0.01)"),0.01)</f>
        <v>0.01</v>
      </c>
      <c r="AE404" s="20"/>
    </row>
    <row r="405" ht="14.25" customHeight="1">
      <c r="A405" s="17" t="s">
        <v>777</v>
      </c>
      <c r="B405" s="17" t="s">
        <v>594</v>
      </c>
      <c r="C405" s="18">
        <v>12.0</v>
      </c>
      <c r="D405" s="17" t="s">
        <v>99</v>
      </c>
      <c r="E405" s="17" t="s">
        <v>128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11.18467586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23.52703125</v>
      </c>
      <c r="AA405" s="20"/>
      <c r="AB405" s="20">
        <f>IFERROR(__xludf.DUMMYFUNCTION("iferror(PERCENTRANK.INC(FILTER($X$2:$X$422, $U$2:$U$422&lt;3.75), $X405), 1)"),0.139)</f>
        <v>0.139</v>
      </c>
      <c r="AC405" s="20">
        <f>IFERROR(__xludf.DUMMYFUNCTION("iferror(PERCENTRANK.INC(FILTER($X$2:$X$422, $U$2:$U$422&lt;4.25), $X405), 1)"),0.135)</f>
        <v>0.135</v>
      </c>
      <c r="AD405" s="20">
        <f>IFERROR(__xludf.DUMMYFUNCTION("iferror(PERCENTRANK.INC(FILTER($X$2:$X$422, $U$2:$U$422&gt;=4.1), $X405), 0.01)"),0.01)</f>
        <v>0.01</v>
      </c>
      <c r="AE405" s="20"/>
    </row>
    <row r="406" ht="14.25" customHeight="1">
      <c r="A406" s="17" t="s">
        <v>778</v>
      </c>
      <c r="B406" s="17" t="s">
        <v>559</v>
      </c>
      <c r="C406" s="18">
        <v>13.0</v>
      </c>
      <c r="D406" s="17" t="s">
        <v>99</v>
      </c>
      <c r="E406" s="17" t="s">
        <v>100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11.06757026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20.65851536</v>
      </c>
      <c r="AA406" s="20"/>
      <c r="AB406" s="20">
        <f>IFERROR(__xludf.DUMMYFUNCTION("iferror(PERCENTRANK.INC(FILTER($X$2:$X$422, $U$2:$U$422&lt;3.75), $X406), 1)"),0.07)</f>
        <v>0.07</v>
      </c>
      <c r="AC406" s="20">
        <f>IFERROR(__xludf.DUMMYFUNCTION("iferror(PERCENTRANK.INC(FILTER($X$2:$X$422, $U$2:$U$422&lt;4.25), $X406), 1)"),0.068)</f>
        <v>0.068</v>
      </c>
      <c r="AD406" s="20">
        <f>IFERROR(__xludf.DUMMYFUNCTION("iferror(PERCENTRANK.INC(FILTER($X$2:$X$422, $U$2:$U$422&gt;=4.1), $X406), 0.01)"),0.01)</f>
        <v>0.01</v>
      </c>
      <c r="AE406" s="20"/>
    </row>
    <row r="407" ht="14.25" customHeight="1">
      <c r="A407" s="17" t="s">
        <v>779</v>
      </c>
      <c r="B407" s="17" t="s">
        <v>780</v>
      </c>
      <c r="C407" s="18">
        <v>8.0</v>
      </c>
      <c r="D407" s="17" t="s">
        <v>99</v>
      </c>
      <c r="E407" s="17" t="s">
        <v>139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10.50865913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23.40583725</v>
      </c>
      <c r="AA407" s="20"/>
      <c r="AB407" s="20">
        <f>IFERROR(__xludf.DUMMYFUNCTION("iferror(PERCENTRANK.INC(FILTER($X$2:$X$422, $U$2:$U$422&lt;3.75), $X407), 1)"),0.098)</f>
        <v>0.098</v>
      </c>
      <c r="AC407" s="20">
        <f>IFERROR(__xludf.DUMMYFUNCTION("iferror(PERCENTRANK.INC(FILTER($X$2:$X$422, $U$2:$U$422&lt;4.25), $X407), 1)"),0.095)</f>
        <v>0.095</v>
      </c>
      <c r="AD407" s="20">
        <f>IFERROR(__xludf.DUMMYFUNCTION("iferror(PERCENTRANK.INC(FILTER($X$2:$X$422, $U$2:$U$422&gt;=4.1), $X407), 0.01)"),0.01)</f>
        <v>0.01</v>
      </c>
      <c r="AE407" s="20"/>
    </row>
    <row r="408" ht="14.25" customHeight="1">
      <c r="A408" s="17" t="s">
        <v>781</v>
      </c>
      <c r="B408" s="17" t="s">
        <v>681</v>
      </c>
      <c r="C408" s="18">
        <v>15.0</v>
      </c>
      <c r="D408" s="17" t="s">
        <v>99</v>
      </c>
      <c r="E408" s="17" t="s">
        <v>109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10.19567187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24.4381549</v>
      </c>
      <c r="AA408" s="20"/>
      <c r="AB408" s="20">
        <f>IFERROR(__xludf.DUMMYFUNCTION("iferror(PERCENTRANK.INC(FILTER($X$2:$X$422, $U$2:$U$422&lt;3.75), $X408), 1)"),0.129)</f>
        <v>0.129</v>
      </c>
      <c r="AC408" s="20">
        <f>IFERROR(__xludf.DUMMYFUNCTION("iferror(PERCENTRANK.INC(FILTER($X$2:$X$422, $U$2:$U$422&lt;4.25), $X408), 1)"),0.125)</f>
        <v>0.125</v>
      </c>
      <c r="AD408" s="20">
        <f>IFERROR(__xludf.DUMMYFUNCTION("iferror(PERCENTRANK.INC(FILTER($X$2:$X$422, $U$2:$U$422&gt;=4.1), $X408), 0.01)"),0.01)</f>
        <v>0.01</v>
      </c>
      <c r="AE408" s="20"/>
    </row>
    <row r="409" ht="14.25" customHeight="1">
      <c r="A409" s="17" t="s">
        <v>782</v>
      </c>
      <c r="B409" s="17" t="s">
        <v>668</v>
      </c>
      <c r="C409" s="18">
        <v>13.0</v>
      </c>
      <c r="D409" s="17" t="s">
        <v>99</v>
      </c>
      <c r="E409" s="17" t="s">
        <v>211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9.864304722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24.49599941</v>
      </c>
      <c r="AA409" s="20"/>
      <c r="AB409" s="20">
        <f>IFERROR(__xludf.DUMMYFUNCTION("iferror(PERCENTRANK.INC(FILTER($X$2:$X$422, $U$2:$U$422&lt;3.75), $X409), 1)"),0.121)</f>
        <v>0.121</v>
      </c>
      <c r="AC409" s="20">
        <f>IFERROR(__xludf.DUMMYFUNCTION("iferror(PERCENTRANK.INC(FILTER($X$2:$X$422, $U$2:$U$422&lt;4.25), $X409), 1)"),0.118)</f>
        <v>0.118</v>
      </c>
      <c r="AD409" s="20">
        <f>IFERROR(__xludf.DUMMYFUNCTION("iferror(PERCENTRANK.INC(FILTER($X$2:$X$422, $U$2:$U$422&gt;=4.1), $X409), 0.01)"),0.01)</f>
        <v>0.01</v>
      </c>
      <c r="AE409" s="20"/>
    </row>
    <row r="410" ht="14.25" customHeight="1">
      <c r="A410" s="17" t="s">
        <v>783</v>
      </c>
      <c r="B410" s="17" t="s">
        <v>518</v>
      </c>
      <c r="C410" s="18">
        <v>11.0</v>
      </c>
      <c r="D410" s="17" t="s">
        <v>99</v>
      </c>
      <c r="E410" s="17" t="s">
        <v>118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9.764322913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25.19169779</v>
      </c>
      <c r="AA410" s="20"/>
      <c r="AB410" s="20">
        <f>IFERROR(__xludf.DUMMYFUNCTION("iferror(PERCENTRANK.INC(FILTER($X$2:$X$422, $U$2:$U$422&lt;3.75), $X410), 1)"),0.149)</f>
        <v>0.149</v>
      </c>
      <c r="AC410" s="20">
        <f>IFERROR(__xludf.DUMMYFUNCTION("iferror(PERCENTRANK.INC(FILTER($X$2:$X$422, $U$2:$U$422&lt;4.25), $X410), 1)"),0.145)</f>
        <v>0.145</v>
      </c>
      <c r="AD410" s="20">
        <f>IFERROR(__xludf.DUMMYFUNCTION("iferror(PERCENTRANK.INC(FILTER($X$2:$X$422, $U$2:$U$422&gt;=4.1), $X410), 0.01)"),0.01)</f>
        <v>0.01</v>
      </c>
      <c r="AE410" s="20"/>
    </row>
    <row r="411" ht="14.25" customHeight="1">
      <c r="A411" s="17" t="s">
        <v>784</v>
      </c>
      <c r="B411" s="17" t="s">
        <v>409</v>
      </c>
      <c r="C411" s="18">
        <v>10.0</v>
      </c>
      <c r="D411" s="17" t="s">
        <v>99</v>
      </c>
      <c r="E411" s="17" t="s">
        <v>148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8.681593388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24.1506624</v>
      </c>
      <c r="AA411" s="20"/>
      <c r="AB411" s="20">
        <f>IFERROR(__xludf.DUMMYFUNCTION("iferror(PERCENTRANK.INC(FILTER($X$2:$X$422, $U$2:$U$422&lt;3.75), $X411), 1)"),0.085)</f>
        <v>0.085</v>
      </c>
      <c r="AC411" s="20">
        <f>IFERROR(__xludf.DUMMYFUNCTION("iferror(PERCENTRANK.INC(FILTER($X$2:$X$422, $U$2:$U$422&lt;4.25), $X411), 1)"),0.083)</f>
        <v>0.083</v>
      </c>
      <c r="AD411" s="20">
        <f>IFERROR(__xludf.DUMMYFUNCTION("iferror(PERCENTRANK.INC(FILTER($X$2:$X$422, $U$2:$U$422&gt;=4.1), $X411), 0.01)"),0.01)</f>
        <v>0.01</v>
      </c>
      <c r="AE411" s="20"/>
    </row>
    <row r="412" ht="14.25" customHeight="1">
      <c r="A412" s="17" t="s">
        <v>785</v>
      </c>
      <c r="B412" s="17" t="s">
        <v>758</v>
      </c>
      <c r="C412" s="18">
        <v>2.0</v>
      </c>
      <c r="D412" s="17" t="s">
        <v>99</v>
      </c>
      <c r="E412" s="17" t="s">
        <v>190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8.851444655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25.50150137</v>
      </c>
      <c r="AA412" s="20"/>
      <c r="AB412" s="20">
        <f>IFERROR(__xludf.DUMMYFUNCTION("iferror(PERCENTRANK.INC(FILTER($X$2:$X$422, $U$2:$U$422&lt;3.75), $X412), 1)"),0.119)</f>
        <v>0.119</v>
      </c>
      <c r="AC412" s="20">
        <f>IFERROR(__xludf.DUMMYFUNCTION("iferror(PERCENTRANK.INC(FILTER($X$2:$X$422, $U$2:$U$422&lt;4.25), $X412), 1)"),0.115)</f>
        <v>0.115</v>
      </c>
      <c r="AD412" s="20">
        <f>IFERROR(__xludf.DUMMYFUNCTION("iferror(PERCENTRANK.INC(FILTER($X$2:$X$422, $U$2:$U$422&gt;=4.1), $X412), 0.01)"),0.01)</f>
        <v>0.01</v>
      </c>
      <c r="AE412" s="20"/>
    </row>
    <row r="413" ht="14.25" customHeight="1">
      <c r="A413" s="17" t="s">
        <v>786</v>
      </c>
      <c r="B413" s="17" t="s">
        <v>518</v>
      </c>
      <c r="C413" s="18">
        <v>4.0</v>
      </c>
      <c r="D413" s="17" t="s">
        <v>99</v>
      </c>
      <c r="E413" s="17" t="s">
        <v>118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8.830189456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25.15511542</v>
      </c>
      <c r="AA413" s="20"/>
      <c r="AB413" s="20">
        <f>IFERROR(__xludf.DUMMYFUNCTION("iferror(PERCENTRANK.INC(FILTER($X$2:$X$422, $U$2:$U$422&lt;3.75), $X413), 1)"),0.103)</f>
        <v>0.103</v>
      </c>
      <c r="AC413" s="20">
        <f>IFERROR(__xludf.DUMMYFUNCTION("iferror(PERCENTRANK.INC(FILTER($X$2:$X$422, $U$2:$U$422&lt;4.25), $X413), 1)"),0.1)</f>
        <v>0.1</v>
      </c>
      <c r="AD413" s="20">
        <f>IFERROR(__xludf.DUMMYFUNCTION("iferror(PERCENTRANK.INC(FILTER($X$2:$X$422, $U$2:$U$422&gt;=4.1), $X413), 0.01)"),0.01)</f>
        <v>0.01</v>
      </c>
      <c r="AE413" s="20"/>
    </row>
    <row r="414" ht="14.25" customHeight="1">
      <c r="A414" s="17" t="s">
        <v>787</v>
      </c>
      <c r="B414" s="17" t="s">
        <v>652</v>
      </c>
      <c r="C414" s="18">
        <v>2.0</v>
      </c>
      <c r="D414" s="17" t="s">
        <v>99</v>
      </c>
      <c r="E414" s="17" t="s">
        <v>148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8.7986311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25.71995695</v>
      </c>
      <c r="AA414" s="20"/>
      <c r="AB414" s="20">
        <f>IFERROR(__xludf.DUMMYFUNCTION("iferror(PERCENTRANK.INC(FILTER($X$2:$X$422, $U$2:$U$422&lt;3.75), $X414), 1)"),0.126)</f>
        <v>0.126</v>
      </c>
      <c r="AC414" s="20">
        <f>IFERROR(__xludf.DUMMYFUNCTION("iferror(PERCENTRANK.INC(FILTER($X$2:$X$422, $U$2:$U$422&lt;4.25), $X414), 1)"),0.123)</f>
        <v>0.123</v>
      </c>
      <c r="AD414" s="20">
        <f>IFERROR(__xludf.DUMMYFUNCTION("iferror(PERCENTRANK.INC(FILTER($X$2:$X$422, $U$2:$U$422&gt;=4.1), $X414), 0.01)"),0.01)</f>
        <v>0.01</v>
      </c>
      <c r="AE414" s="20"/>
    </row>
    <row r="415" ht="14.25" customHeight="1">
      <c r="A415" s="17" t="s">
        <v>788</v>
      </c>
      <c r="B415" s="17" t="s">
        <v>490</v>
      </c>
      <c r="C415" s="18">
        <v>11.0</v>
      </c>
      <c r="D415" s="17" t="s">
        <v>99</v>
      </c>
      <c r="E415" s="17" t="s">
        <v>139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8.787994396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21.5929306</v>
      </c>
      <c r="AA415" s="20"/>
      <c r="AB415" s="20">
        <f>IFERROR(__xludf.DUMMYFUNCTION("iferror(PERCENTRANK.INC(FILTER($X$2:$X$422, $U$2:$U$422&lt;3.75), $X415), 1)"),0.052)</f>
        <v>0.052</v>
      </c>
      <c r="AC415" s="20">
        <f>IFERROR(__xludf.DUMMYFUNCTION("iferror(PERCENTRANK.INC(FILTER($X$2:$X$422, $U$2:$U$422&lt;4.25), $X415), 1)"),0.05)</f>
        <v>0.05</v>
      </c>
      <c r="AD415" s="20">
        <f>IFERROR(__xludf.DUMMYFUNCTION("iferror(PERCENTRANK.INC(FILTER($X$2:$X$422, $U$2:$U$422&gt;=4.1), $X415), 0.01)"),0.01)</f>
        <v>0.01</v>
      </c>
      <c r="AE415" s="20"/>
    </row>
    <row r="416" ht="14.25" customHeight="1">
      <c r="A416" s="17" t="s">
        <v>789</v>
      </c>
      <c r="B416" s="17" t="s">
        <v>488</v>
      </c>
      <c r="C416" s="18">
        <v>14.0</v>
      </c>
      <c r="D416" s="17" t="s">
        <v>99</v>
      </c>
      <c r="E416" s="17" t="s">
        <v>103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8.62976287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27.32128537</v>
      </c>
      <c r="AA416" s="20"/>
      <c r="AB416" s="20">
        <f>IFERROR(__xludf.DUMMYFUNCTION("iferror(PERCENTRANK.INC(FILTER($X$2:$X$422, $U$2:$U$422&lt;3.75), $X416), 1)"),0.209)</f>
        <v>0.209</v>
      </c>
      <c r="AC416" s="20">
        <f>IFERROR(__xludf.DUMMYFUNCTION("iferror(PERCENTRANK.INC(FILTER($X$2:$X$422, $U$2:$U$422&lt;4.25), $X416), 1)"),0.203)</f>
        <v>0.203</v>
      </c>
      <c r="AD416" s="20">
        <f>IFERROR(__xludf.DUMMYFUNCTION("iferror(PERCENTRANK.INC(FILTER($X$2:$X$422, $U$2:$U$422&gt;=4.1), $X416), 0.01)"),0.01)</f>
        <v>0.01</v>
      </c>
      <c r="AE416" s="20"/>
    </row>
    <row r="417" ht="14.25" customHeight="1">
      <c r="A417" s="17" t="s">
        <v>790</v>
      </c>
      <c r="B417" s="17" t="s">
        <v>306</v>
      </c>
      <c r="C417" s="18">
        <v>7.0</v>
      </c>
      <c r="D417" s="17" t="s">
        <v>99</v>
      </c>
      <c r="E417" s="17" t="s">
        <v>133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5.680945568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si="17"/>
        <v>-1.546677315</v>
      </c>
      <c r="Y417" s="20">
        <f t="shared" si="4"/>
        <v>17.57562695</v>
      </c>
      <c r="Z417" s="20">
        <f t="shared" si="6"/>
        <v>11.89468138</v>
      </c>
      <c r="AA417" s="20"/>
      <c r="AB417" s="20">
        <f>IFERROR(__xludf.DUMMYFUNCTION("iferror(PERCENTRANK.INC(FILTER($X$2:$X$422, $U$2:$U$422&lt;3.75), $X417), 1)"),0.008)</f>
        <v>0.008</v>
      </c>
      <c r="AC417" s="20">
        <f>IFERROR(__xludf.DUMMYFUNCTION("iferror(PERCENTRANK.INC(FILTER($X$2:$X$422, $U$2:$U$422&lt;4.25), $X417), 1)"),0.008)</f>
        <v>0.008</v>
      </c>
      <c r="AD417" s="20">
        <f>IFERROR(__xludf.DUMMYFUNCTION("iferror(PERCENTRANK.INC(FILTER($X$2:$X$422, $U$2:$U$422&gt;=4.1), $X417), 0.01)"),0.01)</f>
        <v>0.01</v>
      </c>
      <c r="AE417" s="20"/>
    </row>
    <row r="418" ht="14.25" customHeight="1">
      <c r="A418" s="17" t="s">
        <v>791</v>
      </c>
      <c r="B418" s="17" t="s">
        <v>492</v>
      </c>
      <c r="C418" s="18">
        <v>6.0</v>
      </c>
      <c r="D418" s="17" t="s">
        <v>99</v>
      </c>
      <c r="E418" s="17" t="s">
        <v>106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5.317837087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7"/>
        <v>-0.123</v>
      </c>
      <c r="Y418" s="20">
        <f t="shared" si="4"/>
        <v>35.17948684</v>
      </c>
      <c r="Z418" s="20">
        <f t="shared" si="6"/>
        <v>29.86164975</v>
      </c>
      <c r="AA418" s="20"/>
      <c r="AB418" s="20">
        <f>IFERROR(__xludf.DUMMYFUNCTION("iferror(PERCENTRANK.INC(FILTER($X$2:$X$422, $U$2:$U$422&lt;3.75), $X418), 1)"),0.162)</f>
        <v>0.162</v>
      </c>
      <c r="AC418" s="20">
        <f>IFERROR(__xludf.DUMMYFUNCTION("iferror(PERCENTRANK.INC(FILTER($X$2:$X$422, $U$2:$U$422&lt;4.25), $X418), 1)"),0.158)</f>
        <v>0.158</v>
      </c>
      <c r="AD418" s="20">
        <f>IFERROR(__xludf.DUMMYFUNCTION("iferror(PERCENTRANK.INC(FILTER($X$2:$X$422, $U$2:$U$422&gt;=4.1), $X418), 0.01)"),0.01)</f>
        <v>0.01</v>
      </c>
      <c r="AE418" s="20"/>
    </row>
    <row r="419" ht="14.25" customHeight="1">
      <c r="A419" s="17" t="s">
        <v>792</v>
      </c>
      <c r="B419" s="17" t="s">
        <v>647</v>
      </c>
      <c r="C419" s="18">
        <v>7.0</v>
      </c>
      <c r="D419" s="17" t="s">
        <v>99</v>
      </c>
      <c r="E419" s="17" t="s">
        <v>211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1.133059621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7"/>
        <v>-0.1515</v>
      </c>
      <c r="Y419" s="20">
        <f t="shared" si="4"/>
        <v>34.82708254</v>
      </c>
      <c r="Z419" s="20">
        <f t="shared" si="6"/>
        <v>33.69402292</v>
      </c>
      <c r="AA419" s="20"/>
      <c r="AB419" s="20">
        <f>IFERROR(__xludf.DUMMYFUNCTION("iferror(PERCENTRANK.INC(FILTER($X$2:$X$422, $U$2:$U$422&lt;3.75), $X419), 1)"),0.147)</f>
        <v>0.147</v>
      </c>
      <c r="AC419" s="20">
        <f>IFERROR(__xludf.DUMMYFUNCTION("iferror(PERCENTRANK.INC(FILTER($X$2:$X$422, $U$2:$U$422&lt;4.25), $X419), 1)"),0.143)</f>
        <v>0.143</v>
      </c>
      <c r="AD419" s="20">
        <f>IFERROR(__xludf.DUMMYFUNCTION("iferror(PERCENTRANK.INC(FILTER($X$2:$X$422, $U$2:$U$422&gt;=4.1), $X419), 0.01)"),0.01)</f>
        <v>0.01</v>
      </c>
      <c r="AE419" s="20"/>
    </row>
    <row r="420" ht="14.25" customHeight="1">
      <c r="A420" s="17" t="s">
        <v>793</v>
      </c>
      <c r="B420" s="17" t="s">
        <v>656</v>
      </c>
      <c r="C420" s="18">
        <v>9.0</v>
      </c>
      <c r="D420" s="17" t="s">
        <v>99</v>
      </c>
      <c r="E420" s="17" t="s">
        <v>190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7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IFERROR(__xludf.DUMMYFUNCTION("iferror(PERCENTRANK.INC(FILTER($X$2:$X$422, $U$2:$U$422&lt;3.75), $X420), 1)"),0.116)</f>
        <v>0.116</v>
      </c>
      <c r="AC420" s="20">
        <f>IFERROR(__xludf.DUMMYFUNCTION("iferror(PERCENTRANK.INC(FILTER($X$2:$X$422, $U$2:$U$422&lt;4.25), $X420), 1)"),0.113)</f>
        <v>0.113</v>
      </c>
      <c r="AD420" s="20">
        <f>IFERROR(__xludf.DUMMYFUNCTION("iferror(PERCENTRANK.INC(FILTER($X$2:$X$422, $U$2:$U$422&gt;=4.1), $X420), 0.01)"),0.01)</f>
        <v>0.01</v>
      </c>
      <c r="AE420" s="20"/>
    </row>
    <row r="421" ht="14.25" customHeight="1">
      <c r="A421" s="17" t="s">
        <v>794</v>
      </c>
      <c r="B421" s="17" t="s">
        <v>482</v>
      </c>
      <c r="C421" s="18">
        <v>5.0</v>
      </c>
      <c r="D421" s="17" t="s">
        <v>99</v>
      </c>
      <c r="E421" s="17" t="s">
        <v>159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22.18047002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7"/>
        <v>2.5725</v>
      </c>
      <c r="Y421" s="20">
        <f t="shared" si="4"/>
        <v>68.50951453</v>
      </c>
      <c r="Z421" s="20">
        <f t="shared" si="6"/>
        <v>46.32904451</v>
      </c>
      <c r="AA421" s="20"/>
      <c r="AB421" s="20">
        <f>IFERROR(__xludf.DUMMYFUNCTION("iferror(PERCENTRANK.INC(FILTER($X$2:$X$422, $U$2:$U$422&lt;3.75), $X421), 1)"),0.985)</f>
        <v>0.985</v>
      </c>
      <c r="AC421" s="20">
        <f>IFERROR(__xludf.DUMMYFUNCTION("iferror(PERCENTRANK.INC(FILTER($X$2:$X$422, $U$2:$U$422&lt;4.25), $X421), 1)"),0.96)</f>
        <v>0.96</v>
      </c>
      <c r="AD421" s="20">
        <f>IFERROR(__xludf.DUMMYFUNCTION("iferror(PERCENTRANK.INC(FILTER($X$2:$X$422, $U$2:$U$422&gt;=4.1), $X421), 0.01)"),0.08)</f>
        <v>0.08</v>
      </c>
      <c r="AE421" s="20"/>
    </row>
    <row r="422" ht="14.25" customHeight="1">
      <c r="A422" s="17" t="s">
        <v>795</v>
      </c>
      <c r="B422" s="17" t="s">
        <v>596</v>
      </c>
      <c r="C422" s="18">
        <v>0.0</v>
      </c>
      <c r="D422" s="17" t="s">
        <v>99</v>
      </c>
      <c r="E422" s="17" t="s">
        <v>244</v>
      </c>
      <c r="F422" s="18">
        <v>255.0</v>
      </c>
      <c r="G422" s="18">
        <v>177.0</v>
      </c>
      <c r="H422" s="18">
        <v>92.0</v>
      </c>
      <c r="I422" s="19">
        <v>0.52</v>
      </c>
      <c r="J422" s="18">
        <v>1100.0</v>
      </c>
      <c r="K422" s="18">
        <v>6.2</v>
      </c>
      <c r="L422" s="18">
        <v>9.0</v>
      </c>
      <c r="M422" s="18">
        <v>8.0</v>
      </c>
      <c r="N422" s="18">
        <v>23.0</v>
      </c>
      <c r="O422" s="18">
        <v>16.0</v>
      </c>
      <c r="P422" s="20">
        <f t="shared" si="1"/>
        <v>1.069127537</v>
      </c>
      <c r="Q422" s="20">
        <f t="shared" si="2"/>
        <v>21.89475015</v>
      </c>
      <c r="R422" s="24"/>
      <c r="S422" s="20">
        <v>1.0691275373878364</v>
      </c>
      <c r="T422" s="22">
        <v>-3.23</v>
      </c>
      <c r="U422" s="16">
        <v>4.37</v>
      </c>
      <c r="V422" s="16">
        <v>-3.67</v>
      </c>
      <c r="W422" s="25">
        <v>0.9</v>
      </c>
      <c r="X422" s="22">
        <f t="shared" si="17"/>
        <v>2.5745</v>
      </c>
      <c r="Y422" s="20">
        <f t="shared" si="4"/>
        <v>68.53424466</v>
      </c>
      <c r="Z422" s="20">
        <f t="shared" si="6"/>
        <v>46.63949451</v>
      </c>
      <c r="AA422" s="20"/>
      <c r="AB422" s="20">
        <f>IFERROR(__xludf.DUMMYFUNCTION("iferror(PERCENTRANK.INC(FILTER($X$2:$X$422, $U$2:$U$422&lt;3.75), $X422), 1)"),0.985)</f>
        <v>0.985</v>
      </c>
      <c r="AC422" s="20">
        <f>IFERROR(__xludf.DUMMYFUNCTION("iferror(PERCENTRANK.INC(FILTER($X$2:$X$422, $U$2:$U$422&lt;4.25), $X422), 1)"),0.96)</f>
        <v>0.96</v>
      </c>
      <c r="AD422" s="20">
        <f>IFERROR(__xludf.DUMMYFUNCTION("iferror(PERCENTRANK.INC(FILTER($X$2:$X$422, $U$2:$U$422&gt;=4.1), $X422), 0.01)"),0.08)</f>
        <v>0.08</v>
      </c>
      <c r="AE422" s="20"/>
    </row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>
      <c r="AC970" s="20"/>
    </row>
  </sheetData>
  <autoFilter ref="$A$1:$AD$422">
    <sortState ref="A1:AD422">
      <sortCondition descending="1" ref="AD1:AD422"/>
      <sortCondition descending="1" ref="Y1:Y422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613</v>
      </c>
      <c r="C2" s="14">
        <v>24.0</v>
      </c>
      <c r="D2" s="14" t="s">
        <v>803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804</v>
      </c>
      <c r="B3" s="14" t="s">
        <v>605</v>
      </c>
      <c r="C3" s="14">
        <v>2.0</v>
      </c>
      <c r="D3" s="14" t="s">
        <v>803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805</v>
      </c>
      <c r="B4" s="14" t="s">
        <v>324</v>
      </c>
      <c r="C4" s="14">
        <v>28.0</v>
      </c>
      <c r="D4" s="14" t="s">
        <v>803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806</v>
      </c>
      <c r="B5" s="14" t="s">
        <v>456</v>
      </c>
      <c r="C5" s="14">
        <v>4.0</v>
      </c>
      <c r="D5" s="14" t="s">
        <v>803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807</v>
      </c>
      <c r="B6" s="14" t="s">
        <v>344</v>
      </c>
      <c r="C6" s="14">
        <v>33.0</v>
      </c>
      <c r="D6" s="14" t="s">
        <v>803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808</v>
      </c>
      <c r="B7" s="14" t="s">
        <v>185</v>
      </c>
      <c r="C7" s="14">
        <v>25.0</v>
      </c>
      <c r="D7" s="14" t="s">
        <v>803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809</v>
      </c>
      <c r="B8" s="14" t="s">
        <v>409</v>
      </c>
      <c r="C8" s="14">
        <v>24.0</v>
      </c>
      <c r="D8" s="14" t="s">
        <v>803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810</v>
      </c>
      <c r="B9" s="14" t="s">
        <v>482</v>
      </c>
      <c r="C9" s="14">
        <v>20.0</v>
      </c>
      <c r="D9" s="14" t="s">
        <v>803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811</v>
      </c>
      <c r="B10" s="14" t="s">
        <v>566</v>
      </c>
      <c r="C10" s="14">
        <v>21.0</v>
      </c>
      <c r="D10" s="14" t="s">
        <v>803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812</v>
      </c>
      <c r="B11" s="14" t="s">
        <v>239</v>
      </c>
      <c r="C11" s="14">
        <v>0.0</v>
      </c>
      <c r="D11" s="14" t="s">
        <v>803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813</v>
      </c>
      <c r="B12" s="14" t="s">
        <v>661</v>
      </c>
      <c r="C12" s="14">
        <v>42.0</v>
      </c>
      <c r="D12" s="14" t="s">
        <v>803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814</v>
      </c>
      <c r="B13" s="14" t="s">
        <v>164</v>
      </c>
      <c r="C13" s="14">
        <v>24.0</v>
      </c>
      <c r="D13" s="14" t="s">
        <v>803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815</v>
      </c>
      <c r="B14" s="14" t="s">
        <v>652</v>
      </c>
      <c r="C14" s="14">
        <v>45.0</v>
      </c>
      <c r="D14" s="14" t="s">
        <v>803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816</v>
      </c>
      <c r="B15" s="14" t="s">
        <v>518</v>
      </c>
      <c r="C15" s="14">
        <v>3.0</v>
      </c>
      <c r="D15" s="14" t="s">
        <v>803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817</v>
      </c>
      <c r="B16" s="14" t="s">
        <v>556</v>
      </c>
      <c r="C16" s="14">
        <v>23.0</v>
      </c>
      <c r="D16" s="14" t="s">
        <v>803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818</v>
      </c>
      <c r="B17" s="14" t="s">
        <v>268</v>
      </c>
      <c r="C17" s="14">
        <v>9.0</v>
      </c>
      <c r="D17" s="14" t="s">
        <v>803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819</v>
      </c>
      <c r="B18" s="14" t="s">
        <v>444</v>
      </c>
      <c r="C18" s="14">
        <v>25.0</v>
      </c>
      <c r="D18" s="14" t="s">
        <v>803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820</v>
      </c>
      <c r="B19" s="14" t="s">
        <v>526</v>
      </c>
      <c r="C19" s="14">
        <v>7.0</v>
      </c>
      <c r="D19" s="14" t="s">
        <v>803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821</v>
      </c>
      <c r="B20" s="16" t="s">
        <v>616</v>
      </c>
      <c r="C20" s="14">
        <v>34.0</v>
      </c>
      <c r="D20" s="14" t="s">
        <v>803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822</v>
      </c>
      <c r="B21" s="14" t="s">
        <v>467</v>
      </c>
      <c r="C21" s="14">
        <v>29.0</v>
      </c>
      <c r="D21" s="14" t="s">
        <v>803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823</v>
      </c>
      <c r="B22" s="14" t="s">
        <v>528</v>
      </c>
      <c r="C22" s="14">
        <v>5.0</v>
      </c>
      <c r="D22" s="14" t="s">
        <v>803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5" t="s">
        <v>824</v>
      </c>
      <c r="B23" s="35" t="s">
        <v>598</v>
      </c>
      <c r="C23" s="36">
        <v>6.0</v>
      </c>
      <c r="D23" s="35" t="s">
        <v>803</v>
      </c>
      <c r="E23" s="35" t="s">
        <v>122</v>
      </c>
      <c r="F23" s="36">
        <v>97.0</v>
      </c>
      <c r="G23" s="36">
        <v>410.0</v>
      </c>
      <c r="H23" s="36">
        <v>4.2</v>
      </c>
      <c r="I23" s="36">
        <v>2.0</v>
      </c>
      <c r="J23" s="37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827</v>
      </c>
      <c r="B25" s="14" t="s">
        <v>530</v>
      </c>
      <c r="C25" s="14">
        <v>4.0</v>
      </c>
      <c r="D25" s="14" t="s">
        <v>803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828</v>
      </c>
      <c r="B26" s="14" t="s">
        <v>288</v>
      </c>
      <c r="C26" s="14">
        <v>3.0</v>
      </c>
      <c r="D26" s="14" t="s">
        <v>803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829</v>
      </c>
      <c r="B27" s="14" t="s">
        <v>164</v>
      </c>
      <c r="C27" s="14">
        <v>0.0</v>
      </c>
      <c r="D27" s="14" t="s">
        <v>803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830</v>
      </c>
      <c r="B28" s="14" t="s">
        <v>314</v>
      </c>
      <c r="C28" s="14">
        <v>5.0</v>
      </c>
      <c r="D28" s="14" t="s">
        <v>803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831</v>
      </c>
      <c r="B29" s="14" t="s">
        <v>424</v>
      </c>
      <c r="C29" s="14">
        <v>22.0</v>
      </c>
      <c r="D29" s="14" t="s">
        <v>803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832</v>
      </c>
      <c r="B30" s="14" t="s">
        <v>127</v>
      </c>
      <c r="C30" s="14">
        <v>26.0</v>
      </c>
      <c r="D30" s="14" t="s">
        <v>803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833</v>
      </c>
      <c r="B31" s="14" t="s">
        <v>158</v>
      </c>
      <c r="C31" s="14">
        <v>23.0</v>
      </c>
      <c r="D31" s="14" t="s">
        <v>803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834</v>
      </c>
      <c r="B32" s="14" t="s">
        <v>246</v>
      </c>
      <c r="C32" s="14">
        <v>7.0</v>
      </c>
      <c r="D32" s="14" t="s">
        <v>803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835</v>
      </c>
      <c r="B33" s="14" t="s">
        <v>609</v>
      </c>
      <c r="C33" s="14">
        <v>11.0</v>
      </c>
      <c r="D33" s="14" t="s">
        <v>803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836</v>
      </c>
      <c r="B34" s="14" t="s">
        <v>306</v>
      </c>
      <c r="C34" s="14">
        <v>6.0</v>
      </c>
      <c r="D34" s="14" t="s">
        <v>803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837</v>
      </c>
      <c r="B35" s="14" t="s">
        <v>246</v>
      </c>
      <c r="C35" s="14">
        <v>21.0</v>
      </c>
      <c r="D35" s="14" t="s">
        <v>803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838</v>
      </c>
      <c r="B36" s="14" t="s">
        <v>132</v>
      </c>
      <c r="C36" s="14">
        <v>2.0</v>
      </c>
      <c r="D36" s="14" t="s">
        <v>803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839</v>
      </c>
      <c r="B37" s="14" t="s">
        <v>117</v>
      </c>
      <c r="C37" s="14">
        <v>20.0</v>
      </c>
      <c r="D37" s="14" t="s">
        <v>803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840</v>
      </c>
      <c r="B38" s="14" t="s">
        <v>711</v>
      </c>
      <c r="C38" s="14">
        <v>28.0</v>
      </c>
      <c r="D38" s="14" t="s">
        <v>803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841</v>
      </c>
      <c r="B39" s="14" t="s">
        <v>748</v>
      </c>
      <c r="C39" s="14">
        <v>22.0</v>
      </c>
      <c r="D39" s="14" t="s">
        <v>803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842</v>
      </c>
      <c r="B40" s="14" t="s">
        <v>117</v>
      </c>
      <c r="C40" s="14">
        <v>5.0</v>
      </c>
      <c r="D40" s="14" t="s">
        <v>803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843</v>
      </c>
      <c r="B41" s="14" t="s">
        <v>556</v>
      </c>
      <c r="C41" s="14">
        <v>5.0</v>
      </c>
      <c r="D41" s="14" t="s">
        <v>803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844</v>
      </c>
      <c r="B42" s="14" t="s">
        <v>432</v>
      </c>
      <c r="C42" s="14">
        <v>6.0</v>
      </c>
      <c r="D42" s="14" t="s">
        <v>803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845</v>
      </c>
      <c r="B43" s="14" t="s">
        <v>411</v>
      </c>
      <c r="C43" s="14">
        <v>41.0</v>
      </c>
      <c r="D43" s="14" t="s">
        <v>803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846</v>
      </c>
      <c r="B44" s="14" t="s">
        <v>482</v>
      </c>
      <c r="C44" s="14">
        <v>10.0</v>
      </c>
      <c r="D44" s="14" t="s">
        <v>803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847</v>
      </c>
      <c r="B45" s="14" t="s">
        <v>102</v>
      </c>
      <c r="C45" s="14">
        <v>18.0</v>
      </c>
      <c r="D45" s="14" t="s">
        <v>803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848</v>
      </c>
      <c r="B46" s="14" t="s">
        <v>391</v>
      </c>
      <c r="C46" s="14">
        <v>22.0</v>
      </c>
      <c r="D46" s="14" t="s">
        <v>803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849</v>
      </c>
      <c r="B47" s="14" t="s">
        <v>223</v>
      </c>
      <c r="C47" s="14">
        <v>6.0</v>
      </c>
      <c r="D47" s="14" t="s">
        <v>803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850</v>
      </c>
      <c r="B48" s="14" t="s">
        <v>532</v>
      </c>
      <c r="C48" s="14">
        <v>6.0</v>
      </c>
      <c r="D48" s="14" t="s">
        <v>803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853</v>
      </c>
      <c r="B50" s="14" t="s">
        <v>430</v>
      </c>
      <c r="C50" s="14">
        <v>24.0</v>
      </c>
      <c r="D50" s="14" t="s">
        <v>803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854</v>
      </c>
      <c r="B51" s="14" t="s">
        <v>266</v>
      </c>
      <c r="C51" s="14">
        <v>24.0</v>
      </c>
      <c r="D51" s="14" t="s">
        <v>803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855</v>
      </c>
      <c r="B52" s="14" t="s">
        <v>326</v>
      </c>
      <c r="C52" s="14">
        <v>28.0</v>
      </c>
      <c r="D52" s="14" t="s">
        <v>803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856</v>
      </c>
      <c r="B53" s="14" t="s">
        <v>179</v>
      </c>
      <c r="C53" s="14">
        <v>20.0</v>
      </c>
      <c r="D53" s="14" t="s">
        <v>803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859</v>
      </c>
      <c r="B55" s="14" t="s">
        <v>500</v>
      </c>
      <c r="C55" s="14">
        <v>0.0</v>
      </c>
      <c r="D55" s="14" t="s">
        <v>803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860</v>
      </c>
      <c r="B56" s="14" t="s">
        <v>554</v>
      </c>
      <c r="C56" s="14">
        <v>21.0</v>
      </c>
      <c r="D56" s="14" t="s">
        <v>803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861</v>
      </c>
      <c r="B57" s="14" t="s">
        <v>208</v>
      </c>
      <c r="C57" s="14">
        <v>10.0</v>
      </c>
      <c r="D57" s="14" t="s">
        <v>803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862</v>
      </c>
      <c r="B58" s="14" t="s">
        <v>446</v>
      </c>
      <c r="C58" s="14">
        <v>6.0</v>
      </c>
      <c r="D58" s="14" t="s">
        <v>803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863</v>
      </c>
      <c r="B59" s="14" t="s">
        <v>280</v>
      </c>
      <c r="C59" s="14">
        <v>6.0</v>
      </c>
      <c r="D59" s="14" t="s">
        <v>803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864</v>
      </c>
      <c r="B60" s="14" t="s">
        <v>198</v>
      </c>
      <c r="C60" s="14">
        <v>24.0</v>
      </c>
      <c r="D60" s="14" t="s">
        <v>803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865</v>
      </c>
      <c r="B61" s="14" t="s">
        <v>282</v>
      </c>
      <c r="C61" s="14">
        <v>32.0</v>
      </c>
      <c r="D61" s="14" t="s">
        <v>803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866</v>
      </c>
      <c r="B62" s="14" t="s">
        <v>124</v>
      </c>
      <c r="C62" s="14">
        <v>25.0</v>
      </c>
      <c r="D62" s="14" t="s">
        <v>803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867</v>
      </c>
      <c r="B63" s="14" t="s">
        <v>668</v>
      </c>
      <c r="C63" s="14">
        <v>5.0</v>
      </c>
      <c r="D63" s="14" t="s">
        <v>803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868</v>
      </c>
      <c r="B64" s="14" t="s">
        <v>389</v>
      </c>
      <c r="C64" s="14">
        <v>24.0</v>
      </c>
      <c r="D64" s="14" t="s">
        <v>803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869</v>
      </c>
      <c r="B65" s="14" t="s">
        <v>189</v>
      </c>
      <c r="C65" s="14">
        <v>0.0</v>
      </c>
      <c r="D65" s="14" t="s">
        <v>803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870</v>
      </c>
      <c r="B66" s="14" t="s">
        <v>227</v>
      </c>
      <c r="C66" s="14">
        <v>0.0</v>
      </c>
      <c r="D66" s="14" t="s">
        <v>803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871</v>
      </c>
      <c r="B67" s="14" t="s">
        <v>310</v>
      </c>
      <c r="C67" s="14">
        <v>26.0</v>
      </c>
      <c r="D67" s="14" t="s">
        <v>803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872</v>
      </c>
      <c r="B68" s="14" t="s">
        <v>192</v>
      </c>
      <c r="C68" s="14">
        <v>0.0</v>
      </c>
      <c r="D68" s="14" t="s">
        <v>803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873</v>
      </c>
      <c r="B69" s="14" t="s">
        <v>450</v>
      </c>
      <c r="C69" s="14">
        <v>9.0</v>
      </c>
      <c r="D69" s="14" t="s">
        <v>803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874</v>
      </c>
      <c r="B70" s="14" t="s">
        <v>380</v>
      </c>
      <c r="C70" s="14">
        <v>29.0</v>
      </c>
      <c r="D70" s="14" t="s">
        <v>803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875</v>
      </c>
      <c r="B71" s="14" t="s">
        <v>237</v>
      </c>
      <c r="C71" s="14">
        <v>9.0</v>
      </c>
      <c r="D71" s="14" t="s">
        <v>803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876</v>
      </c>
      <c r="B72" s="14" t="s">
        <v>631</v>
      </c>
      <c r="C72" s="14">
        <v>2.0</v>
      </c>
      <c r="D72" s="14" t="s">
        <v>803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877</v>
      </c>
      <c r="B73" s="14" t="s">
        <v>272</v>
      </c>
      <c r="C73" s="14">
        <v>9.0</v>
      </c>
      <c r="D73" s="14" t="s">
        <v>803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880</v>
      </c>
      <c r="B75" s="14" t="s">
        <v>280</v>
      </c>
      <c r="C75" s="14">
        <v>0.0</v>
      </c>
      <c r="D75" s="14" t="s">
        <v>803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881</v>
      </c>
      <c r="B76" s="14" t="s">
        <v>320</v>
      </c>
      <c r="C76" s="14">
        <v>21.0</v>
      </c>
      <c r="D76" s="14" t="s">
        <v>803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882</v>
      </c>
      <c r="B77" s="14" t="s">
        <v>202</v>
      </c>
      <c r="C77" s="14">
        <v>28.0</v>
      </c>
      <c r="D77" s="14" t="s">
        <v>803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883</v>
      </c>
      <c r="B78" s="14" t="s">
        <v>568</v>
      </c>
      <c r="C78" s="14">
        <v>6.0</v>
      </c>
      <c r="D78" s="14" t="s">
        <v>803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884</v>
      </c>
      <c r="B79" s="14" t="s">
        <v>168</v>
      </c>
      <c r="C79" s="14">
        <v>28.0</v>
      </c>
      <c r="D79" s="14" t="s">
        <v>803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885</v>
      </c>
      <c r="B80" s="14" t="s">
        <v>138</v>
      </c>
      <c r="C80" s="14">
        <v>27.0</v>
      </c>
      <c r="D80" s="14" t="s">
        <v>803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886</v>
      </c>
      <c r="B81" s="14" t="s">
        <v>416</v>
      </c>
      <c r="C81" s="14">
        <v>28.0</v>
      </c>
      <c r="D81" s="14" t="s">
        <v>803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887</v>
      </c>
      <c r="B82" s="14" t="s">
        <v>389</v>
      </c>
      <c r="C82" s="14">
        <v>26.0</v>
      </c>
      <c r="D82" s="14" t="s">
        <v>803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888</v>
      </c>
      <c r="B83" s="14" t="s">
        <v>229</v>
      </c>
      <c r="C83" s="14">
        <v>23.0</v>
      </c>
      <c r="D83" s="14" t="s">
        <v>803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889</v>
      </c>
      <c r="B84" s="14" t="s">
        <v>135</v>
      </c>
      <c r="C84" s="14">
        <v>8.0</v>
      </c>
      <c r="D84" s="14" t="s">
        <v>803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890</v>
      </c>
      <c r="B85" s="14" t="s">
        <v>330</v>
      </c>
      <c r="C85" s="14">
        <v>3.0</v>
      </c>
      <c r="D85" s="14" t="s">
        <v>803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891</v>
      </c>
      <c r="B86" s="14" t="s">
        <v>342</v>
      </c>
      <c r="C86" s="14">
        <v>1.0</v>
      </c>
      <c r="D86" s="14" t="s">
        <v>803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892</v>
      </c>
      <c r="B87" s="14" t="s">
        <v>192</v>
      </c>
      <c r="C87" s="14">
        <v>14.0</v>
      </c>
      <c r="D87" s="14" t="s">
        <v>803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893</v>
      </c>
      <c r="B88" s="14" t="s">
        <v>256</v>
      </c>
      <c r="C88" s="14">
        <v>25.0</v>
      </c>
      <c r="D88" s="14" t="s">
        <v>803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894</v>
      </c>
      <c r="B89" s="14" t="s">
        <v>250</v>
      </c>
      <c r="C89" s="14">
        <v>20.0</v>
      </c>
      <c r="D89" s="14" t="s">
        <v>803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895</v>
      </c>
      <c r="B90" s="14" t="s">
        <v>354</v>
      </c>
      <c r="C90" s="14">
        <v>4.0</v>
      </c>
      <c r="D90" s="14" t="s">
        <v>803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896</v>
      </c>
      <c r="B91" s="14" t="s">
        <v>454</v>
      </c>
      <c r="C91" s="14">
        <v>2.0</v>
      </c>
      <c r="D91" s="14" t="s">
        <v>803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897</v>
      </c>
      <c r="B92" s="14" t="s">
        <v>227</v>
      </c>
      <c r="C92" s="14">
        <v>23.0</v>
      </c>
      <c r="D92" s="14" t="s">
        <v>803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898</v>
      </c>
      <c r="B93" s="14" t="s">
        <v>374</v>
      </c>
      <c r="C93" s="14">
        <v>5.0</v>
      </c>
      <c r="D93" s="14" t="s">
        <v>803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899</v>
      </c>
      <c r="B94" s="14" t="s">
        <v>206</v>
      </c>
      <c r="C94" s="14">
        <v>3.0</v>
      </c>
      <c r="D94" s="14" t="s">
        <v>803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900</v>
      </c>
      <c r="B95" s="14" t="s">
        <v>150</v>
      </c>
      <c r="C95" s="14">
        <v>3.0</v>
      </c>
      <c r="D95" s="14" t="s">
        <v>803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901</v>
      </c>
      <c r="B96" s="14" t="s">
        <v>422</v>
      </c>
      <c r="C96" s="14">
        <v>4.0</v>
      </c>
      <c r="D96" s="14" t="s">
        <v>803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902</v>
      </c>
      <c r="B97" s="14" t="s">
        <v>217</v>
      </c>
      <c r="C97" s="14">
        <v>7.0</v>
      </c>
      <c r="D97" s="14" t="s">
        <v>803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903</v>
      </c>
      <c r="B98" s="14" t="s">
        <v>407</v>
      </c>
      <c r="C98" s="14">
        <v>8.0</v>
      </c>
      <c r="D98" s="14" t="s">
        <v>803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904</v>
      </c>
      <c r="B99" s="14" t="s">
        <v>354</v>
      </c>
      <c r="C99" s="14">
        <v>20.0</v>
      </c>
      <c r="D99" s="14" t="s">
        <v>803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905</v>
      </c>
      <c r="B100" s="14" t="s">
        <v>187</v>
      </c>
      <c r="C100" s="14">
        <v>23.0</v>
      </c>
      <c r="D100" s="14" t="s">
        <v>803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906</v>
      </c>
      <c r="B101" s="14" t="s">
        <v>179</v>
      </c>
      <c r="C101" s="14">
        <v>29.0</v>
      </c>
      <c r="D101" s="14" t="s">
        <v>803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907</v>
      </c>
      <c r="B102" s="14" t="s">
        <v>659</v>
      </c>
      <c r="C102" s="14">
        <v>21.0</v>
      </c>
      <c r="D102" s="14" t="s">
        <v>803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908</v>
      </c>
      <c r="B103" s="14" t="s">
        <v>306</v>
      </c>
      <c r="C103" s="14">
        <v>15.0</v>
      </c>
      <c r="D103" s="14" t="s">
        <v>803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909</v>
      </c>
      <c r="B104" s="14" t="s">
        <v>132</v>
      </c>
      <c r="C104" s="14">
        <v>25.0</v>
      </c>
      <c r="D104" s="14" t="s">
        <v>803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910</v>
      </c>
      <c r="B105" s="14" t="s">
        <v>204</v>
      </c>
      <c r="C105" s="14">
        <v>2.0</v>
      </c>
      <c r="D105" s="14" t="s">
        <v>803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911</v>
      </c>
      <c r="B106" s="14" t="s">
        <v>520</v>
      </c>
      <c r="C106" s="14">
        <v>34.0</v>
      </c>
      <c r="D106" s="14" t="s">
        <v>803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912</v>
      </c>
      <c r="B107" s="14" t="s">
        <v>231</v>
      </c>
      <c r="C107" s="14">
        <v>8.0</v>
      </c>
      <c r="D107" s="14" t="s">
        <v>803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913</v>
      </c>
      <c r="B108" s="14" t="s">
        <v>535</v>
      </c>
      <c r="C108" s="14">
        <v>26.0</v>
      </c>
      <c r="D108" s="14" t="s">
        <v>803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914</v>
      </c>
      <c r="B109" s="14" t="s">
        <v>422</v>
      </c>
      <c r="C109" s="14">
        <v>22.0</v>
      </c>
      <c r="D109" s="14" t="s">
        <v>803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915</v>
      </c>
      <c r="B110" s="14" t="s">
        <v>250</v>
      </c>
      <c r="C110" s="14">
        <v>1.0</v>
      </c>
      <c r="D110" s="14" t="s">
        <v>803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916</v>
      </c>
      <c r="B111" s="14" t="s">
        <v>102</v>
      </c>
      <c r="C111" s="14">
        <v>0.0</v>
      </c>
      <c r="D111" s="14" t="s">
        <v>803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917</v>
      </c>
      <c r="B112" s="14" t="s">
        <v>192</v>
      </c>
      <c r="C112" s="14">
        <v>6.0</v>
      </c>
      <c r="D112" s="14" t="s">
        <v>803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918</v>
      </c>
      <c r="B113" s="14" t="s">
        <v>276</v>
      </c>
      <c r="C113" s="14">
        <v>3.0</v>
      </c>
      <c r="D113" s="14" t="s">
        <v>803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919</v>
      </c>
      <c r="B114" s="14" t="s">
        <v>270</v>
      </c>
      <c r="C114" s="14">
        <v>20.0</v>
      </c>
      <c r="D114" s="14" t="s">
        <v>803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920</v>
      </c>
      <c r="B115" s="14" t="s">
        <v>663</v>
      </c>
      <c r="C115" s="14">
        <v>7.0</v>
      </c>
      <c r="D115" s="14" t="s">
        <v>803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921</v>
      </c>
      <c r="B116" s="14" t="s">
        <v>138</v>
      </c>
      <c r="C116" s="14">
        <v>0.0</v>
      </c>
      <c r="D116" s="14" t="s">
        <v>803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922</v>
      </c>
      <c r="B117" s="14" t="s">
        <v>591</v>
      </c>
      <c r="C117" s="14">
        <v>6.0</v>
      </c>
      <c r="D117" s="14" t="s">
        <v>803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923</v>
      </c>
      <c r="B118" s="14" t="s">
        <v>474</v>
      </c>
      <c r="C118" s="14">
        <v>3.0</v>
      </c>
      <c r="D118" s="14" t="s">
        <v>803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924</v>
      </c>
      <c r="B119" s="14" t="s">
        <v>168</v>
      </c>
      <c r="C119" s="14">
        <v>29.0</v>
      </c>
      <c r="D119" s="14" t="s">
        <v>803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925</v>
      </c>
      <c r="B120" s="14" t="s">
        <v>276</v>
      </c>
      <c r="C120" s="14">
        <v>26.0</v>
      </c>
      <c r="D120" s="14" t="s">
        <v>803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926</v>
      </c>
      <c r="B121" s="14" t="s">
        <v>114</v>
      </c>
      <c r="C121" s="14">
        <v>24.0</v>
      </c>
      <c r="D121" s="14" t="s">
        <v>803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927</v>
      </c>
      <c r="B122" s="14" t="s">
        <v>535</v>
      </c>
      <c r="C122" s="14">
        <v>4.0</v>
      </c>
      <c r="D122" s="14" t="s">
        <v>803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928</v>
      </c>
      <c r="B123" s="14" t="s">
        <v>420</v>
      </c>
      <c r="C123" s="14">
        <v>21.0</v>
      </c>
      <c r="D123" s="14" t="s">
        <v>803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929</v>
      </c>
      <c r="B124" s="14" t="s">
        <v>332</v>
      </c>
      <c r="C124" s="14">
        <v>0.0</v>
      </c>
      <c r="D124" s="14" t="s">
        <v>803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930</v>
      </c>
      <c r="B125" s="14" t="s">
        <v>227</v>
      </c>
      <c r="C125" s="14">
        <v>27.0</v>
      </c>
      <c r="D125" s="14" t="s">
        <v>803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931</v>
      </c>
      <c r="B126" s="14" t="s">
        <v>231</v>
      </c>
      <c r="C126" s="14">
        <v>4.0</v>
      </c>
      <c r="D126" s="14" t="s">
        <v>803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932</v>
      </c>
      <c r="B127" s="14" t="s">
        <v>933</v>
      </c>
      <c r="C127" s="14">
        <v>21.0</v>
      </c>
      <c r="D127" s="14" t="s">
        <v>803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934</v>
      </c>
      <c r="B128" s="14" t="s">
        <v>556</v>
      </c>
      <c r="C128" s="14">
        <v>20.0</v>
      </c>
      <c r="D128" s="14" t="s">
        <v>803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935</v>
      </c>
      <c r="B129" s="14" t="s">
        <v>528</v>
      </c>
      <c r="C129" s="14">
        <v>26.0</v>
      </c>
      <c r="D129" s="14" t="s">
        <v>803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936</v>
      </c>
      <c r="B130" s="14" t="s">
        <v>420</v>
      </c>
      <c r="C130" s="14">
        <v>22.0</v>
      </c>
      <c r="D130" s="14" t="s">
        <v>803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937</v>
      </c>
      <c r="B131" s="14" t="s">
        <v>194</v>
      </c>
      <c r="C131" s="14">
        <v>1.0</v>
      </c>
      <c r="D131" s="14" t="s">
        <v>803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938</v>
      </c>
      <c r="B132" s="14" t="s">
        <v>526</v>
      </c>
      <c r="C132" s="14">
        <v>21.0</v>
      </c>
      <c r="D132" s="14" t="s">
        <v>803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939</v>
      </c>
      <c r="B133" s="14" t="s">
        <v>704</v>
      </c>
      <c r="C133" s="14">
        <v>3.0</v>
      </c>
      <c r="D133" s="14" t="s">
        <v>803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940</v>
      </c>
      <c r="B134" s="14" t="s">
        <v>235</v>
      </c>
      <c r="C134" s="14">
        <v>2.0</v>
      </c>
      <c r="D134" s="14" t="s">
        <v>803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941</v>
      </c>
      <c r="B135" s="14" t="s">
        <v>450</v>
      </c>
      <c r="C135" s="14">
        <v>1.0</v>
      </c>
      <c r="D135" s="14" t="s">
        <v>803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942</v>
      </c>
      <c r="B136" s="14" t="s">
        <v>278</v>
      </c>
      <c r="C136" s="14">
        <v>0.0</v>
      </c>
      <c r="D136" s="14" t="s">
        <v>803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943</v>
      </c>
      <c r="B137" s="14" t="s">
        <v>476</v>
      </c>
      <c r="C137" s="14">
        <v>13.0</v>
      </c>
      <c r="D137" s="14" t="s">
        <v>803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944</v>
      </c>
      <c r="B138" s="14" t="s">
        <v>237</v>
      </c>
      <c r="C138" s="14">
        <v>20.0</v>
      </c>
      <c r="D138" s="14" t="s">
        <v>803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945</v>
      </c>
      <c r="B139" s="14" t="s">
        <v>659</v>
      </c>
      <c r="C139" s="14">
        <v>20.0</v>
      </c>
      <c r="D139" s="14" t="s">
        <v>803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946</v>
      </c>
      <c r="B140" s="14" t="s">
        <v>418</v>
      </c>
      <c r="C140" s="14">
        <v>0.0</v>
      </c>
      <c r="D140" s="14" t="s">
        <v>803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947</v>
      </c>
      <c r="B141" s="14" t="s">
        <v>241</v>
      </c>
      <c r="C141" s="14">
        <v>24.0</v>
      </c>
      <c r="D141" s="14" t="s">
        <v>803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953</v>
      </c>
      <c r="R1" s="14" t="s">
        <v>954</v>
      </c>
      <c r="S1" s="14" t="s">
        <v>92</v>
      </c>
      <c r="T1" s="14" t="s">
        <v>93</v>
      </c>
      <c r="U1" s="14" t="s">
        <v>955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956</v>
      </c>
      <c r="B2" s="14" t="s">
        <v>348</v>
      </c>
      <c r="C2" s="14">
        <v>1.0</v>
      </c>
      <c r="D2" s="14" t="s">
        <v>957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8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958</v>
      </c>
      <c r="B3" s="14" t="s">
        <v>179</v>
      </c>
      <c r="C3" s="16">
        <v>14.0</v>
      </c>
      <c r="D3" s="14" t="s">
        <v>957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9">
        <v>4.89</v>
      </c>
      <c r="Q3" s="39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959</v>
      </c>
      <c r="B4" s="14" t="s">
        <v>504</v>
      </c>
      <c r="C4" s="14" t="s">
        <v>957</v>
      </c>
      <c r="D4" s="14" t="s">
        <v>957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960</v>
      </c>
      <c r="B5" s="17" t="s">
        <v>155</v>
      </c>
      <c r="C5" s="16">
        <v>86.0</v>
      </c>
      <c r="D5" s="17" t="s">
        <v>957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8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961</v>
      </c>
      <c r="B6" s="14" t="s">
        <v>440</v>
      </c>
      <c r="C6" s="14">
        <v>7.0</v>
      </c>
      <c r="D6" s="14" t="s">
        <v>957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962</v>
      </c>
      <c r="B7" s="14" t="s">
        <v>306</v>
      </c>
      <c r="C7" s="14">
        <v>10.0</v>
      </c>
      <c r="D7" s="14" t="s">
        <v>957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40">
        <v>4.36</v>
      </c>
      <c r="Q7" s="40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963</v>
      </c>
      <c r="B8" s="14" t="s">
        <v>225</v>
      </c>
      <c r="C8" s="16">
        <v>1.0</v>
      </c>
      <c r="D8" s="14" t="s">
        <v>957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964</v>
      </c>
      <c r="B9" s="14" t="s">
        <v>372</v>
      </c>
      <c r="C9" s="16">
        <v>84.0</v>
      </c>
      <c r="D9" s="14" t="s">
        <v>957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965</v>
      </c>
      <c r="B10" s="14" t="s">
        <v>348</v>
      </c>
      <c r="C10" s="14">
        <v>5.0</v>
      </c>
      <c r="D10" s="14" t="s">
        <v>957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966</v>
      </c>
      <c r="B11" s="14" t="s">
        <v>376</v>
      </c>
      <c r="C11" s="16">
        <v>1.0</v>
      </c>
      <c r="D11" s="14" t="s">
        <v>957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967</v>
      </c>
      <c r="B12" s="14" t="s">
        <v>310</v>
      </c>
      <c r="C12" s="14" t="s">
        <v>957</v>
      </c>
      <c r="D12" s="14" t="s">
        <v>957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968</v>
      </c>
      <c r="B13" s="14" t="s">
        <v>385</v>
      </c>
      <c r="C13" s="14" t="s">
        <v>957</v>
      </c>
      <c r="D13" s="14" t="s">
        <v>957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969</v>
      </c>
      <c r="B14" s="14" t="s">
        <v>268</v>
      </c>
      <c r="C14" s="14">
        <v>11.0</v>
      </c>
      <c r="D14" s="14" t="s">
        <v>957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970</v>
      </c>
      <c r="B15" s="14" t="s">
        <v>117</v>
      </c>
      <c r="C15" s="14">
        <v>2.0</v>
      </c>
      <c r="D15" s="14" t="s">
        <v>957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971</v>
      </c>
      <c r="B16" s="14" t="s">
        <v>320</v>
      </c>
      <c r="C16" s="14" t="s">
        <v>957</v>
      </c>
      <c r="D16" s="14" t="s">
        <v>957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972</v>
      </c>
      <c r="B17" s="14" t="s">
        <v>358</v>
      </c>
      <c r="C17" s="16">
        <v>20.0</v>
      </c>
      <c r="D17" s="14" t="s">
        <v>957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973</v>
      </c>
      <c r="B18" s="14" t="s">
        <v>358</v>
      </c>
      <c r="C18" s="14" t="s">
        <v>957</v>
      </c>
      <c r="D18" s="14" t="s">
        <v>957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974</v>
      </c>
      <c r="B19" s="14" t="s">
        <v>316</v>
      </c>
      <c r="C19" s="16">
        <v>2.0</v>
      </c>
      <c r="D19" s="14" t="s">
        <v>957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1">
        <v>5.4</v>
      </c>
      <c r="Q19" s="41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975</v>
      </c>
      <c r="B20" s="14" t="s">
        <v>141</v>
      </c>
      <c r="C20" s="16">
        <v>17.0</v>
      </c>
      <c r="D20" s="14" t="s">
        <v>957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976</v>
      </c>
      <c r="B21" s="14" t="s">
        <v>278</v>
      </c>
      <c r="C21" s="14">
        <v>9.0</v>
      </c>
      <c r="D21" s="14" t="s">
        <v>957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977</v>
      </c>
      <c r="B22" s="14" t="s">
        <v>278</v>
      </c>
      <c r="C22" s="14">
        <v>5.0</v>
      </c>
      <c r="D22" s="14" t="s">
        <v>957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978</v>
      </c>
      <c r="B23" s="14" t="s">
        <v>256</v>
      </c>
      <c r="C23" s="14" t="s">
        <v>957</v>
      </c>
      <c r="D23" s="14" t="s">
        <v>957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979</v>
      </c>
      <c r="B24" s="14" t="s">
        <v>532</v>
      </c>
      <c r="C24" s="14" t="s">
        <v>957</v>
      </c>
      <c r="D24" s="14" t="s">
        <v>957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980</v>
      </c>
      <c r="B25" s="14" t="s">
        <v>147</v>
      </c>
      <c r="C25" s="14">
        <v>2.0</v>
      </c>
      <c r="D25" s="14" t="s">
        <v>957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981</v>
      </c>
      <c r="B26" s="14" t="s">
        <v>105</v>
      </c>
      <c r="C26" s="14" t="s">
        <v>957</v>
      </c>
      <c r="D26" s="14" t="s">
        <v>957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982</v>
      </c>
      <c r="B27" s="14" t="s">
        <v>272</v>
      </c>
      <c r="C27" s="16">
        <v>4.0</v>
      </c>
      <c r="D27" s="14" t="s">
        <v>957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983</v>
      </c>
      <c r="B28" s="14" t="s">
        <v>288</v>
      </c>
      <c r="C28" s="14">
        <v>13.0</v>
      </c>
      <c r="D28" s="14" t="s">
        <v>957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984</v>
      </c>
      <c r="B29" s="14" t="s">
        <v>117</v>
      </c>
      <c r="C29" s="14">
        <v>7.0</v>
      </c>
      <c r="D29" s="14" t="s">
        <v>957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985</v>
      </c>
      <c r="B30" s="17" t="s">
        <v>330</v>
      </c>
      <c r="C30" s="18">
        <v>1.0</v>
      </c>
      <c r="D30" s="17" t="s">
        <v>957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8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986</v>
      </c>
      <c r="B31" s="14" t="s">
        <v>150</v>
      </c>
      <c r="C31" s="14" t="s">
        <v>957</v>
      </c>
      <c r="D31" s="14" t="s">
        <v>957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987</v>
      </c>
      <c r="B32" s="14" t="s">
        <v>380</v>
      </c>
      <c r="C32" s="14" t="s">
        <v>957</v>
      </c>
      <c r="D32" s="14" t="s">
        <v>957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988</v>
      </c>
      <c r="B33" s="14" t="s">
        <v>231</v>
      </c>
      <c r="C33" s="14" t="s">
        <v>957</v>
      </c>
      <c r="D33" s="14" t="s">
        <v>957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989</v>
      </c>
      <c r="B34" s="14" t="s">
        <v>164</v>
      </c>
      <c r="C34" s="14">
        <v>10.0</v>
      </c>
      <c r="D34" s="14" t="s">
        <v>957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990</v>
      </c>
      <c r="B35" s="14" t="s">
        <v>130</v>
      </c>
      <c r="C35" s="16">
        <v>3.0</v>
      </c>
      <c r="D35" s="14" t="s">
        <v>957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991</v>
      </c>
      <c r="B36" s="14" t="s">
        <v>380</v>
      </c>
      <c r="C36" s="14" t="s">
        <v>957</v>
      </c>
      <c r="D36" s="14" t="s">
        <v>957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992</v>
      </c>
      <c r="B37" s="14" t="s">
        <v>411</v>
      </c>
      <c r="C37" s="14">
        <v>0.0</v>
      </c>
      <c r="D37" s="14" t="s">
        <v>957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993</v>
      </c>
      <c r="B38" s="14" t="s">
        <v>344</v>
      </c>
      <c r="C38" s="14" t="s">
        <v>957</v>
      </c>
      <c r="D38" s="14" t="s">
        <v>957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994</v>
      </c>
      <c r="B39" s="14" t="s">
        <v>225</v>
      </c>
      <c r="C39" s="16">
        <v>8.0</v>
      </c>
      <c r="D39" s="14" t="s">
        <v>957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2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995</v>
      </c>
      <c r="B40" s="17" t="s">
        <v>627</v>
      </c>
      <c r="C40" s="16">
        <v>3.0</v>
      </c>
      <c r="D40" s="17" t="s">
        <v>957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996</v>
      </c>
      <c r="B41" s="14" t="s">
        <v>378</v>
      </c>
      <c r="C41" s="14" t="s">
        <v>957</v>
      </c>
      <c r="D41" s="14" t="s">
        <v>957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997</v>
      </c>
      <c r="B42" s="14" t="s">
        <v>177</v>
      </c>
      <c r="C42" s="14" t="s">
        <v>957</v>
      </c>
      <c r="D42" s="14" t="s">
        <v>957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998</v>
      </c>
      <c r="B43" s="14" t="s">
        <v>268</v>
      </c>
      <c r="C43" s="14">
        <v>1.0</v>
      </c>
      <c r="D43" s="14" t="s">
        <v>957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999</v>
      </c>
      <c r="B44" s="14" t="s">
        <v>372</v>
      </c>
      <c r="C44" s="14" t="s">
        <v>957</v>
      </c>
      <c r="D44" s="14" t="s">
        <v>957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1000</v>
      </c>
      <c r="B45" s="14" t="s">
        <v>105</v>
      </c>
      <c r="C45" s="14" t="s">
        <v>957</v>
      </c>
      <c r="D45" s="14" t="s">
        <v>957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1001</v>
      </c>
      <c r="B46" s="14" t="s">
        <v>361</v>
      </c>
      <c r="C46" s="14" t="s">
        <v>957</v>
      </c>
      <c r="D46" s="14" t="s">
        <v>957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1002</v>
      </c>
      <c r="B47" s="14" t="s">
        <v>609</v>
      </c>
      <c r="C47" s="14">
        <v>0.0</v>
      </c>
      <c r="D47" s="14" t="s">
        <v>957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1003</v>
      </c>
      <c r="B48" s="14" t="s">
        <v>318</v>
      </c>
      <c r="C48" s="14" t="s">
        <v>957</v>
      </c>
      <c r="D48" s="14" t="s">
        <v>957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1004</v>
      </c>
      <c r="B49" s="14" t="s">
        <v>204</v>
      </c>
      <c r="C49" s="14" t="s">
        <v>957</v>
      </c>
      <c r="D49" s="14" t="s">
        <v>957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1005</v>
      </c>
      <c r="B50" s="14" t="s">
        <v>687</v>
      </c>
      <c r="C50" s="14">
        <v>8.0</v>
      </c>
      <c r="D50" s="14" t="s">
        <v>957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1006</v>
      </c>
      <c r="B51" s="14" t="s">
        <v>256</v>
      </c>
      <c r="C51" s="16">
        <v>12.0</v>
      </c>
      <c r="D51" s="14" t="s">
        <v>957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1007</v>
      </c>
      <c r="B52" s="14" t="s">
        <v>342</v>
      </c>
      <c r="C52" s="14" t="s">
        <v>957</v>
      </c>
      <c r="D52" s="14" t="s">
        <v>957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1008</v>
      </c>
      <c r="B53" s="14" t="s">
        <v>618</v>
      </c>
      <c r="C53" s="14" t="s">
        <v>957</v>
      </c>
      <c r="D53" s="14" t="s">
        <v>957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1009</v>
      </c>
      <c r="B54" s="14" t="s">
        <v>266</v>
      </c>
      <c r="C54" s="16">
        <v>1.0</v>
      </c>
      <c r="D54" s="14" t="s">
        <v>957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1010</v>
      </c>
      <c r="B55" s="14" t="s">
        <v>395</v>
      </c>
      <c r="C55" s="14" t="s">
        <v>957</v>
      </c>
      <c r="D55" s="14" t="s">
        <v>957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2">
        <v>3.69</v>
      </c>
      <c r="Q55" s="43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1011</v>
      </c>
      <c r="B56" s="14" t="s">
        <v>376</v>
      </c>
      <c r="C56" s="14" t="s">
        <v>957</v>
      </c>
      <c r="D56" s="14" t="s">
        <v>957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1012</v>
      </c>
      <c r="B57" s="14" t="s">
        <v>376</v>
      </c>
      <c r="C57" s="14" t="s">
        <v>957</v>
      </c>
      <c r="D57" s="14" t="s">
        <v>957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1013</v>
      </c>
      <c r="B58" s="14" t="s">
        <v>526</v>
      </c>
      <c r="C58" s="14">
        <v>2.0</v>
      </c>
      <c r="D58" s="14" t="s">
        <v>957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1014</v>
      </c>
      <c r="B59" s="17" t="s">
        <v>192</v>
      </c>
      <c r="C59" s="16">
        <v>2.0</v>
      </c>
      <c r="D59" s="17" t="s">
        <v>957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8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1015</v>
      </c>
      <c r="B60" s="14" t="s">
        <v>532</v>
      </c>
      <c r="C60" s="14" t="s">
        <v>957</v>
      </c>
      <c r="D60" s="14" t="s">
        <v>957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1016</v>
      </c>
      <c r="B61" s="14" t="s">
        <v>141</v>
      </c>
      <c r="C61" s="16">
        <v>7.0</v>
      </c>
      <c r="D61" s="14" t="s">
        <v>957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1017</v>
      </c>
      <c r="B62" s="14" t="s">
        <v>322</v>
      </c>
      <c r="C62" s="16">
        <v>23.0</v>
      </c>
      <c r="D62" s="14" t="s">
        <v>957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1018</v>
      </c>
      <c r="B63" s="14" t="s">
        <v>302</v>
      </c>
      <c r="C63" s="14">
        <v>15.0</v>
      </c>
      <c r="D63" s="14" t="s">
        <v>957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1019</v>
      </c>
      <c r="B64" s="14" t="s">
        <v>246</v>
      </c>
      <c r="C64" s="14">
        <v>1.0</v>
      </c>
      <c r="D64" s="14" t="s">
        <v>957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1020</v>
      </c>
      <c r="B65" s="14" t="s">
        <v>318</v>
      </c>
      <c r="C65" s="14" t="s">
        <v>957</v>
      </c>
      <c r="D65" s="14" t="s">
        <v>957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1021</v>
      </c>
      <c r="B66" s="14" t="s">
        <v>243</v>
      </c>
      <c r="C66" s="14" t="s">
        <v>957</v>
      </c>
      <c r="D66" s="14" t="s">
        <v>957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1022</v>
      </c>
      <c r="B67" s="14" t="s">
        <v>683</v>
      </c>
      <c r="C67" s="14" t="s">
        <v>957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1023</v>
      </c>
      <c r="B68" s="14" t="s">
        <v>605</v>
      </c>
      <c r="C68" s="14">
        <v>11.0</v>
      </c>
      <c r="D68" s="14" t="s">
        <v>957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1024</v>
      </c>
      <c r="B69" s="14" t="s">
        <v>179</v>
      </c>
      <c r="C69" s="16">
        <v>7.0</v>
      </c>
      <c r="D69" s="14" t="s">
        <v>957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1025</v>
      </c>
      <c r="B70" s="14" t="s">
        <v>243</v>
      </c>
      <c r="C70" s="14" t="s">
        <v>957</v>
      </c>
      <c r="D70" s="14" t="s">
        <v>957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1026</v>
      </c>
      <c r="B71" s="14" t="s">
        <v>398</v>
      </c>
      <c r="C71" s="14">
        <v>15.0</v>
      </c>
      <c r="D71" s="14" t="s">
        <v>957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1027</v>
      </c>
      <c r="B72" s="14" t="s">
        <v>179</v>
      </c>
      <c r="C72" s="14" t="s">
        <v>957</v>
      </c>
      <c r="D72" s="14" t="s">
        <v>957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1028</v>
      </c>
      <c r="B73" s="14" t="s">
        <v>342</v>
      </c>
      <c r="C73" s="14" t="s">
        <v>957</v>
      </c>
      <c r="D73" s="14" t="s">
        <v>957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1029</v>
      </c>
      <c r="B74" s="14" t="s">
        <v>138</v>
      </c>
      <c r="C74" s="14" t="s">
        <v>957</v>
      </c>
      <c r="D74" s="14" t="s">
        <v>957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1030</v>
      </c>
      <c r="B75" s="14" t="s">
        <v>400</v>
      </c>
      <c r="C75" s="14" t="s">
        <v>957</v>
      </c>
      <c r="D75" s="14" t="s">
        <v>957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1031</v>
      </c>
      <c r="B76" s="14" t="s">
        <v>502</v>
      </c>
      <c r="C76" s="14" t="s">
        <v>957</v>
      </c>
      <c r="D76" s="14" t="s">
        <v>957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1032</v>
      </c>
      <c r="B77" s="14" t="s">
        <v>571</v>
      </c>
      <c r="C77" s="14">
        <v>5.0</v>
      </c>
      <c r="D77" s="14" t="s">
        <v>957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1033</v>
      </c>
      <c r="B78" s="14" t="s">
        <v>472</v>
      </c>
      <c r="C78" s="14" t="s">
        <v>957</v>
      </c>
      <c r="D78" s="14" t="s">
        <v>957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1034</v>
      </c>
      <c r="B79" s="14" t="s">
        <v>618</v>
      </c>
      <c r="C79" s="14" t="s">
        <v>957</v>
      </c>
      <c r="D79" s="14" t="s">
        <v>957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1035</v>
      </c>
      <c r="B80" s="14" t="s">
        <v>502</v>
      </c>
      <c r="C80" s="14" t="s">
        <v>957</v>
      </c>
      <c r="D80" s="14" t="s">
        <v>957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1036</v>
      </c>
      <c r="B81" s="14" t="s">
        <v>645</v>
      </c>
      <c r="C81" s="14" t="s">
        <v>957</v>
      </c>
      <c r="D81" s="14" t="s">
        <v>957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1037</v>
      </c>
      <c r="B82" s="14" t="s">
        <v>102</v>
      </c>
      <c r="C82" s="14" t="s">
        <v>957</v>
      </c>
      <c r="D82" s="14" t="s">
        <v>957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1038</v>
      </c>
      <c r="B83" s="14" t="s">
        <v>196</v>
      </c>
      <c r="C83" s="16">
        <v>84.0</v>
      </c>
      <c r="D83" s="14" t="s">
        <v>957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1039</v>
      </c>
      <c r="B84" s="14" t="s">
        <v>105</v>
      </c>
      <c r="C84" s="14" t="s">
        <v>957</v>
      </c>
      <c r="D84" s="14" t="s">
        <v>957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1040</v>
      </c>
      <c r="B85" s="14" t="s">
        <v>748</v>
      </c>
      <c r="C85" s="14">
        <v>3.0</v>
      </c>
      <c r="D85" s="14" t="s">
        <v>957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1041</v>
      </c>
      <c r="B86" s="14" t="s">
        <v>374</v>
      </c>
      <c r="C86" s="14" t="s">
        <v>957</v>
      </c>
      <c r="D86" s="14" t="s">
        <v>957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1042</v>
      </c>
      <c r="B87" s="14" t="s">
        <v>566</v>
      </c>
      <c r="C87" s="14">
        <v>3.0</v>
      </c>
      <c r="D87" s="14" t="s">
        <v>957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1043</v>
      </c>
      <c r="B88" s="14" t="s">
        <v>444</v>
      </c>
      <c r="C88" s="16">
        <v>1.0</v>
      </c>
      <c r="D88" s="14" t="s">
        <v>957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1044</v>
      </c>
      <c r="B89" s="14" t="s">
        <v>346</v>
      </c>
      <c r="C89" s="14">
        <v>1.0</v>
      </c>
      <c r="D89" s="14" t="s">
        <v>957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1045</v>
      </c>
      <c r="B90" s="14" t="s">
        <v>549</v>
      </c>
      <c r="C90" s="14" t="s">
        <v>957</v>
      </c>
      <c r="D90" s="14" t="s">
        <v>957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1046</v>
      </c>
      <c r="B91" s="14" t="s">
        <v>162</v>
      </c>
      <c r="C91" s="14" t="s">
        <v>957</v>
      </c>
      <c r="D91" s="14" t="s">
        <v>957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1047</v>
      </c>
      <c r="B92" s="14" t="s">
        <v>389</v>
      </c>
      <c r="C92" s="14">
        <v>5.0</v>
      </c>
      <c r="D92" s="14" t="s">
        <v>957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1048</v>
      </c>
      <c r="B93" s="14" t="s">
        <v>158</v>
      </c>
      <c r="C93" s="14">
        <v>1.0</v>
      </c>
      <c r="D93" s="14" t="s">
        <v>957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1049</v>
      </c>
      <c r="B94" s="14" t="s">
        <v>514</v>
      </c>
      <c r="C94" s="14">
        <v>2.0</v>
      </c>
      <c r="D94" s="14" t="s">
        <v>957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1050</v>
      </c>
      <c r="B95" s="14" t="s">
        <v>528</v>
      </c>
      <c r="C95" s="14">
        <v>13.0</v>
      </c>
      <c r="D95" s="14" t="s">
        <v>957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1051</v>
      </c>
      <c r="B96" s="14" t="s">
        <v>438</v>
      </c>
      <c r="C96" s="14" t="s">
        <v>957</v>
      </c>
      <c r="D96" s="14" t="s">
        <v>957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1052</v>
      </c>
      <c r="B97" s="14" t="s">
        <v>121</v>
      </c>
      <c r="C97" s="14" t="s">
        <v>957</v>
      </c>
      <c r="D97" s="14" t="s">
        <v>957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1053</v>
      </c>
      <c r="B98" s="14" t="s">
        <v>580</v>
      </c>
      <c r="C98" s="14">
        <v>17.0</v>
      </c>
      <c r="D98" s="14" t="s">
        <v>957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1054</v>
      </c>
      <c r="B99" s="14" t="s">
        <v>124</v>
      </c>
      <c r="C99" s="14" t="s">
        <v>957</v>
      </c>
      <c r="D99" s="14" t="s">
        <v>957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1055</v>
      </c>
      <c r="B100" s="14" t="s">
        <v>609</v>
      </c>
      <c r="C100" s="14">
        <v>1.0</v>
      </c>
      <c r="D100" s="14" t="s">
        <v>957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1056</v>
      </c>
      <c r="B101" s="17" t="s">
        <v>262</v>
      </c>
      <c r="C101" s="18">
        <v>21.0</v>
      </c>
      <c r="D101" s="17" t="s">
        <v>957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8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1057</v>
      </c>
      <c r="B102" s="14" t="s">
        <v>498</v>
      </c>
      <c r="C102" s="16">
        <v>2.0</v>
      </c>
      <c r="D102" s="14" t="s">
        <v>957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1058</v>
      </c>
      <c r="B103" s="14" t="s">
        <v>250</v>
      </c>
      <c r="C103" s="14" t="s">
        <v>957</v>
      </c>
      <c r="D103" s="14" t="s">
        <v>957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1059</v>
      </c>
      <c r="B104" s="17" t="s">
        <v>510</v>
      </c>
      <c r="C104" s="18">
        <v>4.0</v>
      </c>
      <c r="D104" s="17" t="s">
        <v>957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8">
        <v>7.97</v>
      </c>
      <c r="O104" s="16">
        <v>8.31</v>
      </c>
      <c r="P104" s="44">
        <v>4.76</v>
      </c>
      <c r="Q104" s="45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1060</v>
      </c>
      <c r="B105" s="14" t="s">
        <v>467</v>
      </c>
      <c r="C105" s="14" t="s">
        <v>957</v>
      </c>
      <c r="D105" s="14" t="s">
        <v>957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4">
        <v>4.04</v>
      </c>
      <c r="Q105" s="46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1061</v>
      </c>
      <c r="B106" s="14" t="s">
        <v>162</v>
      </c>
      <c r="C106" s="14" t="s">
        <v>957</v>
      </c>
      <c r="D106" s="14" t="s">
        <v>957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1062</v>
      </c>
      <c r="B107" s="14" t="s">
        <v>552</v>
      </c>
      <c r="C107" s="14" t="s">
        <v>957</v>
      </c>
      <c r="D107" s="14" t="s">
        <v>957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1063</v>
      </c>
      <c r="B108" s="14" t="s">
        <v>210</v>
      </c>
      <c r="C108" s="14" t="s">
        <v>957</v>
      </c>
      <c r="D108" s="14" t="s">
        <v>957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1064</v>
      </c>
      <c r="B109" s="14" t="s">
        <v>306</v>
      </c>
      <c r="C109" s="14">
        <v>4.0</v>
      </c>
      <c r="D109" s="14" t="s">
        <v>957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1065</v>
      </c>
      <c r="B110" s="14" t="s">
        <v>185</v>
      </c>
      <c r="C110" s="14">
        <v>11.0</v>
      </c>
      <c r="D110" s="14" t="s">
        <v>957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1066</v>
      </c>
      <c r="B111" s="14" t="s">
        <v>428</v>
      </c>
      <c r="C111" s="14" t="s">
        <v>957</v>
      </c>
      <c r="D111" s="14" t="s">
        <v>957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1067</v>
      </c>
      <c r="B112" s="14" t="s">
        <v>204</v>
      </c>
      <c r="C112" s="14" t="s">
        <v>957</v>
      </c>
      <c r="D112" s="14" t="s">
        <v>957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1068</v>
      </c>
      <c r="B113" s="14" t="s">
        <v>422</v>
      </c>
      <c r="C113" s="14" t="s">
        <v>957</v>
      </c>
      <c r="D113" s="14" t="s">
        <v>957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1069</v>
      </c>
      <c r="B114" s="14" t="s">
        <v>246</v>
      </c>
      <c r="C114" s="14">
        <v>10.0</v>
      </c>
      <c r="D114" s="14" t="s">
        <v>957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1070</v>
      </c>
      <c r="B115" s="14" t="s">
        <v>170</v>
      </c>
      <c r="C115" s="14" t="s">
        <v>957</v>
      </c>
      <c r="D115" s="14" t="s">
        <v>957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1071</v>
      </c>
      <c r="B116" s="14" t="s">
        <v>280</v>
      </c>
      <c r="C116" s="14" t="s">
        <v>957</v>
      </c>
      <c r="D116" s="14" t="s">
        <v>957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1072</v>
      </c>
      <c r="B117" s="14" t="s">
        <v>117</v>
      </c>
      <c r="C117" s="14">
        <v>6.0</v>
      </c>
      <c r="D117" s="14" t="s">
        <v>957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1073</v>
      </c>
      <c r="B118" s="14" t="s">
        <v>346</v>
      </c>
      <c r="C118" s="14">
        <v>13.0</v>
      </c>
      <c r="D118" s="14" t="s">
        <v>957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1074</v>
      </c>
      <c r="B119" s="14" t="s">
        <v>208</v>
      </c>
      <c r="C119" s="14" t="s">
        <v>957</v>
      </c>
      <c r="D119" s="14" t="s">
        <v>957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1075</v>
      </c>
      <c r="B120" s="14" t="s">
        <v>462</v>
      </c>
      <c r="C120" s="14" t="s">
        <v>957</v>
      </c>
      <c r="D120" s="14" t="s">
        <v>957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1076</v>
      </c>
      <c r="B121" s="14" t="s">
        <v>711</v>
      </c>
      <c r="C121" s="14">
        <v>0.0</v>
      </c>
      <c r="D121" s="14" t="s">
        <v>957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1077</v>
      </c>
      <c r="B122" s="14" t="s">
        <v>432</v>
      </c>
      <c r="C122" s="14">
        <v>4.0</v>
      </c>
      <c r="D122" s="14" t="s">
        <v>957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1078</v>
      </c>
      <c r="B123" s="14" t="s">
        <v>121</v>
      </c>
      <c r="C123" s="14" t="s">
        <v>957</v>
      </c>
      <c r="D123" s="14" t="s">
        <v>957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1079</v>
      </c>
      <c r="B124" s="14" t="s">
        <v>568</v>
      </c>
      <c r="C124" s="14" t="s">
        <v>957</v>
      </c>
      <c r="D124" s="14" t="s">
        <v>957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1080</v>
      </c>
      <c r="B125" s="14" t="s">
        <v>225</v>
      </c>
      <c r="C125" s="14" t="s">
        <v>957</v>
      </c>
      <c r="D125" s="14" t="s">
        <v>957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1081</v>
      </c>
      <c r="B126" s="14" t="s">
        <v>229</v>
      </c>
      <c r="C126" s="14" t="s">
        <v>957</v>
      </c>
      <c r="D126" s="14" t="s">
        <v>957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1082</v>
      </c>
      <c r="B127" s="14" t="s">
        <v>286</v>
      </c>
      <c r="C127" s="14">
        <v>5.0</v>
      </c>
      <c r="D127" s="14" t="s">
        <v>957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1083</v>
      </c>
      <c r="B128" s="14" t="s">
        <v>652</v>
      </c>
      <c r="C128" s="14">
        <v>6.0</v>
      </c>
      <c r="D128" s="14" t="s">
        <v>957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1084</v>
      </c>
      <c r="B129" s="14" t="s">
        <v>538</v>
      </c>
      <c r="C129" s="14" t="s">
        <v>957</v>
      </c>
      <c r="D129" s="14" t="s">
        <v>957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1085</v>
      </c>
      <c r="B130" s="14" t="s">
        <v>476</v>
      </c>
      <c r="C130" s="14" t="s">
        <v>957</v>
      </c>
      <c r="D130" s="14" t="s">
        <v>957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1086</v>
      </c>
      <c r="B131" s="14" t="s">
        <v>204</v>
      </c>
      <c r="C131" s="14" t="s">
        <v>957</v>
      </c>
      <c r="D131" s="14" t="s">
        <v>957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1087</v>
      </c>
      <c r="B132" s="14" t="s">
        <v>470</v>
      </c>
      <c r="C132" s="14" t="s">
        <v>957</v>
      </c>
      <c r="D132" s="14" t="s">
        <v>957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1088</v>
      </c>
      <c r="B133" s="14" t="s">
        <v>494</v>
      </c>
      <c r="C133" s="14" t="s">
        <v>957</v>
      </c>
      <c r="D133" s="14" t="s">
        <v>957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1089</v>
      </c>
      <c r="B134" s="14" t="s">
        <v>292</v>
      </c>
      <c r="C134" s="14" t="s">
        <v>957</v>
      </c>
      <c r="D134" s="14" t="s">
        <v>957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1090</v>
      </c>
      <c r="B135" s="14" t="s">
        <v>1091</v>
      </c>
      <c r="C135" s="14" t="s">
        <v>957</v>
      </c>
      <c r="D135" s="14" t="s">
        <v>957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1092</v>
      </c>
      <c r="B136" s="14" t="s">
        <v>306</v>
      </c>
      <c r="C136" s="14">
        <v>1.0</v>
      </c>
      <c r="D136" s="14" t="s">
        <v>957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1093</v>
      </c>
      <c r="B137" s="14" t="s">
        <v>302</v>
      </c>
      <c r="C137" s="14">
        <v>0.0</v>
      </c>
      <c r="D137" s="14" t="s">
        <v>957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1094</v>
      </c>
      <c r="B138" s="14" t="s">
        <v>398</v>
      </c>
      <c r="C138" s="14">
        <v>1.0</v>
      </c>
      <c r="D138" s="14" t="s">
        <v>957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1095</v>
      </c>
      <c r="B139" s="14" t="s">
        <v>296</v>
      </c>
      <c r="C139" s="14">
        <v>7.0</v>
      </c>
      <c r="D139" s="14" t="s">
        <v>957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1096</v>
      </c>
      <c r="B140" s="14" t="s">
        <v>494</v>
      </c>
      <c r="C140" s="14" t="s">
        <v>957</v>
      </c>
      <c r="D140" s="14" t="s">
        <v>957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1097</v>
      </c>
      <c r="B141" s="14" t="s">
        <v>130</v>
      </c>
      <c r="C141" s="14" t="s">
        <v>957</v>
      </c>
      <c r="D141" s="14" t="s">
        <v>957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1098</v>
      </c>
      <c r="B142" s="14" t="s">
        <v>296</v>
      </c>
      <c r="C142" s="14">
        <v>1.0</v>
      </c>
      <c r="D142" s="14" t="s">
        <v>957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1099</v>
      </c>
      <c r="B143" s="14" t="s">
        <v>158</v>
      </c>
      <c r="C143" s="14">
        <v>84.0</v>
      </c>
      <c r="D143" s="14" t="s">
        <v>957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1100</v>
      </c>
      <c r="B144" s="14" t="s">
        <v>504</v>
      </c>
      <c r="C144" s="14" t="s">
        <v>957</v>
      </c>
      <c r="D144" s="14" t="s">
        <v>957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1101</v>
      </c>
      <c r="B145" s="14" t="s">
        <v>717</v>
      </c>
      <c r="C145" s="14">
        <v>2.0</v>
      </c>
      <c r="D145" s="14" t="s">
        <v>957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1102</v>
      </c>
      <c r="B146" s="14" t="s">
        <v>748</v>
      </c>
      <c r="C146" s="14">
        <v>5.0</v>
      </c>
      <c r="D146" s="14" t="s">
        <v>957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1103</v>
      </c>
      <c r="B147" s="14" t="s">
        <v>566</v>
      </c>
      <c r="C147" s="14">
        <v>1.0</v>
      </c>
      <c r="D147" s="14" t="s">
        <v>957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1104</v>
      </c>
      <c r="B148" s="14" t="s">
        <v>152</v>
      </c>
      <c r="C148" s="14" t="s">
        <v>957</v>
      </c>
      <c r="D148" s="14" t="s">
        <v>957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1105</v>
      </c>
      <c r="B149" s="14" t="s">
        <v>467</v>
      </c>
      <c r="C149" s="14" t="s">
        <v>957</v>
      </c>
      <c r="D149" s="14" t="s">
        <v>957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1106</v>
      </c>
      <c r="B150" s="14" t="s">
        <v>591</v>
      </c>
      <c r="C150" s="14" t="s">
        <v>957</v>
      </c>
      <c r="D150" s="14" t="s">
        <v>957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1107</v>
      </c>
      <c r="B151" s="14" t="s">
        <v>260</v>
      </c>
      <c r="C151" s="14" t="s">
        <v>957</v>
      </c>
      <c r="D151" s="14" t="s">
        <v>957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1108</v>
      </c>
      <c r="B152" s="17" t="s">
        <v>711</v>
      </c>
      <c r="C152" s="18">
        <v>3.0</v>
      </c>
      <c r="D152" s="17" t="s">
        <v>957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8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1109</v>
      </c>
      <c r="B153" s="14" t="s">
        <v>284</v>
      </c>
      <c r="C153" s="14" t="s">
        <v>957</v>
      </c>
      <c r="D153" s="14" t="s">
        <v>957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1110</v>
      </c>
      <c r="B154" s="14" t="s">
        <v>476</v>
      </c>
      <c r="C154" s="14" t="s">
        <v>957</v>
      </c>
      <c r="D154" s="14" t="s">
        <v>957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1111</v>
      </c>
      <c r="B155" s="14" t="s">
        <v>506</v>
      </c>
      <c r="C155" s="14">
        <v>0.0</v>
      </c>
      <c r="D155" s="14" t="s">
        <v>957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1112</v>
      </c>
      <c r="B156" s="14" t="s">
        <v>704</v>
      </c>
      <c r="C156" s="14" t="s">
        <v>957</v>
      </c>
      <c r="D156" s="14" t="s">
        <v>957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1113</v>
      </c>
      <c r="B157" s="14" t="s">
        <v>478</v>
      </c>
      <c r="C157" s="14" t="s">
        <v>957</v>
      </c>
      <c r="D157" s="14" t="s">
        <v>957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1114</v>
      </c>
      <c r="B158" s="14" t="s">
        <v>170</v>
      </c>
      <c r="C158" s="14" t="s">
        <v>957</v>
      </c>
      <c r="D158" s="14" t="s">
        <v>957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1115</v>
      </c>
      <c r="B159" s="14" t="s">
        <v>1091</v>
      </c>
      <c r="C159" s="14" t="s">
        <v>957</v>
      </c>
      <c r="D159" s="14" t="s">
        <v>957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1116</v>
      </c>
      <c r="B160" s="14" t="s">
        <v>170</v>
      </c>
      <c r="C160" s="14" t="s">
        <v>957</v>
      </c>
      <c r="D160" s="14" t="s">
        <v>957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1117</v>
      </c>
      <c r="B161" s="14" t="s">
        <v>202</v>
      </c>
      <c r="C161" s="14" t="s">
        <v>957</v>
      </c>
      <c r="D161" s="14" t="s">
        <v>957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1118</v>
      </c>
      <c r="B162" s="14" t="s">
        <v>385</v>
      </c>
      <c r="C162" s="14" t="s">
        <v>957</v>
      </c>
      <c r="D162" s="14" t="s">
        <v>957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1119</v>
      </c>
      <c r="B163" s="14" t="s">
        <v>578</v>
      </c>
      <c r="C163" s="14">
        <v>9.0</v>
      </c>
      <c r="D163" s="14" t="s">
        <v>957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1120</v>
      </c>
      <c r="B164" s="14" t="s">
        <v>526</v>
      </c>
      <c r="C164" s="14">
        <v>17.0</v>
      </c>
      <c r="D164" s="14" t="s">
        <v>957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1121</v>
      </c>
      <c r="B165" s="14" t="s">
        <v>420</v>
      </c>
      <c r="C165" s="14">
        <v>9.0</v>
      </c>
      <c r="D165" s="14" t="s">
        <v>957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1122</v>
      </c>
      <c r="B166" s="14" t="s">
        <v>524</v>
      </c>
      <c r="C166" s="14" t="s">
        <v>957</v>
      </c>
      <c r="D166" s="14" t="s">
        <v>957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1123</v>
      </c>
      <c r="B167" s="14" t="s">
        <v>356</v>
      </c>
      <c r="C167" s="14">
        <v>3.0</v>
      </c>
      <c r="D167" s="14" t="s">
        <v>957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1124</v>
      </c>
      <c r="B168" s="14" t="s">
        <v>177</v>
      </c>
      <c r="C168" s="14" t="s">
        <v>957</v>
      </c>
      <c r="D168" s="14" t="s">
        <v>957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7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1125</v>
      </c>
      <c r="B169" s="14" t="s">
        <v>334</v>
      </c>
      <c r="C169" s="14">
        <v>2.0</v>
      </c>
      <c r="D169" s="14" t="s">
        <v>957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1126</v>
      </c>
      <c r="B170" s="17" t="s">
        <v>563</v>
      </c>
      <c r="C170" s="18">
        <v>7.0</v>
      </c>
      <c r="D170" s="17" t="s">
        <v>957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8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8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1127</v>
      </c>
      <c r="B171" s="14" t="s">
        <v>663</v>
      </c>
      <c r="C171" s="14" t="s">
        <v>957</v>
      </c>
      <c r="D171" s="14" t="s">
        <v>957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1128</v>
      </c>
      <c r="B172" s="14" t="s">
        <v>470</v>
      </c>
      <c r="C172" s="14" t="s">
        <v>957</v>
      </c>
      <c r="D172" s="14" t="s">
        <v>957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1129</v>
      </c>
      <c r="B173" s="14" t="s">
        <v>428</v>
      </c>
      <c r="C173" s="14" t="s">
        <v>957</v>
      </c>
      <c r="D173" s="14" t="s">
        <v>957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1130</v>
      </c>
      <c r="B174" s="14" t="s">
        <v>322</v>
      </c>
      <c r="C174" s="14" t="s">
        <v>957</v>
      </c>
      <c r="D174" s="14" t="s">
        <v>957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1131</v>
      </c>
      <c r="B175" s="14" t="s">
        <v>478</v>
      </c>
      <c r="C175" s="14" t="s">
        <v>957</v>
      </c>
      <c r="D175" s="14" t="s">
        <v>957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1132</v>
      </c>
      <c r="B176" s="14" t="s">
        <v>298</v>
      </c>
      <c r="C176" s="14" t="s">
        <v>957</v>
      </c>
      <c r="D176" s="14" t="s">
        <v>957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1133</v>
      </c>
      <c r="B177" s="14" t="s">
        <v>532</v>
      </c>
      <c r="C177" s="14" t="s">
        <v>957</v>
      </c>
      <c r="D177" s="14" t="s">
        <v>957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1134</v>
      </c>
      <c r="B178" s="14" t="s">
        <v>485</v>
      </c>
      <c r="C178" s="14" t="s">
        <v>957</v>
      </c>
      <c r="D178" s="14" t="s">
        <v>957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1135</v>
      </c>
      <c r="B179" s="14" t="s">
        <v>438</v>
      </c>
      <c r="C179" s="14" t="s">
        <v>957</v>
      </c>
      <c r="D179" s="14" t="s">
        <v>957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1136</v>
      </c>
      <c r="B180" s="14" t="s">
        <v>598</v>
      </c>
      <c r="C180" s="14" t="s">
        <v>957</v>
      </c>
      <c r="D180" s="14" t="s">
        <v>957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1137</v>
      </c>
      <c r="B181" s="14" t="s">
        <v>324</v>
      </c>
      <c r="C181" s="14" t="s">
        <v>957</v>
      </c>
      <c r="D181" s="14" t="s">
        <v>957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1138</v>
      </c>
      <c r="B182" s="14" t="s">
        <v>132</v>
      </c>
      <c r="C182" s="14">
        <v>1.0</v>
      </c>
      <c r="D182" s="14" t="s">
        <v>957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1139</v>
      </c>
      <c r="B183" s="14" t="s">
        <v>602</v>
      </c>
      <c r="C183" s="14" t="s">
        <v>957</v>
      </c>
      <c r="D183" s="14" t="s">
        <v>957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1140</v>
      </c>
      <c r="B184" s="14" t="s">
        <v>444</v>
      </c>
      <c r="C184" s="14" t="s">
        <v>957</v>
      </c>
      <c r="D184" s="14" t="s">
        <v>957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1141</v>
      </c>
      <c r="B185" s="17" t="s">
        <v>354</v>
      </c>
      <c r="D185" s="17" t="s">
        <v>957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8">
        <v>7.88</v>
      </c>
      <c r="O185" s="16">
        <v>2.55</v>
      </c>
      <c r="P185" s="38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1141</v>
      </c>
      <c r="B186" s="14" t="s">
        <v>354</v>
      </c>
      <c r="C186" s="14" t="s">
        <v>957</v>
      </c>
      <c r="D186" s="14" t="s">
        <v>957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1142</v>
      </c>
      <c r="B187" s="14" t="s">
        <v>393</v>
      </c>
      <c r="C187" s="14" t="s">
        <v>957</v>
      </c>
      <c r="D187" s="14" t="s">
        <v>957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1143</v>
      </c>
      <c r="B188" s="14" t="s">
        <v>586</v>
      </c>
      <c r="C188" s="14">
        <v>23.0</v>
      </c>
      <c r="D188" s="14" t="s">
        <v>957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1144</v>
      </c>
      <c r="B189" s="14" t="s">
        <v>310</v>
      </c>
      <c r="C189" s="14" t="s">
        <v>957</v>
      </c>
      <c r="D189" s="14" t="s">
        <v>957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1145</v>
      </c>
      <c r="B190" s="14" t="s">
        <v>170</v>
      </c>
      <c r="C190" s="14" t="s">
        <v>957</v>
      </c>
      <c r="D190" s="14" t="s">
        <v>957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1146</v>
      </c>
      <c r="B191" s="17" t="s">
        <v>370</v>
      </c>
      <c r="C191" s="18">
        <v>18.0</v>
      </c>
      <c r="D191" s="17" t="s">
        <v>957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8">
        <v>4.79</v>
      </c>
      <c r="O191" s="16">
        <v>2.45</v>
      </c>
      <c r="P191" s="38">
        <v>3.76</v>
      </c>
      <c r="Q191" s="38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1147</v>
      </c>
      <c r="B192" s="14" t="s">
        <v>102</v>
      </c>
      <c r="C192" s="14" t="s">
        <v>957</v>
      </c>
      <c r="D192" s="14" t="s">
        <v>957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1148</v>
      </c>
      <c r="B193" s="14" t="s">
        <v>358</v>
      </c>
      <c r="C193" s="14" t="s">
        <v>957</v>
      </c>
      <c r="D193" s="14" t="s">
        <v>957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1149</v>
      </c>
      <c r="B194" s="14" t="s">
        <v>138</v>
      </c>
      <c r="C194" s="14" t="s">
        <v>957</v>
      </c>
      <c r="D194" s="14" t="s">
        <v>957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1150</v>
      </c>
      <c r="B195" s="14" t="s">
        <v>380</v>
      </c>
      <c r="C195" s="14" t="s">
        <v>957</v>
      </c>
      <c r="D195" s="14" t="s">
        <v>957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1151</v>
      </c>
      <c r="B196" s="14" t="s">
        <v>411</v>
      </c>
      <c r="C196" s="14">
        <v>3.0</v>
      </c>
      <c r="D196" s="14" t="s">
        <v>957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1152</v>
      </c>
      <c r="B197" s="14" t="s">
        <v>320</v>
      </c>
      <c r="C197" s="14" t="s">
        <v>957</v>
      </c>
      <c r="D197" s="14" t="s">
        <v>957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1153</v>
      </c>
      <c r="B198" s="14" t="s">
        <v>243</v>
      </c>
      <c r="C198" s="14" t="s">
        <v>957</v>
      </c>
      <c r="D198" s="14" t="s">
        <v>957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1154</v>
      </c>
      <c r="B199" s="14" t="s">
        <v>596</v>
      </c>
      <c r="C199" s="14" t="s">
        <v>957</v>
      </c>
      <c r="D199" s="14" t="s">
        <v>957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1155</v>
      </c>
      <c r="B200" s="14" t="s">
        <v>571</v>
      </c>
      <c r="C200" s="14">
        <v>0.0</v>
      </c>
      <c r="D200" s="14" t="s">
        <v>957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1156</v>
      </c>
      <c r="B201" s="14" t="s">
        <v>185</v>
      </c>
      <c r="C201" s="14">
        <v>16.0</v>
      </c>
      <c r="D201" s="14" t="s">
        <v>957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1157</v>
      </c>
      <c r="B202" s="14" t="s">
        <v>409</v>
      </c>
      <c r="C202" s="14">
        <v>82.0</v>
      </c>
      <c r="D202" s="14" t="s">
        <v>957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1158</v>
      </c>
      <c r="B203" s="14" t="s">
        <v>387</v>
      </c>
      <c r="C203" s="14">
        <v>3.0</v>
      </c>
      <c r="D203" s="14" t="s">
        <v>957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1159</v>
      </c>
      <c r="B204" s="14" t="s">
        <v>310</v>
      </c>
      <c r="C204" s="14" t="s">
        <v>957</v>
      </c>
      <c r="D204" s="14" t="s">
        <v>957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1160</v>
      </c>
      <c r="B205" s="14" t="s">
        <v>385</v>
      </c>
      <c r="C205" s="14" t="s">
        <v>957</v>
      </c>
      <c r="D205" s="14" t="s">
        <v>957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1161</v>
      </c>
      <c r="B206" s="14" t="s">
        <v>456</v>
      </c>
      <c r="C206" s="14">
        <v>3.0</v>
      </c>
      <c r="D206" s="14" t="s">
        <v>957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1162</v>
      </c>
      <c r="B207" s="14" t="s">
        <v>374</v>
      </c>
      <c r="C207" s="14" t="s">
        <v>957</v>
      </c>
      <c r="D207" s="14" t="s">
        <v>957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1163</v>
      </c>
      <c r="B208" s="14" t="s">
        <v>296</v>
      </c>
      <c r="C208" s="14">
        <v>5.0</v>
      </c>
      <c r="D208" s="14" t="s">
        <v>957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1164</v>
      </c>
      <c r="B209" s="14" t="s">
        <v>243</v>
      </c>
      <c r="C209" s="14" t="s">
        <v>957</v>
      </c>
      <c r="D209" s="14" t="s">
        <v>957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1165</v>
      </c>
      <c r="B210" s="25" t="s">
        <v>496</v>
      </c>
      <c r="C210" s="25">
        <v>11.0</v>
      </c>
      <c r="D210" s="25" t="s">
        <v>957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9">
        <v>4.49</v>
      </c>
      <c r="L210" s="49">
        <v>25.44</v>
      </c>
      <c r="M210" s="15"/>
      <c r="N210" s="38">
        <v>4.49</v>
      </c>
      <c r="O210" s="38">
        <v>2.05</v>
      </c>
      <c r="P210" s="16">
        <v>5.2</v>
      </c>
      <c r="Q210" s="38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1166</v>
      </c>
      <c r="B211" s="14" t="s">
        <v>378</v>
      </c>
      <c r="C211" s="14" t="s">
        <v>957</v>
      </c>
      <c r="D211" s="14" t="s">
        <v>957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1167</v>
      </c>
      <c r="B212" s="14" t="s">
        <v>150</v>
      </c>
      <c r="C212" s="14" t="s">
        <v>957</v>
      </c>
      <c r="D212" s="14" t="s">
        <v>957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1168</v>
      </c>
      <c r="B213" s="14" t="s">
        <v>627</v>
      </c>
      <c r="C213" s="16">
        <v>1.0</v>
      </c>
      <c r="D213" s="14" t="s">
        <v>957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1169</v>
      </c>
      <c r="B214" s="17" t="s">
        <v>121</v>
      </c>
      <c r="D214" s="17" t="s">
        <v>957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8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1170</v>
      </c>
      <c r="B215" s="14" t="s">
        <v>391</v>
      </c>
      <c r="C215" s="14">
        <v>19.0</v>
      </c>
      <c r="D215" s="14" t="s">
        <v>957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1171</v>
      </c>
      <c r="B216" s="14" t="s">
        <v>338</v>
      </c>
      <c r="C216" s="14" t="s">
        <v>957</v>
      </c>
      <c r="D216" s="14" t="s">
        <v>957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1172</v>
      </c>
      <c r="B217" s="14" t="s">
        <v>268</v>
      </c>
      <c r="C217" s="14">
        <v>2.0</v>
      </c>
      <c r="D217" s="14" t="s">
        <v>957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1173</v>
      </c>
      <c r="B218" s="14" t="s">
        <v>474</v>
      </c>
      <c r="C218" s="14">
        <v>2.0</v>
      </c>
      <c r="D218" s="14" t="s">
        <v>957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1174</v>
      </c>
      <c r="B219" s="14" t="s">
        <v>665</v>
      </c>
      <c r="C219" s="14" t="s">
        <v>957</v>
      </c>
      <c r="D219" s="14" t="s">
        <v>957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1175</v>
      </c>
      <c r="B220" s="14" t="s">
        <v>164</v>
      </c>
      <c r="C220" s="14">
        <v>22.0</v>
      </c>
      <c r="D220" s="14" t="s">
        <v>957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1176</v>
      </c>
      <c r="B221" s="14" t="s">
        <v>250</v>
      </c>
      <c r="C221" s="14" t="s">
        <v>957</v>
      </c>
      <c r="D221" s="14" t="s">
        <v>957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1177</v>
      </c>
      <c r="B222" s="14" t="s">
        <v>524</v>
      </c>
      <c r="C222" s="14" t="s">
        <v>957</v>
      </c>
      <c r="D222" s="14" t="s">
        <v>957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1178</v>
      </c>
      <c r="B223" s="14" t="s">
        <v>233</v>
      </c>
      <c r="C223" s="14">
        <v>18.0</v>
      </c>
      <c r="D223" s="14" t="s">
        <v>957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1179</v>
      </c>
      <c r="B224" s="14" t="s">
        <v>538</v>
      </c>
      <c r="C224" s="14" t="s">
        <v>957</v>
      </c>
      <c r="D224" s="14" t="s">
        <v>957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1180</v>
      </c>
      <c r="B225" s="14" t="s">
        <v>422</v>
      </c>
      <c r="C225" s="14" t="s">
        <v>957</v>
      </c>
      <c r="D225" s="14" t="s">
        <v>957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1181</v>
      </c>
      <c r="B226" s="14" t="s">
        <v>711</v>
      </c>
      <c r="C226" s="14">
        <v>9.0</v>
      </c>
      <c r="D226" s="14" t="s">
        <v>957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1182</v>
      </c>
      <c r="B227" s="14" t="s">
        <v>748</v>
      </c>
      <c r="C227" s="14">
        <v>2.0</v>
      </c>
      <c r="D227" s="14" t="s">
        <v>957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1183</v>
      </c>
      <c r="B228" s="14" t="s">
        <v>416</v>
      </c>
      <c r="C228" s="14" t="s">
        <v>957</v>
      </c>
      <c r="D228" s="14" t="s">
        <v>957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1184</v>
      </c>
      <c r="B229" s="14" t="s">
        <v>278</v>
      </c>
      <c r="C229" s="14">
        <v>1.0</v>
      </c>
      <c r="D229" s="14" t="s">
        <v>957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1185</v>
      </c>
      <c r="B230" s="14" t="s">
        <v>549</v>
      </c>
      <c r="D230" s="14" t="s">
        <v>957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50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1186</v>
      </c>
      <c r="B231" s="14" t="s">
        <v>474</v>
      </c>
      <c r="C231" s="14">
        <v>8.0</v>
      </c>
      <c r="D231" s="14" t="s">
        <v>957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1187</v>
      </c>
      <c r="B232" s="14" t="s">
        <v>426</v>
      </c>
      <c r="C232" s="14">
        <v>18.0</v>
      </c>
      <c r="D232" s="14" t="s">
        <v>957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1188</v>
      </c>
      <c r="B233" s="14" t="s">
        <v>494</v>
      </c>
      <c r="C233" s="14" t="s">
        <v>957</v>
      </c>
      <c r="D233" s="14" t="s">
        <v>957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1189</v>
      </c>
      <c r="B234" s="14" t="s">
        <v>395</v>
      </c>
      <c r="C234" s="14" t="s">
        <v>957</v>
      </c>
      <c r="D234" s="14" t="s">
        <v>957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1190</v>
      </c>
      <c r="B235" s="14" t="s">
        <v>138</v>
      </c>
      <c r="C235" s="14" t="s">
        <v>957</v>
      </c>
      <c r="D235" s="14" t="s">
        <v>957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1191</v>
      </c>
      <c r="B236" s="14" t="s">
        <v>514</v>
      </c>
      <c r="C236" s="14">
        <v>3.0</v>
      </c>
      <c r="D236" s="14" t="s">
        <v>957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1192</v>
      </c>
      <c r="B237" s="14" t="s">
        <v>409</v>
      </c>
      <c r="C237" s="14">
        <v>18.0</v>
      </c>
      <c r="D237" s="14" t="s">
        <v>957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1193</v>
      </c>
      <c r="B238" s="17" t="s">
        <v>586</v>
      </c>
      <c r="C238" s="18">
        <v>6.0</v>
      </c>
      <c r="D238" s="17" t="s">
        <v>957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1194</v>
      </c>
      <c r="B239" s="14" t="s">
        <v>444</v>
      </c>
      <c r="C239" s="14" t="s">
        <v>957</v>
      </c>
      <c r="D239" s="14" t="s">
        <v>957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1195</v>
      </c>
      <c r="B240" s="14" t="s">
        <v>302</v>
      </c>
      <c r="C240" s="14">
        <v>9.0</v>
      </c>
      <c r="D240" s="14" t="s">
        <v>957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1196</v>
      </c>
      <c r="B241" s="14" t="s">
        <v>400</v>
      </c>
      <c r="C241" s="14" t="s">
        <v>957</v>
      </c>
      <c r="D241" s="14" t="s">
        <v>957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1197</v>
      </c>
      <c r="B242" s="14" t="s">
        <v>545</v>
      </c>
      <c r="C242" s="14">
        <v>5.0</v>
      </c>
      <c r="D242" s="14" t="s">
        <v>957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1198</v>
      </c>
      <c r="B243" s="14" t="s">
        <v>284</v>
      </c>
      <c r="C243" s="14" t="s">
        <v>957</v>
      </c>
      <c r="D243" s="14" t="s">
        <v>957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1199</v>
      </c>
      <c r="B244" s="14" t="s">
        <v>683</v>
      </c>
      <c r="C244" s="14" t="s">
        <v>957</v>
      </c>
      <c r="D244" s="14" t="s">
        <v>957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1200</v>
      </c>
      <c r="B245" s="14" t="s">
        <v>467</v>
      </c>
      <c r="C245" s="14" t="s">
        <v>957</v>
      </c>
      <c r="D245" s="14" t="s">
        <v>957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1201</v>
      </c>
      <c r="B246" s="14" t="s">
        <v>656</v>
      </c>
      <c r="C246" s="14" t="s">
        <v>957</v>
      </c>
      <c r="D246" s="14" t="s">
        <v>957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1202</v>
      </c>
      <c r="B247" s="14" t="s">
        <v>300</v>
      </c>
      <c r="C247" s="14">
        <v>81.0</v>
      </c>
      <c r="D247" s="14" t="s">
        <v>957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1203</v>
      </c>
      <c r="B248" s="14" t="s">
        <v>290</v>
      </c>
      <c r="C248" s="14" t="s">
        <v>957</v>
      </c>
      <c r="D248" s="14" t="s">
        <v>957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1204</v>
      </c>
      <c r="B249" s="14" t="s">
        <v>334</v>
      </c>
      <c r="C249" s="14">
        <v>7.0</v>
      </c>
      <c r="D249" s="14" t="s">
        <v>957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1205</v>
      </c>
      <c r="B250" s="17" t="s">
        <v>591</v>
      </c>
      <c r="C250" s="16">
        <v>14.0</v>
      </c>
      <c r="D250" s="17" t="s">
        <v>957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1206</v>
      </c>
      <c r="B251" s="14" t="s">
        <v>338</v>
      </c>
      <c r="C251" s="14" t="s">
        <v>957</v>
      </c>
      <c r="D251" s="14" t="s">
        <v>957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1207</v>
      </c>
      <c r="B252" s="14" t="s">
        <v>554</v>
      </c>
      <c r="C252" s="14" t="s">
        <v>957</v>
      </c>
      <c r="D252" s="14" t="s">
        <v>957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1208</v>
      </c>
      <c r="B253" s="14" t="s">
        <v>498</v>
      </c>
      <c r="C253" s="14" t="s">
        <v>957</v>
      </c>
      <c r="D253" s="14" t="s">
        <v>957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1209</v>
      </c>
      <c r="B254" s="14" t="s">
        <v>440</v>
      </c>
      <c r="C254" s="14">
        <v>11.0</v>
      </c>
      <c r="D254" s="14" t="s">
        <v>957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1210</v>
      </c>
      <c r="B255" s="14" t="s">
        <v>344</v>
      </c>
      <c r="C255" s="14" t="s">
        <v>957</v>
      </c>
      <c r="D255" s="14" t="s">
        <v>957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1211</v>
      </c>
      <c r="B256" s="14" t="s">
        <v>758</v>
      </c>
      <c r="C256" s="14" t="s">
        <v>957</v>
      </c>
      <c r="D256" s="14" t="s">
        <v>957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1212</v>
      </c>
      <c r="B257" s="14" t="s">
        <v>532</v>
      </c>
      <c r="C257" s="14" t="s">
        <v>957</v>
      </c>
      <c r="D257" s="14" t="s">
        <v>957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1213</v>
      </c>
      <c r="B258" s="14" t="s">
        <v>554</v>
      </c>
      <c r="C258" s="14" t="s">
        <v>957</v>
      </c>
      <c r="D258" s="14" t="s">
        <v>957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1214</v>
      </c>
      <c r="B259" s="14" t="s">
        <v>298</v>
      </c>
      <c r="C259" s="14" t="s">
        <v>957</v>
      </c>
      <c r="D259" s="14" t="s">
        <v>957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1215</v>
      </c>
      <c r="B260" s="14" t="s">
        <v>591</v>
      </c>
      <c r="C260" s="14" t="s">
        <v>957</v>
      </c>
      <c r="D260" s="14" t="s">
        <v>957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1216</v>
      </c>
      <c r="B261" s="14" t="s">
        <v>490</v>
      </c>
      <c r="C261" s="14" t="s">
        <v>957</v>
      </c>
      <c r="D261" s="14" t="s">
        <v>957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1217</v>
      </c>
      <c r="B262" s="14" t="s">
        <v>492</v>
      </c>
      <c r="C262" s="14" t="s">
        <v>957</v>
      </c>
      <c r="D262" s="14" t="s">
        <v>957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1218</v>
      </c>
      <c r="B263" s="14" t="s">
        <v>518</v>
      </c>
      <c r="C263" s="14">
        <v>6.0</v>
      </c>
      <c r="D263" s="14" t="s">
        <v>957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1219</v>
      </c>
      <c r="B264" s="14" t="s">
        <v>526</v>
      </c>
      <c r="C264" s="14">
        <v>14.0</v>
      </c>
      <c r="D264" s="14" t="s">
        <v>957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1220</v>
      </c>
      <c r="B265" s="14" t="s">
        <v>202</v>
      </c>
      <c r="C265" s="14" t="s">
        <v>957</v>
      </c>
      <c r="D265" s="14" t="s">
        <v>957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1221</v>
      </c>
      <c r="B266" s="14" t="s">
        <v>780</v>
      </c>
      <c r="C266" s="14" t="s">
        <v>957</v>
      </c>
      <c r="D266" s="14" t="s">
        <v>957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1222</v>
      </c>
      <c r="B267" s="17" t="s">
        <v>480</v>
      </c>
      <c r="C267" s="18">
        <v>0.0</v>
      </c>
      <c r="D267" s="17" t="s">
        <v>957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8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1223</v>
      </c>
      <c r="Q1" s="20" t="s">
        <v>86</v>
      </c>
      <c r="R1" s="14" t="s">
        <v>88</v>
      </c>
      <c r="S1" s="14" t="s">
        <v>89</v>
      </c>
      <c r="T1" s="14" t="s">
        <v>953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1224</v>
      </c>
      <c r="B2" s="14" t="s">
        <v>387</v>
      </c>
      <c r="C2" s="14">
        <v>80.0</v>
      </c>
      <c r="D2" s="14" t="s">
        <v>1225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1224</v>
      </c>
      <c r="O2" s="14" t="s">
        <v>1226</v>
      </c>
      <c r="P2" s="14" t="s">
        <v>1227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1228</v>
      </c>
      <c r="B3" s="14" t="s">
        <v>246</v>
      </c>
      <c r="C3" s="14">
        <v>8.0</v>
      </c>
      <c r="D3" s="14" t="s">
        <v>1225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1228</v>
      </c>
      <c r="O3" s="14" t="s">
        <v>1229</v>
      </c>
      <c r="P3" s="14" t="s">
        <v>1227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1230</v>
      </c>
      <c r="B4" s="14" t="s">
        <v>656</v>
      </c>
      <c r="C4" s="16">
        <v>85.0</v>
      </c>
      <c r="D4" s="14" t="s">
        <v>1225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1230</v>
      </c>
      <c r="O4" s="14" t="s">
        <v>1231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1232</v>
      </c>
      <c r="B5" s="14" t="s">
        <v>580</v>
      </c>
      <c r="C5" s="14">
        <v>88.0</v>
      </c>
      <c r="D5" s="14" t="s">
        <v>1225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1232</v>
      </c>
      <c r="O5" s="14" t="s">
        <v>1233</v>
      </c>
      <c r="P5" s="14" t="s">
        <v>1227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1234</v>
      </c>
      <c r="B6" s="17" t="s">
        <v>177</v>
      </c>
      <c r="D6" s="17" t="s">
        <v>1225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1234</v>
      </c>
      <c r="O6" s="16" t="s">
        <v>1235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1236</v>
      </c>
      <c r="B7" s="14" t="s">
        <v>288</v>
      </c>
      <c r="C7" s="16">
        <v>15.0</v>
      </c>
      <c r="D7" s="14" t="s">
        <v>1225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1236</v>
      </c>
      <c r="O7" s="14" t="s">
        <v>1237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1238</v>
      </c>
      <c r="B8" s="17" t="s">
        <v>724</v>
      </c>
      <c r="C8" s="18">
        <v>85.0</v>
      </c>
      <c r="D8" s="17" t="s">
        <v>1225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1238</v>
      </c>
      <c r="O8" s="17" t="s">
        <v>1239</v>
      </c>
      <c r="P8" s="17" t="s">
        <v>1240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1241</v>
      </c>
      <c r="B9" s="14" t="s">
        <v>504</v>
      </c>
      <c r="C9" s="16">
        <v>86.0</v>
      </c>
      <c r="D9" s="14" t="s">
        <v>1225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1241</v>
      </c>
      <c r="O9" s="14" t="s">
        <v>1242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1243</v>
      </c>
      <c r="B10" s="14" t="s">
        <v>376</v>
      </c>
      <c r="D10" s="14" t="s">
        <v>1225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1243</v>
      </c>
      <c r="O10" s="14" t="s">
        <v>1244</v>
      </c>
      <c r="P10" s="14" t="s">
        <v>1245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1246</v>
      </c>
      <c r="B11" s="14" t="s">
        <v>454</v>
      </c>
      <c r="D11" s="14" t="s">
        <v>1225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1246</v>
      </c>
      <c r="O11" s="14" t="s">
        <v>1247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1248</v>
      </c>
      <c r="B12" s="14" t="s">
        <v>514</v>
      </c>
      <c r="C12" s="16">
        <v>81.0</v>
      </c>
      <c r="D12" s="14" t="s">
        <v>1225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1248</v>
      </c>
      <c r="O12" s="14" t="s">
        <v>1249</v>
      </c>
      <c r="P12" s="14" t="s">
        <v>1250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1251</v>
      </c>
      <c r="B13" s="14" t="s">
        <v>114</v>
      </c>
      <c r="D13" s="14" t="s">
        <v>1225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1251</v>
      </c>
      <c r="O13" s="14" t="s">
        <v>1252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1253</v>
      </c>
      <c r="B14" s="14" t="s">
        <v>294</v>
      </c>
      <c r="C14" s="14">
        <v>81.0</v>
      </c>
      <c r="D14" s="14" t="s">
        <v>1225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1253</v>
      </c>
      <c r="O14" s="14" t="s">
        <v>1254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1255</v>
      </c>
      <c r="B15" s="14" t="s">
        <v>472</v>
      </c>
      <c r="C15" s="16">
        <v>7.0</v>
      </c>
      <c r="D15" s="14" t="s">
        <v>1225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1255</v>
      </c>
      <c r="O15" s="14" t="s">
        <v>1256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1257</v>
      </c>
      <c r="B16" s="14" t="s">
        <v>102</v>
      </c>
      <c r="C16" s="16">
        <v>5.0</v>
      </c>
      <c r="D16" s="14" t="s">
        <v>1225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1257</v>
      </c>
      <c r="O16" s="14" t="s">
        <v>1258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1259</v>
      </c>
      <c r="B17" s="14" t="s">
        <v>1091</v>
      </c>
      <c r="D17" s="14" t="s">
        <v>1225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1259</v>
      </c>
      <c r="O17" s="14" t="s">
        <v>1260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1261</v>
      </c>
      <c r="B18" s="14" t="s">
        <v>250</v>
      </c>
      <c r="D18" s="14" t="s">
        <v>1225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1261</v>
      </c>
      <c r="O18" s="14" t="s">
        <v>1262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1263</v>
      </c>
      <c r="B19" s="14" t="s">
        <v>478</v>
      </c>
      <c r="D19" s="14" t="s">
        <v>1225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1263</v>
      </c>
      <c r="O19" s="14" t="s">
        <v>1264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1265</v>
      </c>
      <c r="B20" s="14" t="s">
        <v>264</v>
      </c>
      <c r="D20" s="14" t="s">
        <v>1225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1265</v>
      </c>
      <c r="O20" s="14" t="s">
        <v>1266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1267</v>
      </c>
      <c r="B21" s="14" t="s">
        <v>310</v>
      </c>
      <c r="D21" s="14" t="s">
        <v>1225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1267</v>
      </c>
      <c r="O21" s="14" t="s">
        <v>1268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1269</v>
      </c>
      <c r="B22" s="14" t="s">
        <v>488</v>
      </c>
      <c r="D22" s="14" t="s">
        <v>1225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1269</v>
      </c>
      <c r="O22" s="14" t="s">
        <v>1270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1271</v>
      </c>
      <c r="B23" s="14" t="s">
        <v>571</v>
      </c>
      <c r="C23" s="14">
        <v>2.0</v>
      </c>
      <c r="D23" s="14" t="s">
        <v>1225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1271</v>
      </c>
      <c r="O23" s="14" t="s">
        <v>1272</v>
      </c>
      <c r="P23" s="14" t="s">
        <v>1250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1273</v>
      </c>
      <c r="B24" s="14" t="s">
        <v>530</v>
      </c>
      <c r="C24" s="14">
        <v>84.0</v>
      </c>
      <c r="D24" s="14" t="s">
        <v>1225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1273</v>
      </c>
      <c r="O24" s="14" t="s">
        <v>1274</v>
      </c>
      <c r="P24" s="14" t="s">
        <v>1250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1275</v>
      </c>
      <c r="B25" s="14" t="s">
        <v>594</v>
      </c>
      <c r="D25" s="14" t="s">
        <v>1225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1275</v>
      </c>
      <c r="O25" s="14" t="s">
        <v>1276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1277</v>
      </c>
      <c r="B26" s="14" t="s">
        <v>340</v>
      </c>
      <c r="D26" s="14" t="s">
        <v>1225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1277</v>
      </c>
      <c r="O26" s="14" t="s">
        <v>1278</v>
      </c>
      <c r="P26" s="14" t="s">
        <v>1245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1279</v>
      </c>
      <c r="B27" s="14" t="s">
        <v>334</v>
      </c>
      <c r="C27" s="14">
        <v>87.0</v>
      </c>
      <c r="D27" s="14" t="s">
        <v>1225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1279</v>
      </c>
      <c r="O27" s="14" t="s">
        <v>1280</v>
      </c>
      <c r="P27" s="14" t="s">
        <v>1281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1282</v>
      </c>
      <c r="B28" s="14" t="s">
        <v>826</v>
      </c>
      <c r="C28" s="14">
        <v>88.0</v>
      </c>
      <c r="D28" s="14" t="s">
        <v>1225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1282</v>
      </c>
      <c r="O28" s="14" t="s">
        <v>1283</v>
      </c>
      <c r="P28" s="14" t="s">
        <v>1240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1284</v>
      </c>
      <c r="B29" s="14" t="s">
        <v>717</v>
      </c>
      <c r="C29" s="14">
        <v>88.0</v>
      </c>
      <c r="D29" s="14" t="s">
        <v>1225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1284</v>
      </c>
      <c r="O29" s="14" t="s">
        <v>1285</v>
      </c>
      <c r="P29" s="14" t="s">
        <v>1281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1286</v>
      </c>
      <c r="B30" s="14" t="s">
        <v>158</v>
      </c>
      <c r="C30" s="14">
        <v>0.0</v>
      </c>
      <c r="D30" s="14" t="s">
        <v>1225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1286</v>
      </c>
      <c r="O30" s="14" t="s">
        <v>158</v>
      </c>
      <c r="P30" s="14" t="s">
        <v>1227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1287</v>
      </c>
      <c r="B31" s="14" t="s">
        <v>246</v>
      </c>
      <c r="C31" s="14">
        <v>6.0</v>
      </c>
      <c r="D31" s="14" t="s">
        <v>1225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1287</v>
      </c>
      <c r="O31" s="14" t="s">
        <v>1229</v>
      </c>
      <c r="P31" s="14" t="s">
        <v>1227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1288</v>
      </c>
      <c r="B32" s="14" t="s">
        <v>306</v>
      </c>
      <c r="C32" s="14">
        <v>85.0</v>
      </c>
      <c r="D32" s="14" t="s">
        <v>1225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1288</v>
      </c>
      <c r="O32" s="14" t="s">
        <v>1289</v>
      </c>
      <c r="P32" s="14" t="s">
        <v>1240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1290</v>
      </c>
      <c r="B33" s="14" t="s">
        <v>389</v>
      </c>
      <c r="C33" s="14">
        <v>88.0</v>
      </c>
      <c r="D33" s="14" t="s">
        <v>1225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1290</v>
      </c>
      <c r="O33" s="14" t="s">
        <v>1291</v>
      </c>
      <c r="P33" s="14" t="s">
        <v>1240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1292</v>
      </c>
      <c r="B34" s="14" t="s">
        <v>741</v>
      </c>
      <c r="C34" s="16">
        <v>80.0</v>
      </c>
      <c r="D34" s="14" t="s">
        <v>1225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1292</v>
      </c>
      <c r="O34" s="14" t="s">
        <v>1293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1294</v>
      </c>
      <c r="B35" s="17" t="s">
        <v>1295</v>
      </c>
      <c r="C35" s="18">
        <v>84.0</v>
      </c>
      <c r="D35" s="17" t="s">
        <v>1225</v>
      </c>
      <c r="E35" s="17" t="s">
        <v>100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1294</v>
      </c>
      <c r="O35" s="16" t="s">
        <v>1296</v>
      </c>
      <c r="P35" s="16" t="s">
        <v>100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1297</v>
      </c>
      <c r="B36" s="17" t="s">
        <v>1295</v>
      </c>
      <c r="C36" s="18">
        <v>18.0</v>
      </c>
      <c r="D36" s="17" t="s">
        <v>1225</v>
      </c>
      <c r="E36" s="17" t="s">
        <v>100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1297</v>
      </c>
      <c r="O36" s="16" t="s">
        <v>1296</v>
      </c>
      <c r="P36" s="16" t="s">
        <v>100</v>
      </c>
      <c r="Q36" s="22">
        <v>5.46</v>
      </c>
      <c r="R36" s="16">
        <v>2.17</v>
      </c>
      <c r="S36" s="16">
        <v>4.88</v>
      </c>
      <c r="T36" s="16">
        <v>-2.9</v>
      </c>
      <c r="U36" s="51">
        <f t="array" ref="U36">XLOOKUP(E36, 'Conference Match'!$A$2:$A$40,'Conference Match'!$C$2:$C$40)</f>
        <v>1</v>
      </c>
      <c r="V36" s="52">
        <f t="shared" si="1"/>
        <v>4.5605</v>
      </c>
      <c r="W36" s="52">
        <f>100*(V36-MIN($V$2:$V$572))/(MAX($V$2:$V$572) - MIN($V$2:$V$572))</f>
        <v>89.09355781</v>
      </c>
      <c r="X36" s="52">
        <f t="shared" si="3"/>
        <v>54.46355781</v>
      </c>
      <c r="Y36" s="48"/>
      <c r="Z36" s="52">
        <f>IFERROR(__xludf.DUMMYFUNCTION("iferror(PERCENTRANK.INC(FILTER($V$2:$V$429, $S$2:$S$429&lt;3.75), $V36), 1)"),1.0)</f>
        <v>1</v>
      </c>
      <c r="AA36" s="52">
        <f>IFERROR(__xludf.DUMMYFUNCTION("iferror(PERCENTRANK.INC(FILTER($V$2:$V$429, $S$2:$S$429&lt;4.5), $V36), 1)"),1.0)</f>
        <v>1</v>
      </c>
      <c r="AB36" s="52">
        <f>IFERROR(__xludf.DUMMYFUNCTION("iferror(PERCENTRANK.INC(FILTER($V$2:$V$429, $S$2:$S$429&gt;=4.1), $V36), 0.01)"),0.909)</f>
        <v>0.909</v>
      </c>
    </row>
    <row r="37" ht="14.25" customHeight="1">
      <c r="A37" s="14" t="s">
        <v>1298</v>
      </c>
      <c r="B37" s="14" t="s">
        <v>346</v>
      </c>
      <c r="C37" s="14">
        <v>82.0</v>
      </c>
      <c r="D37" s="14" t="s">
        <v>1225</v>
      </c>
      <c r="E37" s="14" t="s">
        <v>145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1298</v>
      </c>
      <c r="O37" s="14" t="s">
        <v>1299</v>
      </c>
      <c r="P37" s="14" t="s">
        <v>1250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1300</v>
      </c>
      <c r="B38" s="17" t="s">
        <v>496</v>
      </c>
      <c r="C38" s="18">
        <v>89.0</v>
      </c>
      <c r="D38" s="17" t="s">
        <v>1225</v>
      </c>
      <c r="E38" s="17" t="s">
        <v>183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1300</v>
      </c>
      <c r="O38" s="16" t="s">
        <v>1301</v>
      </c>
      <c r="P38" s="16" t="s">
        <v>183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2">
        <f>IFERROR(__xludf.DUMMYFUNCTION("iferror(PERCENTRANK.INC(FILTER($V$2:$V$429, $S$2:$S$429&lt;3.75), $V38), 1)"),1.0)</f>
        <v>1</v>
      </c>
      <c r="AA38" s="52">
        <f>IFERROR(__xludf.DUMMYFUNCTION("iferror(PERCENTRANK.INC(FILTER($V$2:$V$429, $S$2:$S$429&lt;4.5), $V38), 1)"),0.699)</f>
        <v>0.699</v>
      </c>
      <c r="AB38" s="52">
        <f>IFERROR(__xludf.DUMMYFUNCTION("iferror(PERCENTRANK.INC(FILTER($V$2:$V$429, $S$2:$S$429&gt;=4.1), $V38), 0.01)"),0.0)</f>
        <v>0</v>
      </c>
    </row>
    <row r="39" ht="14.25" customHeight="1">
      <c r="A39" s="25" t="s">
        <v>1302</v>
      </c>
      <c r="B39" s="25" t="s">
        <v>1303</v>
      </c>
      <c r="C39" s="25">
        <v>13.0</v>
      </c>
      <c r="D39" s="25" t="s">
        <v>1225</v>
      </c>
      <c r="E39" s="25" t="s">
        <v>136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49">
        <v>3.81</v>
      </c>
      <c r="L39" s="49">
        <v>11.49</v>
      </c>
      <c r="M39" s="15"/>
      <c r="N39" s="16" t="s">
        <v>1304</v>
      </c>
      <c r="O39" s="16" t="s">
        <v>1305</v>
      </c>
      <c r="P39" s="16" t="s">
        <v>136</v>
      </c>
      <c r="Q39" s="38">
        <v>3.81</v>
      </c>
      <c r="R39" s="16">
        <v>3.68</v>
      </c>
      <c r="S39" s="16">
        <v>4.42</v>
      </c>
      <c r="T39" s="16">
        <v>-2.0</v>
      </c>
      <c r="U39" s="51">
        <f t="array" ref="U39">XLOOKUP(E39, 'Conference Match'!$A$2:$A$40,'Conference Match'!$C$2:$C$40)</f>
        <v>1</v>
      </c>
      <c r="V39" s="52">
        <f t="shared" si="1"/>
        <v>4.2175</v>
      </c>
      <c r="W39" s="52">
        <f>100*(V39-MIN($V$2:$V$572))/(MAX($V$2:$V$572) - MIN($V$2:$V$572))</f>
        <v>81.03526553</v>
      </c>
      <c r="X39" s="52">
        <f t="shared" si="3"/>
        <v>69.54526553</v>
      </c>
      <c r="Y39" s="48"/>
      <c r="Z39" s="52">
        <f>IFERROR(__xludf.DUMMYFUNCTION("iferror(PERCENTRANK.INC(FILTER($V$2:$V$429, $S$2:$S$429&lt;3.75), $V39), 1)"),1.0)</f>
        <v>1</v>
      </c>
      <c r="AA39" s="52">
        <f>IFERROR(__xludf.DUMMYFUNCTION("iferror(PERCENTRANK.INC(FILTER($V$2:$V$429, $S$2:$S$429&lt;4.5), $V39), 1)"),0.886)</f>
        <v>0.886</v>
      </c>
      <c r="AB39" s="52">
        <f>IFERROR(__xludf.DUMMYFUNCTION("iferror(PERCENTRANK.INC(FILTER($V$2:$V$429, $S$2:$S$429&gt;=4.1), $V39), 0.01)"),0.545)</f>
        <v>0.545</v>
      </c>
    </row>
    <row r="40" ht="14.25" customHeight="1">
      <c r="A40" s="14" t="s">
        <v>1306</v>
      </c>
      <c r="B40" s="14" t="s">
        <v>185</v>
      </c>
      <c r="C40" s="14">
        <v>8.0</v>
      </c>
      <c r="D40" s="14" t="s">
        <v>1225</v>
      </c>
      <c r="E40" s="14" t="s">
        <v>159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1306</v>
      </c>
      <c r="O40" s="14" t="s">
        <v>1307</v>
      </c>
      <c r="P40" s="14" t="s">
        <v>1227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1308</v>
      </c>
      <c r="B41" s="14" t="s">
        <v>440</v>
      </c>
      <c r="C41" s="14">
        <v>85.0</v>
      </c>
      <c r="D41" s="14" t="s">
        <v>1225</v>
      </c>
      <c r="E41" s="14" t="s">
        <v>148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1308</v>
      </c>
      <c r="O41" s="14" t="s">
        <v>1309</v>
      </c>
      <c r="P41" s="14" t="s">
        <v>1281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1310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Q2" s="14" t="s">
        <v>89</v>
      </c>
      <c r="R2" s="14" t="s">
        <v>1323</v>
      </c>
      <c r="S2" s="20" t="s">
        <v>1324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1325</v>
      </c>
      <c r="B3" s="14" t="s">
        <v>1326</v>
      </c>
      <c r="C3" s="14">
        <v>74.0</v>
      </c>
      <c r="D3" s="14" t="s">
        <v>1327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1328</v>
      </c>
      <c r="B4" s="14" t="s">
        <v>1329</v>
      </c>
      <c r="C4" s="14">
        <v>64.0</v>
      </c>
      <c r="D4" s="14" t="s">
        <v>1327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1330</v>
      </c>
      <c r="B5" s="14" t="s">
        <v>1331</v>
      </c>
      <c r="C5" s="14">
        <v>74.0</v>
      </c>
      <c r="D5" s="14" t="s">
        <v>1327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1332</v>
      </c>
      <c r="B6" s="14" t="s">
        <v>1274</v>
      </c>
      <c r="C6" s="14">
        <v>72.0</v>
      </c>
      <c r="D6" s="14" t="s">
        <v>1327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1333</v>
      </c>
      <c r="B7" s="14" t="s">
        <v>1291</v>
      </c>
      <c r="C7" s="14">
        <v>77.0</v>
      </c>
      <c r="D7" s="14" t="s">
        <v>1327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1334</v>
      </c>
      <c r="B8" s="14" t="s">
        <v>1283</v>
      </c>
      <c r="C8" s="14">
        <v>76.0</v>
      </c>
      <c r="D8" s="14" t="s">
        <v>1327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1335</v>
      </c>
      <c r="B9" s="14" t="s">
        <v>158</v>
      </c>
      <c r="C9" s="14">
        <v>70.0</v>
      </c>
      <c r="D9" s="14" t="s">
        <v>1327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1336</v>
      </c>
      <c r="B10" s="14" t="s">
        <v>1337</v>
      </c>
      <c r="C10" s="14">
        <v>62.0</v>
      </c>
      <c r="D10" s="14" t="s">
        <v>1327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1338</v>
      </c>
      <c r="B11" s="14" t="s">
        <v>1339</v>
      </c>
      <c r="C11" s="14">
        <v>58.0</v>
      </c>
      <c r="D11" s="14" t="s">
        <v>1327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1340</v>
      </c>
      <c r="B12" s="14" t="s">
        <v>1341</v>
      </c>
      <c r="C12" s="14">
        <v>67.0</v>
      </c>
      <c r="D12" s="14" t="s">
        <v>1327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1342</v>
      </c>
      <c r="B13" s="14" t="s">
        <v>1343</v>
      </c>
      <c r="C13" s="14">
        <v>78.0</v>
      </c>
      <c r="D13" s="14" t="s">
        <v>1327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1344</v>
      </c>
      <c r="B14" s="14" t="s">
        <v>1345</v>
      </c>
      <c r="C14" s="14">
        <v>56.0</v>
      </c>
      <c r="D14" s="14" t="s">
        <v>1327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1346</v>
      </c>
      <c r="B15" s="14" t="s">
        <v>1347</v>
      </c>
      <c r="C15" s="14">
        <v>54.0</v>
      </c>
      <c r="D15" s="14" t="s">
        <v>1327</v>
      </c>
      <c r="E15" s="14" t="s">
        <v>1348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1349</v>
      </c>
      <c r="B16" s="14" t="s">
        <v>1350</v>
      </c>
      <c r="C16" s="14">
        <v>73.0</v>
      </c>
      <c r="D16" s="14" t="s">
        <v>1327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1351</v>
      </c>
      <c r="B17" s="14" t="s">
        <v>1280</v>
      </c>
      <c r="C17" s="14">
        <v>79.0</v>
      </c>
      <c r="D17" s="14" t="s">
        <v>1327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1352</v>
      </c>
      <c r="B18" s="16" t="s">
        <v>1353</v>
      </c>
      <c r="C18" s="14">
        <v>76.0</v>
      </c>
      <c r="D18" s="14" t="s">
        <v>1327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1354</v>
      </c>
      <c r="B19" s="14" t="s">
        <v>609</v>
      </c>
      <c r="C19" s="14">
        <v>72.0</v>
      </c>
      <c r="D19" s="14" t="s">
        <v>1327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1355</v>
      </c>
      <c r="B20" s="14" t="s">
        <v>1356</v>
      </c>
      <c r="C20" s="14">
        <v>78.0</v>
      </c>
      <c r="D20" s="14" t="s">
        <v>1327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1357</v>
      </c>
      <c r="B21" s="14" t="s">
        <v>1358</v>
      </c>
      <c r="C21" s="14">
        <v>70.0</v>
      </c>
      <c r="D21" s="14" t="s">
        <v>1327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1359</v>
      </c>
      <c r="B22" s="14" t="s">
        <v>1360</v>
      </c>
      <c r="C22" s="14">
        <v>78.0</v>
      </c>
      <c r="D22" s="14" t="s">
        <v>1327</v>
      </c>
      <c r="E22" s="14" t="s">
        <v>1361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1362</v>
      </c>
      <c r="B23" s="14" t="s">
        <v>1363</v>
      </c>
      <c r="C23" s="14">
        <v>75.0</v>
      </c>
      <c r="D23" s="14" t="s">
        <v>1327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1364</v>
      </c>
      <c r="B24" s="14" t="s">
        <v>1365</v>
      </c>
      <c r="C24" s="14">
        <v>67.0</v>
      </c>
      <c r="D24" s="14" t="s">
        <v>1327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1366</v>
      </c>
      <c r="B25" s="14" t="s">
        <v>1367</v>
      </c>
      <c r="C25" s="14">
        <v>71.0</v>
      </c>
      <c r="D25" s="14" t="s">
        <v>1327</v>
      </c>
      <c r="E25" s="14" t="s">
        <v>1348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1368</v>
      </c>
      <c r="B26" s="14" t="s">
        <v>1369</v>
      </c>
      <c r="C26" s="14">
        <v>66.0</v>
      </c>
      <c r="D26" s="14" t="s">
        <v>1327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1370</v>
      </c>
      <c r="B27" s="14" t="s">
        <v>1371</v>
      </c>
      <c r="C27" s="14">
        <v>54.0</v>
      </c>
      <c r="D27" s="14" t="s">
        <v>1327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1372</v>
      </c>
      <c r="B28" s="14" t="s">
        <v>1249</v>
      </c>
      <c r="C28" s="14">
        <v>74.0</v>
      </c>
      <c r="D28" s="14" t="s">
        <v>1327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1373</v>
      </c>
      <c r="B29" s="14" t="s">
        <v>1374</v>
      </c>
      <c r="C29" s="14">
        <v>62.0</v>
      </c>
      <c r="D29" s="14" t="s">
        <v>1327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1375</v>
      </c>
      <c r="B30" s="14" t="s">
        <v>1233</v>
      </c>
      <c r="C30" s="14">
        <v>71.0</v>
      </c>
      <c r="D30" s="14" t="s">
        <v>1327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1376</v>
      </c>
      <c r="B31" s="14" t="s">
        <v>711</v>
      </c>
      <c r="C31" s="14">
        <v>78.0</v>
      </c>
      <c r="D31" s="14" t="s">
        <v>1327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1377</v>
      </c>
      <c r="B32" s="14" t="s">
        <v>1378</v>
      </c>
      <c r="C32" s="14">
        <v>78.0</v>
      </c>
      <c r="D32" s="14" t="s">
        <v>1327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1379</v>
      </c>
      <c r="B33" s="14" t="s">
        <v>1258</v>
      </c>
      <c r="C33" s="14">
        <v>55.0</v>
      </c>
      <c r="D33" s="14" t="s">
        <v>1327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1380</v>
      </c>
      <c r="B34" s="14" t="s">
        <v>1360</v>
      </c>
      <c r="C34" s="14">
        <v>77.0</v>
      </c>
      <c r="D34" s="14" t="s">
        <v>1327</v>
      </c>
      <c r="E34" s="14" t="s">
        <v>1361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1381</v>
      </c>
      <c r="B35" s="14" t="s">
        <v>1382</v>
      </c>
      <c r="C35" s="14">
        <v>51.0</v>
      </c>
      <c r="D35" s="14" t="s">
        <v>1327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1383</v>
      </c>
      <c r="B36" s="14" t="s">
        <v>1384</v>
      </c>
      <c r="C36" s="14">
        <v>77.0</v>
      </c>
      <c r="D36" s="14" t="s">
        <v>1327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1385</v>
      </c>
      <c r="B37" s="14" t="s">
        <v>1386</v>
      </c>
      <c r="C37" s="14">
        <v>76.0</v>
      </c>
      <c r="D37" s="14" t="s">
        <v>1327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1387</v>
      </c>
      <c r="B38" s="14" t="s">
        <v>1388</v>
      </c>
      <c r="C38" s="14">
        <v>54.0</v>
      </c>
      <c r="D38" s="14" t="s">
        <v>1327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1389</v>
      </c>
      <c r="B39" s="14" t="s">
        <v>1390</v>
      </c>
      <c r="C39" s="14">
        <v>79.0</v>
      </c>
      <c r="D39" s="14" t="s">
        <v>1327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1391</v>
      </c>
      <c r="B40" s="14" t="s">
        <v>1343</v>
      </c>
      <c r="C40" s="14">
        <v>51.0</v>
      </c>
      <c r="D40" s="14" t="s">
        <v>1327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1392</v>
      </c>
      <c r="B41" s="14" t="s">
        <v>1369</v>
      </c>
      <c r="C41" s="14">
        <v>71.0</v>
      </c>
      <c r="D41" s="14" t="s">
        <v>1327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1393</v>
      </c>
      <c r="B42" s="14" t="s">
        <v>1394</v>
      </c>
      <c r="C42" s="14">
        <v>53.0</v>
      </c>
      <c r="D42" s="14" t="s">
        <v>1327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1395</v>
      </c>
      <c r="B43" s="14" t="s">
        <v>1363</v>
      </c>
      <c r="C43" s="14">
        <v>56.0</v>
      </c>
      <c r="D43" s="14" t="s">
        <v>1327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1396</v>
      </c>
      <c r="B44" s="14" t="s">
        <v>1239</v>
      </c>
      <c r="C44" s="14">
        <v>55.0</v>
      </c>
      <c r="D44" s="14" t="s">
        <v>1327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1397</v>
      </c>
      <c r="B45" s="14" t="s">
        <v>586</v>
      </c>
      <c r="C45" s="14">
        <v>66.0</v>
      </c>
      <c r="D45" s="14" t="s">
        <v>1327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1398</v>
      </c>
      <c r="B46" s="14" t="s">
        <v>1399</v>
      </c>
      <c r="C46" s="14">
        <v>76.0</v>
      </c>
      <c r="D46" s="14" t="s">
        <v>1327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1400</v>
      </c>
      <c r="B47" s="14" t="s">
        <v>1401</v>
      </c>
      <c r="C47" s="14">
        <v>68.0</v>
      </c>
      <c r="D47" s="14" t="s">
        <v>1327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1402</v>
      </c>
      <c r="B48" s="14" t="s">
        <v>1237</v>
      </c>
      <c r="C48" s="14">
        <v>79.0</v>
      </c>
      <c r="D48" s="14" t="s">
        <v>1327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1403</v>
      </c>
      <c r="B49" s="14" t="s">
        <v>1404</v>
      </c>
      <c r="C49" s="14">
        <v>68.0</v>
      </c>
      <c r="D49" s="14" t="s">
        <v>1327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1405</v>
      </c>
      <c r="B50" s="14" t="s">
        <v>1406</v>
      </c>
      <c r="C50" s="14">
        <v>70.0</v>
      </c>
      <c r="D50" s="14" t="s">
        <v>1327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1407</v>
      </c>
      <c r="B51" s="14" t="s">
        <v>1239</v>
      </c>
      <c r="C51" s="14">
        <v>76.0</v>
      </c>
      <c r="D51" s="14" t="s">
        <v>1327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1408</v>
      </c>
      <c r="B52" s="14" t="s">
        <v>1289</v>
      </c>
      <c r="C52" s="14">
        <v>72.0</v>
      </c>
      <c r="D52" s="14" t="s">
        <v>1327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1409</v>
      </c>
      <c r="B53" s="14" t="s">
        <v>237</v>
      </c>
      <c r="C53" s="14">
        <v>79.0</v>
      </c>
      <c r="D53" s="14" t="s">
        <v>1327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1410</v>
      </c>
      <c r="B54" s="14" t="s">
        <v>1406</v>
      </c>
      <c r="C54" s="14">
        <v>75.0</v>
      </c>
      <c r="D54" s="14" t="s">
        <v>1327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1411</v>
      </c>
      <c r="B55" s="14" t="s">
        <v>1412</v>
      </c>
      <c r="C55" s="14">
        <v>79.0</v>
      </c>
      <c r="D55" s="14" t="s">
        <v>1327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1413</v>
      </c>
      <c r="B56" s="14" t="s">
        <v>1365</v>
      </c>
      <c r="C56" s="14">
        <v>75.0</v>
      </c>
      <c r="D56" s="14" t="s">
        <v>1327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1414</v>
      </c>
      <c r="B57" s="14" t="s">
        <v>1337</v>
      </c>
      <c r="C57" s="14">
        <v>68.0</v>
      </c>
      <c r="D57" s="14" t="s">
        <v>1327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1415</v>
      </c>
      <c r="B58" s="14" t="s">
        <v>1386</v>
      </c>
      <c r="C58" s="14">
        <v>70.0</v>
      </c>
      <c r="D58" s="14" t="s">
        <v>1327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1416</v>
      </c>
      <c r="B59" s="14" t="s">
        <v>1417</v>
      </c>
      <c r="C59" s="14">
        <v>72.0</v>
      </c>
      <c r="D59" s="14" t="s">
        <v>1327</v>
      </c>
      <c r="E59" s="14" t="s">
        <v>118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1418</v>
      </c>
      <c r="B60" s="14" t="s">
        <v>237</v>
      </c>
      <c r="C60" s="14">
        <v>72.0</v>
      </c>
      <c r="D60" s="14" t="s">
        <v>1327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1419</v>
      </c>
      <c r="B61" s="14" t="s">
        <v>1420</v>
      </c>
      <c r="C61" s="14">
        <v>78.0</v>
      </c>
      <c r="D61" s="14" t="s">
        <v>1327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1421</v>
      </c>
      <c r="B62" s="14" t="s">
        <v>1309</v>
      </c>
      <c r="C62" s="14">
        <v>55.0</v>
      </c>
      <c r="D62" s="14" t="s">
        <v>1327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1422</v>
      </c>
      <c r="B63" s="14" t="s">
        <v>1280</v>
      </c>
      <c r="C63" s="14">
        <v>66.0</v>
      </c>
      <c r="D63" s="14" t="s">
        <v>1327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1423</v>
      </c>
      <c r="B64" s="16" t="s">
        <v>1424</v>
      </c>
      <c r="C64" s="16">
        <v>74.0</v>
      </c>
      <c r="D64" s="16" t="s">
        <v>1327</v>
      </c>
      <c r="E64" s="16" t="s">
        <v>159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1425</v>
      </c>
      <c r="B65" s="14" t="s">
        <v>711</v>
      </c>
      <c r="C65" s="14">
        <v>57.0</v>
      </c>
      <c r="D65" s="14" t="s">
        <v>1327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1426</v>
      </c>
      <c r="B66" s="14" t="s">
        <v>609</v>
      </c>
      <c r="C66" s="14">
        <v>77.0</v>
      </c>
      <c r="D66" s="14" t="s">
        <v>1327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1427</v>
      </c>
      <c r="B67" s="14" t="s">
        <v>1226</v>
      </c>
      <c r="C67" s="14">
        <v>77.0</v>
      </c>
      <c r="D67" s="14" t="s">
        <v>1327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1428</v>
      </c>
      <c r="B68" s="14" t="s">
        <v>1345</v>
      </c>
      <c r="C68" s="14">
        <v>51.0</v>
      </c>
      <c r="D68" s="14" t="s">
        <v>1327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1429</v>
      </c>
      <c r="B69" s="16" t="s">
        <v>1430</v>
      </c>
      <c r="C69" s="16">
        <v>71.0</v>
      </c>
      <c r="D69" s="16" t="s">
        <v>1327</v>
      </c>
      <c r="E69" s="16" t="s">
        <v>1431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1432</v>
      </c>
      <c r="B70" s="16" t="s">
        <v>1433</v>
      </c>
      <c r="C70" s="16">
        <v>76.0</v>
      </c>
      <c r="D70" s="16" t="s">
        <v>1327</v>
      </c>
      <c r="E70" s="16" t="s">
        <v>1434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1435</v>
      </c>
      <c r="B71" s="14" t="s">
        <v>1384</v>
      </c>
      <c r="C71" s="14">
        <v>79.0</v>
      </c>
      <c r="D71" s="14" t="s">
        <v>1327</v>
      </c>
      <c r="E71" s="14" t="s">
        <v>145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1436</v>
      </c>
      <c r="B72" s="16" t="s">
        <v>1437</v>
      </c>
      <c r="C72" s="16">
        <v>56.0</v>
      </c>
      <c r="D72" s="16" t="s">
        <v>1327</v>
      </c>
      <c r="E72" s="16" t="s">
        <v>1434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1438</v>
      </c>
      <c r="B73" s="16" t="s">
        <v>1439</v>
      </c>
      <c r="C73" s="16">
        <v>54.0</v>
      </c>
      <c r="D73" s="16" t="s">
        <v>1327</v>
      </c>
      <c r="E73" s="16" t="s">
        <v>136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1440</v>
      </c>
      <c r="B74" s="16" t="s">
        <v>1441</v>
      </c>
      <c r="C74" s="16">
        <v>73.0</v>
      </c>
      <c r="D74" s="16" t="s">
        <v>1327</v>
      </c>
      <c r="E74" s="16" t="s">
        <v>190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1442</v>
      </c>
      <c r="B75" s="16" t="s">
        <v>1443</v>
      </c>
      <c r="C75" s="16">
        <v>55.0</v>
      </c>
      <c r="D75" s="16" t="s">
        <v>1327</v>
      </c>
      <c r="E75" s="16" t="s">
        <v>180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1444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P2" s="14" t="s">
        <v>89</v>
      </c>
      <c r="Q2" s="14" t="s">
        <v>1323</v>
      </c>
      <c r="R2" s="20" t="s">
        <v>1324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1445</v>
      </c>
      <c r="B3" s="14" t="s">
        <v>1280</v>
      </c>
      <c r="C3" s="14">
        <v>65.0</v>
      </c>
      <c r="D3" s="14" t="s">
        <v>1446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7" si="1">I3*0.6+H3*0.4</f>
        <v>0.4</v>
      </c>
      <c r="K3" s="20">
        <f t="shared" ref="K3:K81" si="2">(F3 - AVERAGE($F$3:$F$87))/_xlfn.STDEV.P($F$3:$F$87)</f>
        <v>-0.30201952</v>
      </c>
      <c r="L3" s="20">
        <f t="shared" ref="L3:L81" si="3">(J3 - AVERAGE($J$3:$J$87))/_xlfn.STDEV.P($J$3:$J$87)</f>
        <v>4.743233415</v>
      </c>
      <c r="M3" s="20">
        <f t="shared" ref="M3:M81" si="4">K3*0.4+L3*0.6</f>
        <v>2.725132241</v>
      </c>
      <c r="N3" s="20">
        <f t="shared" ref="N3:N81" si="5">100*(M3-MIN($M$3:$M$87))/(MAX($M$3:$M$87) - MIN($M$3:$M$87))</f>
        <v>100</v>
      </c>
      <c r="P3" s="14">
        <v>4.35</v>
      </c>
      <c r="Q3" s="20">
        <f t="shared" ref="Q3:Q87" si="6">P3*0.5+K3*0.3+L3*0.2</f>
        <v>3.033040827</v>
      </c>
      <c r="R3" s="20">
        <f t="shared" ref="R3:R4" si="7">100*(Q3-MIN($Q$3:$Q$83))/(MAX($Q$3:$Q$83) - MIN($Q$3:$Q$83))</f>
        <v>80.64743488</v>
      </c>
      <c r="S3" s="20">
        <f t="shared" ref="S3:S87" si="8">R3-N3</f>
        <v>-19.35256512</v>
      </c>
      <c r="U3" s="20">
        <f>IFERROR(__xludf.DUMMYFUNCTION("iferror(PERCENTRANK.INC(FILTER($Q$3:$Q$432, $P$3:$P$432&lt;3.75), $Q3), 1)"),1.0)</f>
        <v>1</v>
      </c>
      <c r="V3" s="20">
        <f>IFERROR(__xludf.DUMMYFUNCTION("iferror(PERCENTRANK.INC(FILTER($Q$3:$Q$432, $P$3:$P$432&lt;4.25), $Q3), 1)"),1.0)</f>
        <v>1</v>
      </c>
      <c r="W3" s="20">
        <f>IFERROR(__xludf.DUMMYFUNCTION("iferror(PERCENTRANK.INC(FILTER($Q$3:$Q$432, $P$3:$P$432&gt;=4.1), $Q3), 0)"),0.885)</f>
        <v>0.885</v>
      </c>
    </row>
    <row r="4" ht="14.25" customHeight="1">
      <c r="A4" s="14" t="s">
        <v>1447</v>
      </c>
      <c r="B4" s="14" t="s">
        <v>1347</v>
      </c>
      <c r="C4" s="14">
        <v>64.0</v>
      </c>
      <c r="D4" s="14" t="s">
        <v>1446</v>
      </c>
      <c r="E4" s="14" t="s">
        <v>1348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1.790321897</v>
      </c>
      <c r="L4" s="20">
        <f t="shared" si="3"/>
        <v>2.567897644</v>
      </c>
      <c r="M4" s="20">
        <f t="shared" si="4"/>
        <v>2.256867345</v>
      </c>
      <c r="N4" s="20">
        <f t="shared" si="5"/>
        <v>99.1261202</v>
      </c>
      <c r="P4" s="14">
        <v>5.7</v>
      </c>
      <c r="Q4" s="20">
        <f t="shared" si="6"/>
        <v>3.900676098</v>
      </c>
      <c r="R4" s="20">
        <f t="shared" si="7"/>
        <v>100</v>
      </c>
      <c r="S4" s="20">
        <f t="shared" si="8"/>
        <v>0.8738797971</v>
      </c>
      <c r="U4" s="20">
        <f>IFERROR(__xludf.DUMMYFUNCTION("iferror(PERCENTRANK.INC(FILTER($Q$3:$Q$432, $P$3:$P$432&lt;3.75), $Q4), 1)"),1.0)</f>
        <v>1</v>
      </c>
      <c r="V4" s="20">
        <f>IFERROR(__xludf.DUMMYFUNCTION("iferror(PERCENTRANK.INC(FILTER($Q$3:$Q$432, $P$3:$P$432&lt;4.25), $Q4), 1)"),1.0)</f>
        <v>1</v>
      </c>
      <c r="W4" s="20">
        <f>IFERROR(__xludf.DUMMYFUNCTION("iferror(PERCENTRANK.INC(FILTER($Q$3:$Q$432, $P$3:$P$432&gt;=4.1), $Q4), 0)"),1.0)</f>
        <v>1</v>
      </c>
    </row>
    <row r="5" ht="14.25" customHeight="1">
      <c r="A5" s="14" t="s">
        <v>1448</v>
      </c>
      <c r="B5" s="14" t="s">
        <v>1341</v>
      </c>
      <c r="C5" s="14">
        <v>54.0</v>
      </c>
      <c r="D5" s="14" t="s">
        <v>1446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0.3518371727</v>
      </c>
      <c r="L5" s="20">
        <f t="shared" si="3"/>
        <v>1.716679298</v>
      </c>
      <c r="M5" s="20">
        <f t="shared" si="4"/>
        <v>1.170742448</v>
      </c>
      <c r="N5" s="20">
        <f t="shared" si="5"/>
        <v>97.099185</v>
      </c>
      <c r="P5" s="14">
        <v>5.23</v>
      </c>
      <c r="Q5" s="20">
        <f t="shared" si="6"/>
        <v>3.063887011</v>
      </c>
      <c r="R5" s="20">
        <f t="shared" ref="R5:R84" si="9">100*(Q5-MIN($Q$3:$Q$480))/(MAX($Q$3:$Q$480) - MIN($Q$3:$Q$480))</f>
        <v>98.02108651</v>
      </c>
      <c r="S5" s="20">
        <f t="shared" si="8"/>
        <v>0.9219015119</v>
      </c>
      <c r="U5" s="20">
        <f>IFERROR(__xludf.DUMMYFUNCTION("iferror(PERCENTRANK.INC(FILTER($Q$3:$Q$432, $P$3:$P$432&lt;3.75), $Q5), 1)"),1.0)</f>
        <v>1</v>
      </c>
      <c r="V5" s="20">
        <f>IFERROR(__xludf.DUMMYFUNCTION("iferror(PERCENTRANK.INC(FILTER($Q$3:$Q$432, $P$3:$P$432&lt;4.25), $Q5), 1)"),1.0)</f>
        <v>1</v>
      </c>
      <c r="W5" s="20">
        <f>IFERROR(__xludf.DUMMYFUNCTION("iferror(PERCENTRANK.INC(FILTER($Q$3:$Q$432, $P$3:$P$432&gt;=4.1), $Q5), 0)"),0.923)</f>
        <v>0.923</v>
      </c>
    </row>
    <row r="6" ht="14.25" customHeight="1">
      <c r="A6" s="14" t="s">
        <v>1449</v>
      </c>
      <c r="B6" s="14" t="s">
        <v>1450</v>
      </c>
      <c r="C6" s="14">
        <v>71.0</v>
      </c>
      <c r="D6" s="14" t="s">
        <v>1446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0.6133798498</v>
      </c>
      <c r="L6" s="20">
        <f t="shared" si="3"/>
        <v>1.527519666</v>
      </c>
      <c r="M6" s="20">
        <f t="shared" si="4"/>
        <v>1.16186374</v>
      </c>
      <c r="N6" s="20">
        <f t="shared" si="5"/>
        <v>97.08261548</v>
      </c>
      <c r="P6" s="14">
        <v>5.19</v>
      </c>
      <c r="Q6" s="20">
        <f t="shared" si="6"/>
        <v>3.084517888</v>
      </c>
      <c r="R6" s="20">
        <f t="shared" si="9"/>
        <v>98.06987625</v>
      </c>
      <c r="S6" s="20">
        <f t="shared" si="8"/>
        <v>0.9872607686</v>
      </c>
      <c r="U6" s="20">
        <f>IFERROR(__xludf.DUMMYFUNCTION("iferror(PERCENTRANK.INC(FILTER($Q$3:$Q$432, $P$3:$P$432&lt;3.75), $Q6), 1)"),1.0)</f>
        <v>1</v>
      </c>
      <c r="V6" s="20">
        <f>IFERROR(__xludf.DUMMYFUNCTION("iferror(PERCENTRANK.INC(FILTER($Q$3:$Q$432, $P$3:$P$432&lt;4.25), $Q6), 1)"),1.0)</f>
        <v>1</v>
      </c>
      <c r="W6" s="20">
        <f>IFERROR(__xludf.DUMMYFUNCTION("iferror(PERCENTRANK.INC(FILTER($Q$3:$Q$432, $P$3:$P$432&gt;=4.1), $Q6), 0)"),0.962)</f>
        <v>0.962</v>
      </c>
    </row>
    <row r="7" ht="14.25" customHeight="1">
      <c r="A7" s="14" t="s">
        <v>1451</v>
      </c>
      <c r="B7" s="14" t="s">
        <v>1399</v>
      </c>
      <c r="C7" s="14">
        <v>75.0</v>
      </c>
      <c r="D7" s="14" t="s">
        <v>1446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1.659550558</v>
      </c>
      <c r="L7" s="20">
        <f t="shared" si="3"/>
        <v>0.6763013206</v>
      </c>
      <c r="M7" s="20">
        <f t="shared" si="4"/>
        <v>1.069601016</v>
      </c>
      <c r="N7" s="20">
        <f t="shared" si="5"/>
        <v>96.91043402</v>
      </c>
      <c r="P7" s="14">
        <v>4.45</v>
      </c>
      <c r="Q7" s="20">
        <f t="shared" si="6"/>
        <v>2.858125432</v>
      </c>
      <c r="R7" s="20">
        <f t="shared" si="9"/>
        <v>97.53448316</v>
      </c>
      <c r="S7" s="20">
        <f t="shared" si="8"/>
        <v>0.6240491412</v>
      </c>
      <c r="U7" s="20">
        <f>IFERROR(__xludf.DUMMYFUNCTION("iferror(PERCENTRANK.INC(FILTER($Q$3:$Q$432, $P$3:$P$432&lt;3.75), $Q7), 1)"),1.0)</f>
        <v>1</v>
      </c>
      <c r="V7" s="20">
        <f>IFERROR(__xludf.DUMMYFUNCTION("iferror(PERCENTRANK.INC(FILTER($Q$3:$Q$432, $P$3:$P$432&lt;4.25), $Q7), 1)"),1.0)</f>
        <v>1</v>
      </c>
      <c r="W7" s="20">
        <f>IFERROR(__xludf.DUMMYFUNCTION("iferror(PERCENTRANK.INC(FILTER($Q$3:$Q$432, $P$3:$P$432&gt;=4.1), $Q7), 0)"),0.808)</f>
        <v>0.808</v>
      </c>
    </row>
    <row r="8" ht="14.25" customHeight="1">
      <c r="A8" s="14" t="s">
        <v>1452</v>
      </c>
      <c r="B8" s="14" t="s">
        <v>609</v>
      </c>
      <c r="C8" s="14">
        <v>68.0</v>
      </c>
      <c r="D8" s="14" t="s">
        <v>1446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-0.04047684288</v>
      </c>
      <c r="L8" s="20">
        <f t="shared" si="3"/>
        <v>1.697763335</v>
      </c>
      <c r="M8" s="20">
        <f t="shared" si="4"/>
        <v>1.002467264</v>
      </c>
      <c r="N8" s="20">
        <f t="shared" si="5"/>
        <v>96.78514846</v>
      </c>
      <c r="P8" s="14">
        <v>2.93</v>
      </c>
      <c r="Q8" s="20">
        <f t="shared" si="6"/>
        <v>1.792409614</v>
      </c>
      <c r="R8" s="20">
        <f t="shared" si="9"/>
        <v>95.01418331</v>
      </c>
      <c r="S8" s="20">
        <f t="shared" si="8"/>
        <v>-1.770965152</v>
      </c>
      <c r="U8" s="20">
        <f>IFERROR(__xludf.DUMMYFUNCTION("iferror(PERCENTRANK.INC(FILTER($Q$3:$Q$432, $P$3:$P$432&lt;3.75), $Q8), 1)"),0.889)</f>
        <v>0.889</v>
      </c>
      <c r="V8" s="20">
        <f>IFERROR(__xludf.DUMMYFUNCTION("iferror(PERCENTRANK.INC(FILTER($Q$3:$Q$432, $P$3:$P$432&lt;4.25), $Q8), 1)"),0.781)</f>
        <v>0.781</v>
      </c>
      <c r="W8" s="20">
        <f>IFERROR(__xludf.DUMMYFUNCTION("iferror(PERCENTRANK.INC(FILTER($Q$3:$Q$432, $P$3:$P$432&gt;=4.1), $Q8), 0)"),0.117)</f>
        <v>0.117</v>
      </c>
    </row>
    <row r="9" ht="14.25" customHeight="1">
      <c r="A9" s="14" t="s">
        <v>1453</v>
      </c>
      <c r="B9" s="14" t="s">
        <v>1237</v>
      </c>
      <c r="C9" s="14">
        <v>68.0</v>
      </c>
      <c r="D9" s="14" t="s">
        <v>1446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0.8749225269</v>
      </c>
      <c r="L9" s="20">
        <f t="shared" si="3"/>
        <v>1.035704622</v>
      </c>
      <c r="M9" s="20">
        <f t="shared" si="4"/>
        <v>0.971391784</v>
      </c>
      <c r="N9" s="20">
        <f t="shared" si="5"/>
        <v>96.72715515</v>
      </c>
      <c r="P9" s="14">
        <v>4.14</v>
      </c>
      <c r="Q9" s="20">
        <f t="shared" si="6"/>
        <v>2.539617682</v>
      </c>
      <c r="R9" s="20">
        <f t="shared" si="9"/>
        <v>96.78124762</v>
      </c>
      <c r="S9" s="20">
        <f t="shared" si="8"/>
        <v>0.05409247283</v>
      </c>
      <c r="U9" s="20">
        <f>IFERROR(__xludf.DUMMYFUNCTION("iferror(PERCENTRANK.INC(FILTER($Q$3:$Q$432, $P$3:$P$432&lt;3.75), $Q9), 1)"),1.0)</f>
        <v>1</v>
      </c>
      <c r="V9" s="20">
        <f>IFERROR(__xludf.DUMMYFUNCTION("iferror(PERCENTRANK.INC(FILTER($Q$3:$Q$432, $P$3:$P$432&lt;4.25), $Q9), 1)"),1.0)</f>
        <v>1</v>
      </c>
      <c r="W9" s="20">
        <f>IFERROR(__xludf.DUMMYFUNCTION("iferror(PERCENTRANK.INC(FILTER($Q$3:$Q$432, $P$3:$P$432&gt;=4.1), $Q9), 0)"),0.654)</f>
        <v>0.654</v>
      </c>
    </row>
    <row r="10" ht="14.25" customHeight="1">
      <c r="A10" s="14" t="s">
        <v>1454</v>
      </c>
      <c r="B10" s="14" t="s">
        <v>1406</v>
      </c>
      <c r="C10" s="14">
        <v>61.0</v>
      </c>
      <c r="D10" s="14" t="s">
        <v>1446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0.3518371727</v>
      </c>
      <c r="L10" s="20">
        <f t="shared" si="3"/>
        <v>1.300528107</v>
      </c>
      <c r="M10" s="20">
        <f t="shared" si="4"/>
        <v>0.9210517334</v>
      </c>
      <c r="N10" s="20">
        <f t="shared" si="5"/>
        <v>96.63321013</v>
      </c>
      <c r="P10" s="14">
        <v>3.95</v>
      </c>
      <c r="Q10" s="20">
        <f t="shared" si="6"/>
        <v>2.340656773</v>
      </c>
      <c r="R10" s="20">
        <f t="shared" si="9"/>
        <v>96.31072711</v>
      </c>
      <c r="S10" s="20">
        <f t="shared" si="8"/>
        <v>-0.3224830213</v>
      </c>
      <c r="U10" s="20">
        <f>IFERROR(__xludf.DUMMYFUNCTION("iferror(PERCENTRANK.INC(FILTER($Q$3:$Q$432, $P$3:$P$432&lt;3.75), $Q10), 1)"),1.0)</f>
        <v>1</v>
      </c>
      <c r="V10" s="20">
        <f>IFERROR(__xludf.DUMMYFUNCTION("iferror(PERCENTRANK.INC(FILTER($Q$3:$Q$432, $P$3:$P$432&lt;4.25), $Q10), 1)"),0.953)</f>
        <v>0.953</v>
      </c>
      <c r="W10" s="20">
        <f>IFERROR(__xludf.DUMMYFUNCTION("iferror(PERCENTRANK.INC(FILTER($Q$3:$Q$432, $P$3:$P$432&gt;=4.1), $Q10), 0)"),0.4)</f>
        <v>0.4</v>
      </c>
    </row>
    <row r="11" ht="14.25" customHeight="1">
      <c r="A11" s="14" t="s">
        <v>1455</v>
      </c>
      <c r="B11" s="14" t="s">
        <v>711</v>
      </c>
      <c r="C11" s="14">
        <v>53.0</v>
      </c>
      <c r="D11" s="14" t="s">
        <v>1446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1.921093235</v>
      </c>
      <c r="L11" s="20">
        <f t="shared" si="3"/>
        <v>0.1088224238</v>
      </c>
      <c r="M11" s="20">
        <f t="shared" si="4"/>
        <v>0.8337307484</v>
      </c>
      <c r="N11" s="20">
        <f t="shared" si="5"/>
        <v>96.47025099</v>
      </c>
      <c r="Q11" s="20">
        <f t="shared" si="6"/>
        <v>0.5980924553</v>
      </c>
      <c r="R11" s="20">
        <f t="shared" si="9"/>
        <v>92.18975553</v>
      </c>
      <c r="S11" s="20">
        <f t="shared" si="8"/>
        <v>-4.280495459</v>
      </c>
      <c r="U11" s="20">
        <f>IFERROR(__xludf.DUMMYFUNCTION("iferror(PERCENTRANK.INC(FILTER($Q$3:$Q$432, $P$3:$P$432&lt;3.75), $Q11), 1)"),0.833)</f>
        <v>0.833</v>
      </c>
      <c r="V11" s="20">
        <f>IFERROR(__xludf.DUMMYFUNCTION("iferror(PERCENTRANK.INC(FILTER($Q$3:$Q$432, $P$3:$P$432&lt;4.25), $Q11), 1)"),0.703)</f>
        <v>0.703</v>
      </c>
      <c r="W11" s="20">
        <f>IFERROR(__xludf.DUMMYFUNCTION("iferror(PERCENTRANK.INC(FILTER($Q$3:$Q$432, $P$3:$P$432&gt;=4.1), $Q11), 0)"),0.0)</f>
        <v>0</v>
      </c>
    </row>
    <row r="12" ht="14.25" customHeight="1">
      <c r="A12" s="14" t="s">
        <v>1456</v>
      </c>
      <c r="B12" s="14" t="s">
        <v>1329</v>
      </c>
      <c r="C12" s="14">
        <v>75.0</v>
      </c>
      <c r="D12" s="14" t="s">
        <v>1446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1.136465204</v>
      </c>
      <c r="L12" s="20">
        <f t="shared" si="3"/>
        <v>0.3925618722</v>
      </c>
      <c r="M12" s="20">
        <f t="shared" si="4"/>
        <v>0.6901232049</v>
      </c>
      <c r="N12" s="20">
        <f t="shared" si="5"/>
        <v>96.20224941</v>
      </c>
      <c r="P12" s="14">
        <v>4.66</v>
      </c>
      <c r="Q12" s="20">
        <f t="shared" si="6"/>
        <v>2.749451936</v>
      </c>
      <c r="R12" s="20">
        <f t="shared" si="9"/>
        <v>97.27748238</v>
      </c>
      <c r="S12" s="20">
        <f t="shared" si="8"/>
        <v>1.07523297</v>
      </c>
      <c r="U12" s="20">
        <f>IFERROR(__xludf.DUMMYFUNCTION("iferror(PERCENTRANK.INC(FILTER($Q$3:$Q$432, $P$3:$P$432&lt;3.75), $Q12), 1)"),1.0)</f>
        <v>1</v>
      </c>
      <c r="V12" s="20">
        <f>IFERROR(__xludf.DUMMYFUNCTION("iferror(PERCENTRANK.INC(FILTER($Q$3:$Q$432, $P$3:$P$432&lt;4.25), $Q12), 1)"),1.0)</f>
        <v>1</v>
      </c>
      <c r="W12" s="20">
        <f>IFERROR(__xludf.DUMMYFUNCTION("iferror(PERCENTRANK.INC(FILTER($Q$3:$Q$432, $P$3:$P$432&gt;=4.1), $Q12), 0)"),0.692)</f>
        <v>0.692</v>
      </c>
    </row>
    <row r="13" ht="14.25" customHeight="1">
      <c r="A13" s="14" t="s">
        <v>1457</v>
      </c>
      <c r="B13" s="14" t="s">
        <v>1394</v>
      </c>
      <c r="C13" s="14">
        <v>56.0</v>
      </c>
      <c r="D13" s="14" t="s">
        <v>1446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1.52877922</v>
      </c>
      <c r="L13" s="20">
        <f t="shared" si="3"/>
        <v>0.1088224238</v>
      </c>
      <c r="M13" s="20">
        <f t="shared" si="4"/>
        <v>0.6768051421</v>
      </c>
      <c r="N13" s="20">
        <f t="shared" si="5"/>
        <v>96.17739514</v>
      </c>
      <c r="P13" s="14">
        <v>3.6</v>
      </c>
      <c r="Q13" s="20">
        <f t="shared" si="6"/>
        <v>2.280398251</v>
      </c>
      <c r="R13" s="20">
        <f t="shared" si="9"/>
        <v>96.16822238</v>
      </c>
      <c r="S13" s="20">
        <f t="shared" si="8"/>
        <v>-0.009172756345</v>
      </c>
      <c r="U13" s="20">
        <f>IFERROR(__xludf.DUMMYFUNCTION("iferror(PERCENTRANK.INC(FILTER($Q$3:$Q$432, $P$3:$P$432&lt;3.75), $Q13), 1)"),1.0)</f>
        <v>1</v>
      </c>
      <c r="V13" s="20">
        <f>IFERROR(__xludf.DUMMYFUNCTION("iferror(PERCENTRANK.INC(FILTER($Q$3:$Q$432, $P$3:$P$432&lt;4.25), $Q13), 1)"),0.906)</f>
        <v>0.906</v>
      </c>
      <c r="W13" s="20">
        <f>IFERROR(__xludf.DUMMYFUNCTION("iferror(PERCENTRANK.INC(FILTER($Q$3:$Q$432, $P$3:$P$432&gt;=4.1), $Q13), 0)"),0.34)</f>
        <v>0.34</v>
      </c>
    </row>
    <row r="14" ht="14.25" customHeight="1">
      <c r="A14" s="14" t="s">
        <v>1458</v>
      </c>
      <c r="B14" s="14" t="s">
        <v>1237</v>
      </c>
      <c r="C14" s="14">
        <v>60.0</v>
      </c>
      <c r="D14" s="14" t="s">
        <v>1446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-0.04047684288</v>
      </c>
      <c r="L14" s="20">
        <f t="shared" si="3"/>
        <v>1.130284438</v>
      </c>
      <c r="M14" s="20">
        <f t="shared" si="4"/>
        <v>0.6619799257</v>
      </c>
      <c r="N14" s="20">
        <f t="shared" si="5"/>
        <v>96.1497282</v>
      </c>
      <c r="Q14" s="20">
        <f t="shared" si="6"/>
        <v>0.2139138348</v>
      </c>
      <c r="R14" s="20">
        <f t="shared" si="9"/>
        <v>91.28121565</v>
      </c>
      <c r="S14" s="20">
        <f t="shared" si="8"/>
        <v>-4.868512542</v>
      </c>
      <c r="U14" s="20">
        <f>IFERROR(__xludf.DUMMYFUNCTION("iferror(PERCENTRANK.INC(FILTER($Q$3:$Q$432, $P$3:$P$432&lt;3.75), $Q14), 1)"),0.722)</f>
        <v>0.722</v>
      </c>
      <c r="V14" s="20">
        <f>IFERROR(__xludf.DUMMYFUNCTION("iferror(PERCENTRANK.INC(FILTER($Q$3:$Q$432, $P$3:$P$432&lt;4.25), $Q14), 1)"),0.609)</f>
        <v>0.609</v>
      </c>
      <c r="W14" s="20">
        <f>IFERROR(__xludf.DUMMYFUNCTION("iferror(PERCENTRANK.INC(FILTER($Q$3:$Q$432, $P$3:$P$432&gt;=4.1), $Q14), 0)"),0.0)</f>
        <v>0</v>
      </c>
    </row>
    <row r="15" ht="14.25" customHeight="1">
      <c r="A15" s="14" t="s">
        <v>1459</v>
      </c>
      <c r="B15" s="14" t="s">
        <v>1345</v>
      </c>
      <c r="C15" s="14">
        <v>60.0</v>
      </c>
      <c r="D15" s="14" t="s">
        <v>1446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0.4826085113</v>
      </c>
      <c r="L15" s="20">
        <f t="shared" si="3"/>
        <v>0.7330492103</v>
      </c>
      <c r="M15" s="20">
        <f t="shared" si="4"/>
        <v>0.6328729307</v>
      </c>
      <c r="N15" s="20">
        <f t="shared" si="5"/>
        <v>96.09540848</v>
      </c>
      <c r="P15" s="14">
        <v>5.23</v>
      </c>
      <c r="Q15" s="20">
        <f t="shared" si="6"/>
        <v>2.906392395</v>
      </c>
      <c r="R15" s="20">
        <f t="shared" si="9"/>
        <v>97.64862919</v>
      </c>
      <c r="S15" s="20">
        <f t="shared" si="8"/>
        <v>1.553220705</v>
      </c>
      <c r="U15" s="20">
        <f>IFERROR(__xludf.DUMMYFUNCTION("iferror(PERCENTRANK.INC(FILTER($Q$3:$Q$432, $P$3:$P$432&lt;3.75), $Q15), 1)"),1.0)</f>
        <v>1</v>
      </c>
      <c r="V15" s="20">
        <f>IFERROR(__xludf.DUMMYFUNCTION("iferror(PERCENTRANK.INC(FILTER($Q$3:$Q$432, $P$3:$P$432&lt;4.25), $Q15), 1)"),1.0)</f>
        <v>1</v>
      </c>
      <c r="W15" s="20">
        <f>IFERROR(__xludf.DUMMYFUNCTION("iferror(PERCENTRANK.INC(FILTER($Q$3:$Q$432, $P$3:$P$432&gt;=4.1), $Q15), 0)"),0.846)</f>
        <v>0.846</v>
      </c>
    </row>
    <row r="16" ht="14.25" customHeight="1">
      <c r="A16" s="14" t="s">
        <v>1460</v>
      </c>
      <c r="B16" s="14" t="s">
        <v>1394</v>
      </c>
      <c r="C16" s="14">
        <v>50.0</v>
      </c>
      <c r="D16" s="14" t="s">
        <v>1446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0.6133798498</v>
      </c>
      <c r="L16" s="20">
        <f t="shared" si="3"/>
        <v>0.543889578</v>
      </c>
      <c r="M16" s="20">
        <f t="shared" si="4"/>
        <v>0.5716856868</v>
      </c>
      <c r="N16" s="20">
        <f t="shared" si="5"/>
        <v>95.98122034</v>
      </c>
      <c r="P16" s="14">
        <v>3.18</v>
      </c>
      <c r="Q16" s="20">
        <f t="shared" si="6"/>
        <v>1.882791871</v>
      </c>
      <c r="R16" s="20">
        <f t="shared" si="9"/>
        <v>95.22792734</v>
      </c>
      <c r="S16" s="20">
        <f t="shared" si="8"/>
        <v>-0.7532930085</v>
      </c>
      <c r="U16" s="20">
        <f>IFERROR(__xludf.DUMMYFUNCTION("iferror(PERCENTRANK.INC(FILTER($Q$3:$Q$432, $P$3:$P$432&lt;3.75), $Q16), 1)"),0.926)</f>
        <v>0.926</v>
      </c>
      <c r="V16" s="20">
        <f>IFERROR(__xludf.DUMMYFUNCTION("iferror(PERCENTRANK.INC(FILTER($Q$3:$Q$432, $P$3:$P$432&lt;4.25), $Q16), 1)"),0.813)</f>
        <v>0.813</v>
      </c>
      <c r="W16" s="20">
        <f>IFERROR(__xludf.DUMMYFUNCTION("iferror(PERCENTRANK.INC(FILTER($Q$3:$Q$432, $P$3:$P$432&gt;=4.1), $Q16), 0)"),0.155)</f>
        <v>0.155</v>
      </c>
    </row>
    <row r="17" ht="14.25" customHeight="1">
      <c r="A17" s="14" t="s">
        <v>1461</v>
      </c>
      <c r="B17" s="14" t="s">
        <v>1369</v>
      </c>
      <c r="C17" s="14">
        <v>57.0</v>
      </c>
      <c r="D17" s="14" t="s">
        <v>1446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0.7441511884</v>
      </c>
      <c r="L17" s="20">
        <f t="shared" si="3"/>
        <v>0.4493097619</v>
      </c>
      <c r="M17" s="20">
        <f t="shared" si="4"/>
        <v>0.5672463325</v>
      </c>
      <c r="N17" s="20">
        <f t="shared" si="5"/>
        <v>95.97293559</v>
      </c>
      <c r="Q17" s="20">
        <f t="shared" si="6"/>
        <v>0.3131073089</v>
      </c>
      <c r="R17" s="20">
        <f t="shared" si="9"/>
        <v>91.51579723</v>
      </c>
      <c r="S17" s="20">
        <f t="shared" si="8"/>
        <v>-4.457138354</v>
      </c>
      <c r="U17" s="20">
        <f>IFERROR(__xludf.DUMMYFUNCTION("iferror(PERCENTRANK.INC(FILTER($Q$3:$Q$432, $P$3:$P$432&lt;3.75), $Q17), 1)"),0.796)</f>
        <v>0.796</v>
      </c>
      <c r="V17" s="20">
        <f>IFERROR(__xludf.DUMMYFUNCTION("iferror(PERCENTRANK.INC(FILTER($Q$3:$Q$432, $P$3:$P$432&lt;4.25), $Q17), 1)"),0.672)</f>
        <v>0.672</v>
      </c>
      <c r="W17" s="20">
        <f>IFERROR(__xludf.DUMMYFUNCTION("iferror(PERCENTRANK.INC(FILTER($Q$3:$Q$432, $P$3:$P$432&gt;=4.1), $Q17), 0)"),0.0)</f>
        <v>0</v>
      </c>
    </row>
    <row r="18" ht="14.25" customHeight="1">
      <c r="A18" s="14" t="s">
        <v>1462</v>
      </c>
      <c r="B18" s="14" t="s">
        <v>1374</v>
      </c>
      <c r="C18" s="14">
        <v>69.0</v>
      </c>
      <c r="D18" s="14" t="s">
        <v>1446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0.3518371727</v>
      </c>
      <c r="L18" s="20">
        <f t="shared" si="3"/>
        <v>0.6763013206</v>
      </c>
      <c r="M18" s="20">
        <f t="shared" si="4"/>
        <v>0.5465156615</v>
      </c>
      <c r="N18" s="20">
        <f t="shared" si="5"/>
        <v>95.93424784</v>
      </c>
      <c r="P18" s="14">
        <v>4.19</v>
      </c>
      <c r="Q18" s="20">
        <f t="shared" si="6"/>
        <v>2.335811416</v>
      </c>
      <c r="R18" s="20">
        <f t="shared" si="9"/>
        <v>96.29926838</v>
      </c>
      <c r="S18" s="20">
        <f t="shared" si="8"/>
        <v>0.3650205405</v>
      </c>
      <c r="U18" s="20">
        <f>IFERROR(__xludf.DUMMYFUNCTION("iferror(PERCENTRANK.INC(FILTER($Q$3:$Q$432, $P$3:$P$432&lt;3.75), $Q18), 1)"),1.0)</f>
        <v>1</v>
      </c>
      <c r="V18" s="20">
        <f>IFERROR(__xludf.DUMMYFUNCTION("iferror(PERCENTRANK.INC(FILTER($Q$3:$Q$432, $P$3:$P$432&lt;4.25), $Q18), 1)"),0.938)</f>
        <v>0.938</v>
      </c>
      <c r="W18" s="20">
        <f>IFERROR(__xludf.DUMMYFUNCTION("iferror(PERCENTRANK.INC(FILTER($Q$3:$Q$432, $P$3:$P$432&gt;=4.1), $Q18), 0)"),0.385)</f>
        <v>0.385</v>
      </c>
    </row>
    <row r="19" ht="14.25" customHeight="1">
      <c r="A19" s="14" t="s">
        <v>1463</v>
      </c>
      <c r="B19" s="14" t="s">
        <v>1420</v>
      </c>
      <c r="C19" s="14">
        <v>79.0</v>
      </c>
      <c r="D19" s="14" t="s">
        <v>1446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-1.086647551</v>
      </c>
      <c r="L19" s="20">
        <f t="shared" si="3"/>
        <v>1.584267556</v>
      </c>
      <c r="M19" s="20">
        <f t="shared" si="4"/>
        <v>0.5159015129</v>
      </c>
      <c r="N19" s="20">
        <f t="shared" si="5"/>
        <v>95.87711546</v>
      </c>
      <c r="P19" s="14">
        <v>3.24</v>
      </c>
      <c r="Q19" s="20">
        <f t="shared" si="6"/>
        <v>1.610859246</v>
      </c>
      <c r="R19" s="20">
        <f t="shared" si="9"/>
        <v>94.5848368</v>
      </c>
      <c r="S19" s="20">
        <f t="shared" si="8"/>
        <v>-1.292278659</v>
      </c>
      <c r="U19" s="20">
        <f>IFERROR(__xludf.DUMMYFUNCTION("iferror(PERCENTRANK.INC(FILTER($Q$3:$Q$432, $P$3:$P$432&lt;3.75), $Q19), 1)"),0.87)</f>
        <v>0.87</v>
      </c>
      <c r="V19" s="20">
        <f>IFERROR(__xludf.DUMMYFUNCTION("iferror(PERCENTRANK.INC(FILTER($Q$3:$Q$432, $P$3:$P$432&lt;4.25), $Q19), 1)"),0.75)</f>
        <v>0.75</v>
      </c>
      <c r="W19" s="20">
        <f>IFERROR(__xludf.DUMMYFUNCTION("iferror(PERCENTRANK.INC(FILTER($Q$3:$Q$432, $P$3:$P$432&gt;=4.1), $Q19), 0)"),0.033)</f>
        <v>0.033</v>
      </c>
    </row>
    <row r="20" ht="14.25" customHeight="1">
      <c r="A20" s="14" t="s">
        <v>1464</v>
      </c>
      <c r="B20" s="14" t="s">
        <v>1412</v>
      </c>
      <c r="C20" s="14">
        <v>71.0</v>
      </c>
      <c r="D20" s="14" t="s">
        <v>1446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1.659550558</v>
      </c>
      <c r="L20" s="20">
        <f t="shared" si="3"/>
        <v>-0.2884128041</v>
      </c>
      <c r="M20" s="20">
        <f t="shared" si="4"/>
        <v>0.4907725408</v>
      </c>
      <c r="N20" s="20">
        <f t="shared" si="5"/>
        <v>95.83021957</v>
      </c>
      <c r="Q20" s="20">
        <f t="shared" si="6"/>
        <v>0.4401826066</v>
      </c>
      <c r="R20" s="20">
        <f t="shared" si="9"/>
        <v>91.81631623</v>
      </c>
      <c r="S20" s="20">
        <f t="shared" si="8"/>
        <v>-4.013903333</v>
      </c>
      <c r="U20" s="20">
        <f>IFERROR(__xludf.DUMMYFUNCTION("iferror(PERCENTRANK.INC(FILTER($Q$3:$Q$432, $P$3:$P$432&lt;3.75), $Q20), 1)"),0.815)</f>
        <v>0.815</v>
      </c>
      <c r="V20" s="20">
        <f>IFERROR(__xludf.DUMMYFUNCTION("iferror(PERCENTRANK.INC(FILTER($Q$3:$Q$432, $P$3:$P$432&lt;4.25), $Q20), 1)"),0.688)</f>
        <v>0.688</v>
      </c>
      <c r="W20" s="20">
        <f>IFERROR(__xludf.DUMMYFUNCTION("iferror(PERCENTRANK.INC(FILTER($Q$3:$Q$432, $P$3:$P$432&gt;=4.1), $Q20), 0)"),0.0)</f>
        <v>0</v>
      </c>
    </row>
    <row r="21" ht="14.25" customHeight="1">
      <c r="A21" s="14" t="s">
        <v>1465</v>
      </c>
      <c r="B21" s="14" t="s">
        <v>1401</v>
      </c>
      <c r="C21" s="14">
        <v>51.0</v>
      </c>
      <c r="D21" s="14" t="s">
        <v>1446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1.52877922</v>
      </c>
      <c r="L21" s="20">
        <f t="shared" si="3"/>
        <v>-0.2316649144</v>
      </c>
      <c r="M21" s="20">
        <f t="shared" si="4"/>
        <v>0.4725127392</v>
      </c>
      <c r="N21" s="20">
        <f t="shared" si="5"/>
        <v>95.79614298</v>
      </c>
      <c r="P21" s="14">
        <v>4.24</v>
      </c>
      <c r="Q21" s="20">
        <f t="shared" si="6"/>
        <v>2.532300783</v>
      </c>
      <c r="R21" s="20">
        <f t="shared" si="9"/>
        <v>96.76394396</v>
      </c>
      <c r="S21" s="20">
        <f t="shared" si="8"/>
        <v>0.9678009889</v>
      </c>
      <c r="U21" s="20">
        <f>IFERROR(__xludf.DUMMYFUNCTION("iferror(PERCENTRANK.INC(FILTER($Q$3:$Q$432, $P$3:$P$432&lt;3.75), $Q21), 1)"),1.0)</f>
        <v>1</v>
      </c>
      <c r="V21" s="20">
        <f>IFERROR(__xludf.DUMMYFUNCTION("iferror(PERCENTRANK.INC(FILTER($Q$3:$Q$432, $P$3:$P$432&lt;4.25), $Q21), 1)"),0.984)</f>
        <v>0.984</v>
      </c>
      <c r="W21" s="20">
        <f>IFERROR(__xludf.DUMMYFUNCTION("iferror(PERCENTRANK.INC(FILTER($Q$3:$Q$432, $P$3:$P$432&gt;=4.1), $Q21), 0)"),0.615)</f>
        <v>0.615</v>
      </c>
    </row>
    <row r="22" ht="14.25" customHeight="1">
      <c r="A22" s="14" t="s">
        <v>1466</v>
      </c>
      <c r="B22" s="14" t="s">
        <v>1358</v>
      </c>
      <c r="C22" s="14">
        <v>78.0</v>
      </c>
      <c r="D22" s="14" t="s">
        <v>1446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0.8749225269</v>
      </c>
      <c r="L22" s="20">
        <f t="shared" si="3"/>
        <v>-0.004673355621</v>
      </c>
      <c r="M22" s="20">
        <f t="shared" si="4"/>
        <v>0.3471649974</v>
      </c>
      <c r="N22" s="20">
        <f t="shared" si="5"/>
        <v>95.56221799</v>
      </c>
      <c r="P22" s="14">
        <v>5.19</v>
      </c>
      <c r="Q22" s="20">
        <f t="shared" si="6"/>
        <v>2.856542087</v>
      </c>
      <c r="R22" s="20">
        <f t="shared" si="9"/>
        <v>97.53073873</v>
      </c>
      <c r="S22" s="20">
        <f t="shared" si="8"/>
        <v>1.96852074</v>
      </c>
      <c r="U22" s="20">
        <f>IFERROR(__xludf.DUMMYFUNCTION("iferror(PERCENTRANK.INC(FILTER($Q$3:$Q$432, $P$3:$P$432&lt;3.75), $Q22), 1)"),1.0)</f>
        <v>1</v>
      </c>
      <c r="V22" s="20">
        <f>IFERROR(__xludf.DUMMYFUNCTION("iferror(PERCENTRANK.INC(FILTER($Q$3:$Q$432, $P$3:$P$432&lt;4.25), $Q22), 1)"),1.0)</f>
        <v>1</v>
      </c>
      <c r="W22" s="20">
        <f>IFERROR(__xludf.DUMMYFUNCTION("iferror(PERCENTRANK.INC(FILTER($Q$3:$Q$432, $P$3:$P$432&gt;=4.1), $Q22), 0)"),0.769)</f>
        <v>0.769</v>
      </c>
    </row>
    <row r="23" ht="14.25" customHeight="1">
      <c r="A23" s="14" t="s">
        <v>1467</v>
      </c>
      <c r="B23" s="14" t="s">
        <v>1249</v>
      </c>
      <c r="C23" s="14">
        <v>60.0</v>
      </c>
      <c r="D23" s="14" t="s">
        <v>1446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0.6133798498</v>
      </c>
      <c r="L23" s="20">
        <f t="shared" si="3"/>
        <v>0.1655703134</v>
      </c>
      <c r="M23" s="20">
        <f t="shared" si="4"/>
        <v>0.344694128</v>
      </c>
      <c r="N23" s="20">
        <f t="shared" si="5"/>
        <v>95.55760683</v>
      </c>
      <c r="P23" s="14">
        <v>4.19</v>
      </c>
      <c r="Q23" s="20">
        <f t="shared" si="6"/>
        <v>2.312128018</v>
      </c>
      <c r="R23" s="20">
        <f t="shared" si="9"/>
        <v>96.24325976</v>
      </c>
      <c r="S23" s="20">
        <f t="shared" si="8"/>
        <v>0.6856529313</v>
      </c>
      <c r="U23" s="20">
        <f>IFERROR(__xludf.DUMMYFUNCTION("iferror(PERCENTRANK.INC(FILTER($Q$3:$Q$432, $P$3:$P$432&lt;3.75), $Q23), 1)"),1.0)</f>
        <v>1</v>
      </c>
      <c r="V23" s="20">
        <f>IFERROR(__xludf.DUMMYFUNCTION("iferror(PERCENTRANK.INC(FILTER($Q$3:$Q$432, $P$3:$P$432&lt;4.25), $Q23), 1)"),0.922)</f>
        <v>0.922</v>
      </c>
      <c r="W23" s="20">
        <f>IFERROR(__xludf.DUMMYFUNCTION("iferror(PERCENTRANK.INC(FILTER($Q$3:$Q$432, $P$3:$P$432&gt;=4.1), $Q23), 0)"),0.346)</f>
        <v>0.346</v>
      </c>
    </row>
    <row r="24" ht="14.25" customHeight="1">
      <c r="A24" s="16" t="s">
        <v>1468</v>
      </c>
      <c r="B24" s="16" t="s">
        <v>1469</v>
      </c>
      <c r="C24" s="16">
        <v>76.0</v>
      </c>
      <c r="D24" s="16" t="s">
        <v>1327</v>
      </c>
      <c r="E24" s="16" t="s">
        <v>136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-1.609732905</v>
      </c>
      <c r="L24" s="20">
        <f t="shared" si="3"/>
        <v>-2.028681421</v>
      </c>
      <c r="M24" s="20">
        <f t="shared" si="4"/>
        <v>-1.861102015</v>
      </c>
      <c r="N24" s="20">
        <f t="shared" si="5"/>
        <v>91.44113195</v>
      </c>
      <c r="P24" s="14">
        <v>4.19</v>
      </c>
      <c r="Q24" s="20">
        <f t="shared" si="6"/>
        <v>1.206343844</v>
      </c>
      <c r="R24" s="20">
        <f t="shared" si="9"/>
        <v>93.62820269</v>
      </c>
      <c r="S24" s="20">
        <f t="shared" si="8"/>
        <v>2.187070743</v>
      </c>
      <c r="U24" s="20">
        <f>IFERROR(__xludf.DUMMYFUNCTION("iferror(PERCENTRANK.INC(FILTER($Q$3:$Q$432, $P$3:$P$432&lt;3.75), $Q24), 1)"),0.851)</f>
        <v>0.851</v>
      </c>
      <c r="V24" s="20">
        <f>IFERROR(__xludf.DUMMYFUNCTION("iferror(PERCENTRANK.INC(FILTER($Q$3:$Q$432, $P$3:$P$432&lt;4.25), $Q24), 1)"),0.719)</f>
        <v>0.719</v>
      </c>
      <c r="W24" s="20">
        <f>IFERROR(__xludf.DUMMYFUNCTION("iferror(PERCENTRANK.INC(FILTER($Q$3:$Q$432, $P$3:$P$432&gt;=4.1), $Q24), 0)"),0.0)</f>
        <v>0</v>
      </c>
    </row>
    <row r="25" ht="14.25" customHeight="1">
      <c r="A25" s="14" t="s">
        <v>1470</v>
      </c>
      <c r="B25" s="14" t="s">
        <v>1378</v>
      </c>
      <c r="C25" s="14">
        <v>68.0</v>
      </c>
      <c r="D25" s="14" t="s">
        <v>1446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1.267236543</v>
      </c>
      <c r="L25" s="20">
        <f t="shared" si="3"/>
        <v>-0.3073287673</v>
      </c>
      <c r="M25" s="20">
        <f t="shared" si="4"/>
        <v>0.3224973566</v>
      </c>
      <c r="N25" s="20">
        <f t="shared" si="5"/>
        <v>95.51618304</v>
      </c>
      <c r="P25" s="14">
        <v>3.39</v>
      </c>
      <c r="Q25" s="20">
        <f t="shared" si="6"/>
        <v>2.013705209</v>
      </c>
      <c r="R25" s="20">
        <f t="shared" si="9"/>
        <v>95.53752288</v>
      </c>
      <c r="S25" s="20">
        <f t="shared" si="8"/>
        <v>0.02133984484</v>
      </c>
      <c r="U25" s="20">
        <f>IFERROR(__xludf.DUMMYFUNCTION("iferror(PERCENTRANK.INC(FILTER($Q$3:$Q$432, $P$3:$P$432&lt;3.75), $Q25), 1)"),0.981)</f>
        <v>0.981</v>
      </c>
      <c r="V25" s="20">
        <f>IFERROR(__xludf.DUMMYFUNCTION("iferror(PERCENTRANK.INC(FILTER($Q$3:$Q$432, $P$3:$P$432&lt;4.25), $Q25), 1)"),0.875)</f>
        <v>0.875</v>
      </c>
      <c r="W25" s="20">
        <f>IFERROR(__xludf.DUMMYFUNCTION("iferror(PERCENTRANK.INC(FILTER($Q$3:$Q$432, $P$3:$P$432&gt;=4.1), $Q25), 0)"),0.218)</f>
        <v>0.218</v>
      </c>
    </row>
    <row r="26" ht="14.25" customHeight="1">
      <c r="A26" s="14" t="s">
        <v>1471</v>
      </c>
      <c r="B26" s="14" t="s">
        <v>1345</v>
      </c>
      <c r="C26" s="14">
        <v>61.0</v>
      </c>
      <c r="D26" s="14" t="s">
        <v>1446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-0.4327908585</v>
      </c>
      <c r="L26" s="20">
        <f t="shared" si="3"/>
        <v>0.7330492103</v>
      </c>
      <c r="M26" s="20">
        <f t="shared" si="4"/>
        <v>0.2667131828</v>
      </c>
      <c r="N26" s="20">
        <f t="shared" si="5"/>
        <v>95.41207815</v>
      </c>
      <c r="P26" s="14">
        <v>5.02</v>
      </c>
      <c r="Q26" s="20">
        <f t="shared" si="6"/>
        <v>2.526772585</v>
      </c>
      <c r="R26" s="20">
        <f t="shared" si="9"/>
        <v>96.75087039</v>
      </c>
      <c r="S26" s="20">
        <f t="shared" si="8"/>
        <v>1.338792235</v>
      </c>
      <c r="U26" s="20">
        <f>IFERROR(__xludf.DUMMYFUNCTION("iferror(PERCENTRANK.INC(FILTER($Q$3:$Q$432, $P$3:$P$432&lt;3.75), $Q26), 1)"),1.0)</f>
        <v>1</v>
      </c>
      <c r="V26" s="20">
        <f>IFERROR(__xludf.DUMMYFUNCTION("iferror(PERCENTRANK.INC(FILTER($Q$3:$Q$432, $P$3:$P$432&lt;4.25), $Q26), 1)"),0.983)</f>
        <v>0.983</v>
      </c>
      <c r="W26" s="20">
        <f>IFERROR(__xludf.DUMMYFUNCTION("iferror(PERCENTRANK.INC(FILTER($Q$3:$Q$432, $P$3:$P$432&gt;=4.1), $Q26), 0)"),0.577)</f>
        <v>0.577</v>
      </c>
    </row>
    <row r="27" ht="14.25" customHeight="1">
      <c r="A27" s="14" t="s">
        <v>1472</v>
      </c>
      <c r="B27" s="14" t="s">
        <v>1417</v>
      </c>
      <c r="C27" s="14">
        <v>55.0</v>
      </c>
      <c r="D27" s="14" t="s">
        <v>1446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-0.8251048741</v>
      </c>
      <c r="L27" s="20">
        <f t="shared" si="3"/>
        <v>0.9600407691</v>
      </c>
      <c r="M27" s="20">
        <f t="shared" si="4"/>
        <v>0.2459825118</v>
      </c>
      <c r="N27" s="20">
        <f t="shared" si="5"/>
        <v>95.3733904</v>
      </c>
      <c r="P27" s="14">
        <v>3.98</v>
      </c>
      <c r="Q27" s="20">
        <f t="shared" si="6"/>
        <v>1.934476692</v>
      </c>
      <c r="R27" s="20">
        <f t="shared" si="9"/>
        <v>95.35015621</v>
      </c>
      <c r="S27" s="20">
        <f t="shared" si="8"/>
        <v>-0.02323419076</v>
      </c>
      <c r="U27" s="20">
        <f>IFERROR(__xludf.DUMMYFUNCTION("iferror(PERCENTRANK.INC(FILTER($Q$3:$Q$432, $P$3:$P$432&lt;3.75), $Q27), 1)"),0.951)</f>
        <v>0.951</v>
      </c>
      <c r="V27" s="20">
        <f>IFERROR(__xludf.DUMMYFUNCTION("iferror(PERCENTRANK.INC(FILTER($Q$3:$Q$432, $P$3:$P$432&lt;4.25), $Q27), 1)"),0.844)</f>
        <v>0.844</v>
      </c>
      <c r="W27" s="20">
        <f>IFERROR(__xludf.DUMMYFUNCTION("iferror(PERCENTRANK.INC(FILTER($Q$3:$Q$432, $P$3:$P$432&gt;=4.1), $Q27), 0)"),0.173)</f>
        <v>0.173</v>
      </c>
    </row>
    <row r="28" ht="14.25" customHeight="1">
      <c r="A28" s="14" t="s">
        <v>1473</v>
      </c>
      <c r="B28" s="14" t="s">
        <v>1474</v>
      </c>
      <c r="C28" s="14">
        <v>52.0</v>
      </c>
      <c r="D28" s="14" t="s">
        <v>1446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0.2210658342</v>
      </c>
      <c r="L28" s="20">
        <f t="shared" si="3"/>
        <v>0.2034022399</v>
      </c>
      <c r="M28" s="20">
        <f t="shared" si="4"/>
        <v>0.2104676776</v>
      </c>
      <c r="N28" s="20">
        <f t="shared" si="5"/>
        <v>95.30711233</v>
      </c>
      <c r="P28" s="14">
        <v>4.7</v>
      </c>
      <c r="Q28" s="20">
        <f t="shared" si="6"/>
        <v>2.457000198</v>
      </c>
      <c r="R28" s="20">
        <f t="shared" si="9"/>
        <v>96.58586642</v>
      </c>
      <c r="S28" s="20">
        <f t="shared" si="8"/>
        <v>1.278754095</v>
      </c>
      <c r="U28" s="20">
        <f>IFERROR(__xludf.DUMMYFUNCTION("iferror(PERCENTRANK.INC(FILTER($Q$3:$Q$432, $P$3:$P$432&lt;3.75), $Q28), 1)"),1.0)</f>
        <v>1</v>
      </c>
      <c r="V28" s="20">
        <f>IFERROR(__xludf.DUMMYFUNCTION("iferror(PERCENTRANK.INC(FILTER($Q$3:$Q$432, $P$3:$P$432&lt;4.25), $Q28), 1)"),0.972)</f>
        <v>0.972</v>
      </c>
      <c r="W28" s="20">
        <f>IFERROR(__xludf.DUMMYFUNCTION("iferror(PERCENTRANK.INC(FILTER($Q$3:$Q$432, $P$3:$P$432&gt;=4.1), $Q28), 0)"),0.538)</f>
        <v>0.538</v>
      </c>
    </row>
    <row r="29" ht="14.25" customHeight="1">
      <c r="A29" s="14" t="s">
        <v>1475</v>
      </c>
      <c r="B29" s="14" t="s">
        <v>1476</v>
      </c>
      <c r="C29" s="14">
        <v>52.0</v>
      </c>
      <c r="D29" s="14" t="s">
        <v>1446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1.005693865</v>
      </c>
      <c r="L29" s="20">
        <f t="shared" si="3"/>
        <v>-0.3451606938</v>
      </c>
      <c r="M29" s="20">
        <f t="shared" si="4"/>
        <v>0.1951811299</v>
      </c>
      <c r="N29" s="20">
        <f t="shared" si="5"/>
        <v>95.27858445</v>
      </c>
      <c r="Q29" s="20">
        <f t="shared" si="6"/>
        <v>0.2326760209</v>
      </c>
      <c r="R29" s="20">
        <f t="shared" si="9"/>
        <v>91.32558615</v>
      </c>
      <c r="S29" s="20">
        <f t="shared" si="8"/>
        <v>-3.952998302</v>
      </c>
      <c r="U29" s="20">
        <f>IFERROR(__xludf.DUMMYFUNCTION("iferror(PERCENTRANK.INC(FILTER($Q$3:$Q$432, $P$3:$P$432&lt;3.75), $Q29), 1)"),0.759)</f>
        <v>0.759</v>
      </c>
      <c r="V29" s="20">
        <f>IFERROR(__xludf.DUMMYFUNCTION("iferror(PERCENTRANK.INC(FILTER($Q$3:$Q$432, $P$3:$P$432&lt;4.25), $Q29), 1)"),0.641)</f>
        <v>0.641</v>
      </c>
      <c r="W29" s="20">
        <f>IFERROR(__xludf.DUMMYFUNCTION("iferror(PERCENTRANK.INC(FILTER($Q$3:$Q$432, $P$3:$P$432&gt;=4.1), $Q29), 0)"),0.0)</f>
        <v>0</v>
      </c>
    </row>
    <row r="30" ht="14.25" customHeight="1">
      <c r="A30" s="14" t="s">
        <v>1477</v>
      </c>
      <c r="B30" s="14" t="s">
        <v>1401</v>
      </c>
      <c r="C30" s="14">
        <v>74.0</v>
      </c>
      <c r="D30" s="14" t="s">
        <v>1446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2.182635912</v>
      </c>
      <c r="L30" s="20">
        <f t="shared" si="3"/>
        <v>-1.139631149</v>
      </c>
      <c r="M30" s="20">
        <f t="shared" si="4"/>
        <v>0.1892756753</v>
      </c>
      <c r="N30" s="20">
        <f t="shared" si="5"/>
        <v>95.26756364</v>
      </c>
      <c r="P30" s="14">
        <v>4.02</v>
      </c>
      <c r="Q30" s="20">
        <f t="shared" si="6"/>
        <v>2.436864544</v>
      </c>
      <c r="R30" s="20">
        <f t="shared" si="9"/>
        <v>96.53824783</v>
      </c>
      <c r="S30" s="20">
        <f t="shared" si="8"/>
        <v>1.270684191</v>
      </c>
      <c r="U30" s="20">
        <f>IFERROR(__xludf.DUMMYFUNCTION("iferror(PERCENTRANK.INC(FILTER($Q$3:$Q$432, $P$3:$P$432&lt;3.75), $Q30), 1)"),1.0)</f>
        <v>1</v>
      </c>
      <c r="V30" s="20">
        <f>IFERROR(__xludf.DUMMYFUNCTION("iferror(PERCENTRANK.INC(FILTER($Q$3:$Q$432, $P$3:$P$432&lt;4.25), $Q30), 1)"),0.969)</f>
        <v>0.969</v>
      </c>
      <c r="W30" s="20">
        <f>IFERROR(__xludf.DUMMYFUNCTION("iferror(PERCENTRANK.INC(FILTER($Q$3:$Q$432, $P$3:$P$432&gt;=4.1), $Q30), 0)"),0.476)</f>
        <v>0.476</v>
      </c>
    </row>
    <row r="31" ht="14.25" customHeight="1">
      <c r="A31" s="14" t="s">
        <v>1478</v>
      </c>
      <c r="B31" s="14" t="s">
        <v>1347</v>
      </c>
      <c r="C31" s="14">
        <v>78.0</v>
      </c>
      <c r="D31" s="14" t="s">
        <v>1446</v>
      </c>
      <c r="E31" s="14" t="s">
        <v>1348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-0.04047684288</v>
      </c>
      <c r="L31" s="20">
        <f t="shared" si="3"/>
        <v>0.2790660928</v>
      </c>
      <c r="M31" s="20">
        <f t="shared" si="4"/>
        <v>0.1512489185</v>
      </c>
      <c r="N31" s="20">
        <f t="shared" si="5"/>
        <v>95.19659779</v>
      </c>
      <c r="P31" s="14">
        <v>3.72</v>
      </c>
      <c r="Q31" s="20">
        <f t="shared" si="6"/>
        <v>1.903670166</v>
      </c>
      <c r="R31" s="20">
        <f t="shared" si="9"/>
        <v>95.27730219</v>
      </c>
      <c r="S31" s="20">
        <f t="shared" si="8"/>
        <v>0.08070439837</v>
      </c>
      <c r="U31" s="20">
        <f>IFERROR(__xludf.DUMMYFUNCTION("iferror(PERCENTRANK.INC(FILTER($Q$3:$Q$432, $P$3:$P$432&lt;3.75), $Q31), 1)"),0.944)</f>
        <v>0.944</v>
      </c>
      <c r="V31" s="20">
        <f>IFERROR(__xludf.DUMMYFUNCTION("iferror(PERCENTRANK.INC(FILTER($Q$3:$Q$432, $P$3:$P$432&lt;4.25), $Q31), 1)"),0.828)</f>
        <v>0.828</v>
      </c>
      <c r="W31" s="20">
        <f>IFERROR(__xludf.DUMMYFUNCTION("iferror(PERCENTRANK.INC(FILTER($Q$3:$Q$432, $P$3:$P$432&gt;=4.1), $Q31), 0)"),0.162)</f>
        <v>0.162</v>
      </c>
    </row>
    <row r="32" ht="14.25" customHeight="1">
      <c r="A32" s="14" t="s">
        <v>1479</v>
      </c>
      <c r="B32" s="14" t="s">
        <v>1233</v>
      </c>
      <c r="C32" s="14">
        <v>54.0</v>
      </c>
      <c r="D32" s="14" t="s">
        <v>1446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1.136465204</v>
      </c>
      <c r="L32" s="20">
        <f t="shared" si="3"/>
        <v>-0.5154043628</v>
      </c>
      <c r="M32" s="20">
        <f t="shared" si="4"/>
        <v>0.1453434639</v>
      </c>
      <c r="N32" s="20">
        <f t="shared" si="5"/>
        <v>95.18557699</v>
      </c>
      <c r="Q32" s="20">
        <f t="shared" si="6"/>
        <v>0.2378586886</v>
      </c>
      <c r="R32" s="20">
        <f t="shared" si="9"/>
        <v>91.33784258</v>
      </c>
      <c r="S32" s="20">
        <f t="shared" si="8"/>
        <v>-3.847734405</v>
      </c>
      <c r="U32" s="20">
        <f>IFERROR(__xludf.DUMMYFUNCTION("iferror(PERCENTRANK.INC(FILTER($Q$3:$Q$432, $P$3:$P$432&lt;3.75), $Q32), 1)"),0.778)</f>
        <v>0.778</v>
      </c>
      <c r="V32" s="20">
        <f>IFERROR(__xludf.DUMMYFUNCTION("iferror(PERCENTRANK.INC(FILTER($Q$3:$Q$432, $P$3:$P$432&lt;4.25), $Q32), 1)"),0.656)</f>
        <v>0.656</v>
      </c>
      <c r="W32" s="20">
        <f>IFERROR(__xludf.DUMMYFUNCTION("iferror(PERCENTRANK.INC(FILTER($Q$3:$Q$432, $P$3:$P$432&gt;=4.1), $Q32), 0)"),0.0)</f>
        <v>0</v>
      </c>
    </row>
    <row r="33" ht="14.25" customHeight="1">
      <c r="A33" s="14" t="s">
        <v>1480</v>
      </c>
      <c r="B33" s="14" t="s">
        <v>586</v>
      </c>
      <c r="C33" s="14">
        <v>69.0</v>
      </c>
      <c r="D33" s="14" t="s">
        <v>1446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1.398007881</v>
      </c>
      <c r="L33" s="20">
        <f t="shared" si="3"/>
        <v>-0.7234799583</v>
      </c>
      <c r="M33" s="20">
        <f t="shared" si="4"/>
        <v>0.1251151774</v>
      </c>
      <c r="N33" s="20">
        <f t="shared" si="5"/>
        <v>95.14782679</v>
      </c>
      <c r="P33" s="14">
        <v>4.3</v>
      </c>
      <c r="Q33" s="20">
        <f t="shared" si="6"/>
        <v>2.424706373</v>
      </c>
      <c r="R33" s="20">
        <f t="shared" si="9"/>
        <v>96.5094951</v>
      </c>
      <c r="S33" s="20">
        <f t="shared" si="8"/>
        <v>1.361668312</v>
      </c>
      <c r="U33" s="20">
        <f>IFERROR(__xludf.DUMMYFUNCTION("iferror(PERCENTRANK.INC(FILTER($Q$3:$Q$432, $P$3:$P$432&lt;3.75), $Q33), 1)"),1.0)</f>
        <v>1</v>
      </c>
      <c r="V33" s="20">
        <f>IFERROR(__xludf.DUMMYFUNCTION("iferror(PERCENTRANK.INC(FILTER($Q$3:$Q$432, $P$3:$P$432&lt;4.25), $Q33), 1)"),0.967)</f>
        <v>0.967</v>
      </c>
      <c r="W33" s="20">
        <f>IFERROR(__xludf.DUMMYFUNCTION("iferror(PERCENTRANK.INC(FILTER($Q$3:$Q$432, $P$3:$P$432&gt;=4.1), $Q33), 0)"),0.462)</f>
        <v>0.462</v>
      </c>
    </row>
    <row r="34" ht="14.25" customHeight="1">
      <c r="A34" s="14" t="s">
        <v>1481</v>
      </c>
      <c r="B34" s="14" t="s">
        <v>1482</v>
      </c>
      <c r="C34" s="14">
        <v>57.0</v>
      </c>
      <c r="D34" s="14" t="s">
        <v>1446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-0.04047684288</v>
      </c>
      <c r="L34" s="20">
        <f t="shared" si="3"/>
        <v>0.2223182031</v>
      </c>
      <c r="M34" s="20">
        <f t="shared" si="4"/>
        <v>0.1172001847</v>
      </c>
      <c r="N34" s="20">
        <f t="shared" si="5"/>
        <v>95.13305577</v>
      </c>
      <c r="P34" s="14">
        <v>4.19</v>
      </c>
      <c r="Q34" s="20">
        <f t="shared" si="6"/>
        <v>2.127320588</v>
      </c>
      <c r="R34" s="20">
        <f t="shared" si="9"/>
        <v>95.80621066</v>
      </c>
      <c r="S34" s="20">
        <f t="shared" si="8"/>
        <v>0.6731548982</v>
      </c>
      <c r="U34" s="20">
        <f>IFERROR(__xludf.DUMMYFUNCTION("iferror(PERCENTRANK.INC(FILTER($Q$3:$Q$432, $P$3:$P$432&lt;3.75), $Q34), 1)"),0.989)</f>
        <v>0.989</v>
      </c>
      <c r="V34" s="20">
        <f>IFERROR(__xludf.DUMMYFUNCTION("iferror(PERCENTRANK.INC(FILTER($Q$3:$Q$432, $P$3:$P$432&lt;4.25), $Q34), 1)"),0.891)</f>
        <v>0.891</v>
      </c>
      <c r="W34" s="20">
        <f>IFERROR(__xludf.DUMMYFUNCTION("iferror(PERCENTRANK.INC(FILTER($Q$3:$Q$432, $P$3:$P$432&gt;=4.1), $Q34), 0)"),0.308)</f>
        <v>0.308</v>
      </c>
    </row>
    <row r="35" ht="14.25" customHeight="1">
      <c r="A35" s="14" t="s">
        <v>1483</v>
      </c>
      <c r="B35" s="14" t="s">
        <v>1378</v>
      </c>
      <c r="C35" s="14">
        <v>52.0</v>
      </c>
      <c r="D35" s="14" t="s">
        <v>1446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0.3518371727</v>
      </c>
      <c r="L35" s="20">
        <f t="shared" si="3"/>
        <v>-0.06142124531</v>
      </c>
      <c r="M35" s="20">
        <f t="shared" si="4"/>
        <v>0.1038821219</v>
      </c>
      <c r="N35" s="20">
        <f t="shared" si="5"/>
        <v>95.10820149</v>
      </c>
      <c r="Q35" s="20">
        <f t="shared" si="6"/>
        <v>0.09326690276</v>
      </c>
      <c r="R35" s="20">
        <f t="shared" si="9"/>
        <v>90.99589902</v>
      </c>
      <c r="S35" s="20">
        <f t="shared" si="8"/>
        <v>-4.112302464</v>
      </c>
      <c r="U35" s="20">
        <f>IFERROR(__xludf.DUMMYFUNCTION("iferror(PERCENTRANK.INC(FILTER($Q$3:$Q$432, $P$3:$P$432&lt;3.75), $Q35), 1)"),0.667)</f>
        <v>0.667</v>
      </c>
      <c r="V35" s="20">
        <f>IFERROR(__xludf.DUMMYFUNCTION("iferror(PERCENTRANK.INC(FILTER($Q$3:$Q$432, $P$3:$P$432&lt;4.25), $Q35), 1)"),0.563)</f>
        <v>0.563</v>
      </c>
      <c r="W35" s="20">
        <f>IFERROR(__xludf.DUMMYFUNCTION("iferror(PERCENTRANK.INC(FILTER($Q$3:$Q$432, $P$3:$P$432&gt;=4.1), $Q35), 0)"),0.0)</f>
        <v>0</v>
      </c>
    </row>
    <row r="36" ht="14.25" customHeight="1">
      <c r="A36" s="14" t="s">
        <v>1484</v>
      </c>
      <c r="B36" s="14" t="s">
        <v>1289</v>
      </c>
      <c r="C36" s="14">
        <v>75.0</v>
      </c>
      <c r="D36" s="14" t="s">
        <v>1446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0.4826085113</v>
      </c>
      <c r="L36" s="20">
        <f t="shared" si="3"/>
        <v>-0.1749170247</v>
      </c>
      <c r="M36" s="20">
        <f t="shared" si="4"/>
        <v>0.0880931897</v>
      </c>
      <c r="N36" s="20">
        <f t="shared" si="5"/>
        <v>95.07873605</v>
      </c>
      <c r="P36" s="14">
        <v>3.51</v>
      </c>
      <c r="Q36" s="20">
        <f t="shared" si="6"/>
        <v>1.864799148</v>
      </c>
      <c r="R36" s="20">
        <f t="shared" si="9"/>
        <v>95.18537654</v>
      </c>
      <c r="S36" s="20">
        <f t="shared" si="8"/>
        <v>0.1066404887</v>
      </c>
      <c r="U36" s="20">
        <f>IFERROR(__xludf.DUMMYFUNCTION("iferror(PERCENTRANK.INC(FILTER($Q$3:$Q$432, $P$3:$P$432&lt;3.75), $Q36), 1)"),0.907)</f>
        <v>0.907</v>
      </c>
      <c r="V36" s="20">
        <f>IFERROR(__xludf.DUMMYFUNCTION("iferror(PERCENTRANK.INC(FILTER($Q$3:$Q$432, $P$3:$P$432&lt;4.25), $Q36), 1)"),0.797)</f>
        <v>0.797</v>
      </c>
      <c r="W36" s="20">
        <f>IFERROR(__xludf.DUMMYFUNCTION("iferror(PERCENTRANK.INC(FILTER($Q$3:$Q$432, $P$3:$P$432&gt;=4.1), $Q36), 0)"),0.148)</f>
        <v>0.148</v>
      </c>
    </row>
    <row r="37" ht="14.25" customHeight="1">
      <c r="A37" s="14" t="s">
        <v>1485</v>
      </c>
      <c r="B37" s="14" t="s">
        <v>1233</v>
      </c>
      <c r="C37" s="14">
        <v>57.0</v>
      </c>
      <c r="D37" s="14" t="s">
        <v>1446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-0.04047684288</v>
      </c>
      <c r="L37" s="20">
        <f t="shared" si="3"/>
        <v>0.1655703134</v>
      </c>
      <c r="M37" s="20">
        <f t="shared" si="4"/>
        <v>0.08315145091</v>
      </c>
      <c r="N37" s="20">
        <f t="shared" si="5"/>
        <v>95.06951374</v>
      </c>
      <c r="Q37" s="20">
        <f t="shared" si="6"/>
        <v>0.02097100982</v>
      </c>
      <c r="R37" s="20">
        <f t="shared" si="9"/>
        <v>90.82492725</v>
      </c>
      <c r="S37" s="20">
        <f t="shared" si="8"/>
        <v>-4.244586493</v>
      </c>
      <c r="U37" s="20">
        <f>IFERROR(__xludf.DUMMYFUNCTION("iferror(PERCENTRANK.INC(FILTER($Q$3:$Q$432, $P$3:$P$432&lt;3.75), $Q37), 1)"),0.611)</f>
        <v>0.611</v>
      </c>
      <c r="V37" s="20">
        <f>IFERROR(__xludf.DUMMYFUNCTION("iferror(PERCENTRANK.INC(FILTER($Q$3:$Q$432, $P$3:$P$432&lt;4.25), $Q37), 1)"),0.516)</f>
        <v>0.516</v>
      </c>
      <c r="W37" s="20">
        <f>IFERROR(__xludf.DUMMYFUNCTION("iferror(PERCENTRANK.INC(FILTER($Q$3:$Q$432, $P$3:$P$432&gt;=4.1), $Q37), 0)"),0.0)</f>
        <v>0</v>
      </c>
    </row>
    <row r="38" ht="14.25" customHeight="1">
      <c r="A38" s="14" t="s">
        <v>1486</v>
      </c>
      <c r="B38" s="14" t="s">
        <v>1487</v>
      </c>
      <c r="C38" s="14">
        <v>55.0</v>
      </c>
      <c r="D38" s="14" t="s">
        <v>1446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-0.4327908585</v>
      </c>
      <c r="L38" s="20">
        <f t="shared" si="3"/>
        <v>0.3925618722</v>
      </c>
      <c r="M38" s="20">
        <f t="shared" si="4"/>
        <v>0.06242077992</v>
      </c>
      <c r="N38" s="20">
        <f t="shared" si="5"/>
        <v>95.03082599</v>
      </c>
      <c r="Q38" s="20">
        <f t="shared" si="6"/>
        <v>-0.05132488311</v>
      </c>
      <c r="R38" s="20">
        <f t="shared" si="9"/>
        <v>90.65395547</v>
      </c>
      <c r="S38" s="20">
        <f t="shared" si="8"/>
        <v>-4.376870523</v>
      </c>
      <c r="U38" s="20">
        <f>IFERROR(__xludf.DUMMYFUNCTION("iferror(PERCENTRANK.INC(FILTER($Q$3:$Q$432, $P$3:$P$432&lt;3.75), $Q38), 1)"),0.519)</f>
        <v>0.519</v>
      </c>
      <c r="V38" s="20">
        <f>IFERROR(__xludf.DUMMYFUNCTION("iferror(PERCENTRANK.INC(FILTER($Q$3:$Q$432, $P$3:$P$432&lt;4.25), $Q38), 1)"),0.438)</f>
        <v>0.438</v>
      </c>
      <c r="W38" s="20">
        <f>IFERROR(__xludf.DUMMYFUNCTION("iferror(PERCENTRANK.INC(FILTER($Q$3:$Q$432, $P$3:$P$432&gt;=4.1), $Q38), 0)"),0.0)</f>
        <v>0</v>
      </c>
    </row>
    <row r="39" ht="14.25" customHeight="1">
      <c r="A39" s="14" t="s">
        <v>1488</v>
      </c>
      <c r="B39" s="14" t="s">
        <v>1406</v>
      </c>
      <c r="C39" s="14">
        <v>62.0</v>
      </c>
      <c r="D39" s="14" t="s">
        <v>1446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0.6133798498</v>
      </c>
      <c r="L39" s="20">
        <f t="shared" si="3"/>
        <v>-0.3073287673</v>
      </c>
      <c r="M39" s="20">
        <f t="shared" si="4"/>
        <v>0.06095467956</v>
      </c>
      <c r="N39" s="20">
        <f t="shared" si="5"/>
        <v>95.02808994</v>
      </c>
      <c r="P39" s="14">
        <v>4.45</v>
      </c>
      <c r="Q39" s="20">
        <f t="shared" si="6"/>
        <v>2.347548201</v>
      </c>
      <c r="R39" s="20">
        <f t="shared" si="9"/>
        <v>96.32702458</v>
      </c>
      <c r="S39" s="20">
        <f t="shared" si="8"/>
        <v>1.298934633</v>
      </c>
      <c r="U39" s="20">
        <f>IFERROR(__xludf.DUMMYFUNCTION("iferror(PERCENTRANK.INC(FILTER($Q$3:$Q$432, $P$3:$P$432&lt;3.75), $Q39), 1)"),1.0)</f>
        <v>1</v>
      </c>
      <c r="V39" s="20">
        <f>IFERROR(__xludf.DUMMYFUNCTION("iferror(PERCENTRANK.INC(FILTER($Q$3:$Q$432, $P$3:$P$432&lt;4.25), $Q39), 1)"),0.954)</f>
        <v>0.954</v>
      </c>
      <c r="W39" s="20">
        <f>IFERROR(__xludf.DUMMYFUNCTION("iferror(PERCENTRANK.INC(FILTER($Q$3:$Q$432, $P$3:$P$432&gt;=4.1), $Q39), 0)"),0.423)</f>
        <v>0.423</v>
      </c>
    </row>
    <row r="40" ht="14.25" customHeight="1">
      <c r="A40" s="14" t="s">
        <v>1489</v>
      </c>
      <c r="B40" s="14" t="s">
        <v>1237</v>
      </c>
      <c r="C40" s="14">
        <v>52.0</v>
      </c>
      <c r="D40" s="14" t="s">
        <v>1446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1.005693865</v>
      </c>
      <c r="L40" s="20">
        <f t="shared" si="3"/>
        <v>-0.5721522525</v>
      </c>
      <c r="M40" s="20">
        <f t="shared" si="4"/>
        <v>0.05898619468</v>
      </c>
      <c r="N40" s="20">
        <f t="shared" si="5"/>
        <v>95.02441634</v>
      </c>
      <c r="P40" s="14">
        <v>3.61</v>
      </c>
      <c r="Q40" s="20">
        <f t="shared" si="6"/>
        <v>1.992277709</v>
      </c>
      <c r="R40" s="20">
        <f t="shared" si="9"/>
        <v>95.48684922</v>
      </c>
      <c r="S40" s="20">
        <f t="shared" si="8"/>
        <v>0.4624328764</v>
      </c>
      <c r="U40" s="20">
        <f>IFERROR(__xludf.DUMMYFUNCTION("iferror(PERCENTRANK.INC(FILTER($Q$3:$Q$432, $P$3:$P$432&lt;3.75), $Q40), 1)"),0.963)</f>
        <v>0.963</v>
      </c>
      <c r="V40" s="20">
        <f>IFERROR(__xludf.DUMMYFUNCTION("iferror(PERCENTRANK.INC(FILTER($Q$3:$Q$432, $P$3:$P$432&lt;4.25), $Q40), 1)"),0.859)</f>
        <v>0.859</v>
      </c>
      <c r="W40" s="20">
        <f>IFERROR(__xludf.DUMMYFUNCTION("iferror(PERCENTRANK.INC(FILTER($Q$3:$Q$432, $P$3:$P$432&gt;=4.1), $Q40), 0)"),0.195)</f>
        <v>0.195</v>
      </c>
    </row>
    <row r="41" ht="14.25" customHeight="1">
      <c r="A41" s="14" t="s">
        <v>1490</v>
      </c>
      <c r="B41" s="14" t="s">
        <v>1356</v>
      </c>
      <c r="C41" s="14">
        <v>56.0</v>
      </c>
      <c r="D41" s="14" t="s">
        <v>1446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1.267236543</v>
      </c>
      <c r="L41" s="20">
        <f t="shared" si="3"/>
        <v>-0.7991438113</v>
      </c>
      <c r="M41" s="20">
        <f t="shared" si="4"/>
        <v>0.02740833026</v>
      </c>
      <c r="N41" s="20">
        <f t="shared" si="5"/>
        <v>94.96548547</v>
      </c>
      <c r="Q41" s="20">
        <f t="shared" si="6"/>
        <v>0.2203422005</v>
      </c>
      <c r="R41" s="20">
        <f t="shared" si="9"/>
        <v>91.29641803</v>
      </c>
      <c r="S41" s="20">
        <f t="shared" si="8"/>
        <v>-3.669067443</v>
      </c>
      <c r="U41" s="20">
        <f>IFERROR(__xludf.DUMMYFUNCTION("iferror(PERCENTRANK.INC(FILTER($Q$3:$Q$432, $P$3:$P$432&lt;3.75), $Q41), 1)"),0.741)</f>
        <v>0.741</v>
      </c>
      <c r="V41" s="20">
        <f>IFERROR(__xludf.DUMMYFUNCTION("iferror(PERCENTRANK.INC(FILTER($Q$3:$Q$432, $P$3:$P$432&lt;4.25), $Q41), 1)"),0.625)</f>
        <v>0.625</v>
      </c>
      <c r="W41" s="20">
        <f>IFERROR(__xludf.DUMMYFUNCTION("iferror(PERCENTRANK.INC(FILTER($Q$3:$Q$432, $P$3:$P$432&gt;=4.1), $Q41), 0)"),0.0)</f>
        <v>0</v>
      </c>
    </row>
    <row r="42" ht="14.25" customHeight="1">
      <c r="A42" s="14" t="s">
        <v>1491</v>
      </c>
      <c r="B42" s="14" t="s">
        <v>1399</v>
      </c>
      <c r="C42" s="14">
        <v>58.0</v>
      </c>
      <c r="D42" s="14" t="s">
        <v>1446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1.136465204</v>
      </c>
      <c r="L42" s="20">
        <f t="shared" si="3"/>
        <v>-0.7234799583</v>
      </c>
      <c r="M42" s="20">
        <f t="shared" si="4"/>
        <v>0.0204981066</v>
      </c>
      <c r="N42" s="20">
        <f t="shared" si="5"/>
        <v>94.95258955</v>
      </c>
      <c r="Q42" s="20">
        <f t="shared" si="6"/>
        <v>0.1962435695</v>
      </c>
      <c r="R42" s="20">
        <f t="shared" si="9"/>
        <v>91.23942743</v>
      </c>
      <c r="S42" s="20">
        <f t="shared" si="8"/>
        <v>-3.71316212</v>
      </c>
      <c r="U42" s="20">
        <f>IFERROR(__xludf.DUMMYFUNCTION("iferror(PERCENTRANK.INC(FILTER($Q$3:$Q$432, $P$3:$P$432&lt;3.75), $Q42), 1)"),0.704)</f>
        <v>0.704</v>
      </c>
      <c r="V42" s="20">
        <f>IFERROR(__xludf.DUMMYFUNCTION("iferror(PERCENTRANK.INC(FILTER($Q$3:$Q$432, $P$3:$P$432&lt;4.25), $Q42), 1)"),0.594)</f>
        <v>0.594</v>
      </c>
      <c r="W42" s="20">
        <f>IFERROR(__xludf.DUMMYFUNCTION("iferror(PERCENTRANK.INC(FILTER($Q$3:$Q$432, $P$3:$P$432&gt;=4.1), $Q42), 0)"),0.0)</f>
        <v>0</v>
      </c>
    </row>
    <row r="43" ht="14.25" customHeight="1">
      <c r="A43" s="14" t="s">
        <v>1492</v>
      </c>
      <c r="B43" s="14" t="s">
        <v>158</v>
      </c>
      <c r="C43" s="14">
        <v>74.0</v>
      </c>
      <c r="D43" s="14" t="s">
        <v>1446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1.136465204</v>
      </c>
      <c r="L43" s="20">
        <f t="shared" si="3"/>
        <v>-0.7991438113</v>
      </c>
      <c r="M43" s="20">
        <f t="shared" si="4"/>
        <v>-0.02490020516</v>
      </c>
      <c r="N43" s="20">
        <f t="shared" si="5"/>
        <v>94.86786685</v>
      </c>
      <c r="Q43" s="20">
        <f t="shared" si="6"/>
        <v>0.181110799</v>
      </c>
      <c r="R43" s="20">
        <f t="shared" si="9"/>
        <v>91.20364011</v>
      </c>
      <c r="S43" s="20">
        <f t="shared" si="8"/>
        <v>-3.664226743</v>
      </c>
      <c r="U43" s="20">
        <f>IFERROR(__xludf.DUMMYFUNCTION("iferror(PERCENTRANK.INC(FILTER($Q$3:$Q$432, $P$3:$P$432&lt;3.75), $Q43), 1)"),0.685)</f>
        <v>0.685</v>
      </c>
      <c r="V43" s="20">
        <f>IFERROR(__xludf.DUMMYFUNCTION("iferror(PERCENTRANK.INC(FILTER($Q$3:$Q$432, $P$3:$P$432&lt;4.25), $Q43), 1)"),0.578)</f>
        <v>0.578</v>
      </c>
      <c r="W43" s="20">
        <f>IFERROR(__xludf.DUMMYFUNCTION("iferror(PERCENTRANK.INC(FILTER($Q$3:$Q$432, $P$3:$P$432&gt;=4.1), $Q43), 0)"),0.0)</f>
        <v>0</v>
      </c>
    </row>
    <row r="44" ht="14.25" customHeight="1">
      <c r="A44" s="14" t="s">
        <v>1493</v>
      </c>
      <c r="B44" s="14" t="s">
        <v>1371</v>
      </c>
      <c r="C44" s="14">
        <v>63.0</v>
      </c>
      <c r="D44" s="14" t="s">
        <v>1446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0.4826085113</v>
      </c>
      <c r="L44" s="20">
        <f t="shared" si="3"/>
        <v>-0.4019085834</v>
      </c>
      <c r="M44" s="20">
        <f t="shared" si="4"/>
        <v>-0.04810174555</v>
      </c>
      <c r="N44" s="20">
        <f t="shared" si="5"/>
        <v>94.82456795</v>
      </c>
      <c r="Q44" s="20">
        <f t="shared" si="6"/>
        <v>0.0644008367</v>
      </c>
      <c r="R44" s="20">
        <f t="shared" si="9"/>
        <v>90.92763398</v>
      </c>
      <c r="S44" s="20">
        <f t="shared" si="8"/>
        <v>-3.89693397</v>
      </c>
      <c r="U44" s="20">
        <f>IFERROR(__xludf.DUMMYFUNCTION("iferror(PERCENTRANK.INC(FILTER($Q$3:$Q$432, $P$3:$P$432&lt;3.75), $Q44), 1)"),0.648)</f>
        <v>0.648</v>
      </c>
      <c r="V44" s="20">
        <f>IFERROR(__xludf.DUMMYFUNCTION("iferror(PERCENTRANK.INC(FILTER($Q$3:$Q$432, $P$3:$P$432&lt;4.25), $Q44), 1)"),0.547)</f>
        <v>0.547</v>
      </c>
      <c r="W44" s="20">
        <f>IFERROR(__xludf.DUMMYFUNCTION("iferror(PERCENTRANK.INC(FILTER($Q$3:$Q$432, $P$3:$P$432&gt;=4.1), $Q44), 0)"),0.0)</f>
        <v>0</v>
      </c>
    </row>
    <row r="45" ht="14.25" customHeight="1">
      <c r="A45" s="14" t="s">
        <v>1494</v>
      </c>
      <c r="B45" s="14" t="s">
        <v>158</v>
      </c>
      <c r="C45" s="14">
        <v>57.0</v>
      </c>
      <c r="D45" s="14" t="s">
        <v>1446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-0.04047684288</v>
      </c>
      <c r="L45" s="20">
        <f t="shared" si="3"/>
        <v>-0.118169135</v>
      </c>
      <c r="M45" s="20">
        <f t="shared" si="4"/>
        <v>-0.08709221815</v>
      </c>
      <c r="N45" s="20">
        <f t="shared" si="5"/>
        <v>94.75180361</v>
      </c>
      <c r="Q45" s="20">
        <f t="shared" si="6"/>
        <v>-0.03577687986</v>
      </c>
      <c r="R45" s="20">
        <f t="shared" si="9"/>
        <v>90.69072477</v>
      </c>
      <c r="S45" s="20">
        <f t="shared" si="8"/>
        <v>-4.061078832</v>
      </c>
      <c r="U45" s="20">
        <f>IFERROR(__xludf.DUMMYFUNCTION("iferror(PERCENTRANK.INC(FILTER($Q$3:$Q$432, $P$3:$P$432&lt;3.75), $Q45), 1)"),0.593)</f>
        <v>0.593</v>
      </c>
      <c r="V45" s="20">
        <f>IFERROR(__xludf.DUMMYFUNCTION("iferror(PERCENTRANK.INC(FILTER($Q$3:$Q$432, $P$3:$P$432&lt;4.25), $Q45), 1)"),0.5)</f>
        <v>0.5</v>
      </c>
      <c r="W45" s="20">
        <f>IFERROR(__xludf.DUMMYFUNCTION("iferror(PERCENTRANK.INC(FILTER($Q$3:$Q$432, $P$3:$P$432&gt;=4.1), $Q45), 0)"),0.0)</f>
        <v>0</v>
      </c>
    </row>
    <row r="46" ht="14.25" customHeight="1">
      <c r="A46" s="14" t="s">
        <v>1495</v>
      </c>
      <c r="B46" s="14" t="s">
        <v>1496</v>
      </c>
      <c r="C46" s="14">
        <v>52.0</v>
      </c>
      <c r="D46" s="14" t="s">
        <v>1446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-0.04047684288</v>
      </c>
      <c r="L46" s="20">
        <f t="shared" si="3"/>
        <v>-0.1370850982</v>
      </c>
      <c r="M46" s="20">
        <f t="shared" si="4"/>
        <v>-0.09844179609</v>
      </c>
      <c r="N46" s="20">
        <f t="shared" si="5"/>
        <v>94.73062293</v>
      </c>
      <c r="Q46" s="20">
        <f t="shared" si="6"/>
        <v>-0.03956007251</v>
      </c>
      <c r="R46" s="20">
        <f t="shared" si="9"/>
        <v>90.68177794</v>
      </c>
      <c r="S46" s="20">
        <f t="shared" si="8"/>
        <v>-4.048844988</v>
      </c>
      <c r="U46" s="20">
        <f>IFERROR(__xludf.DUMMYFUNCTION("iferror(PERCENTRANK.INC(FILTER($Q$3:$Q$432, $P$3:$P$432&lt;3.75), $Q46), 1)"),0.574)</f>
        <v>0.574</v>
      </c>
      <c r="V46" s="20">
        <f>IFERROR(__xludf.DUMMYFUNCTION("iferror(PERCENTRANK.INC(FILTER($Q$3:$Q$432, $P$3:$P$432&lt;4.25), $Q46), 1)"),0.484)</f>
        <v>0.484</v>
      </c>
      <c r="W46" s="20">
        <f>IFERROR(__xludf.DUMMYFUNCTION("iferror(PERCENTRANK.INC(FILTER($Q$3:$Q$432, $P$3:$P$432&gt;=4.1), $Q46), 0)"),0.0)</f>
        <v>0</v>
      </c>
    </row>
    <row r="47" ht="14.25" customHeight="1">
      <c r="A47" s="14" t="s">
        <v>1497</v>
      </c>
      <c r="B47" s="14" t="s">
        <v>1386</v>
      </c>
      <c r="C47" s="14">
        <v>66.0</v>
      </c>
      <c r="D47" s="14" t="s">
        <v>1446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-0.04047684288</v>
      </c>
      <c r="L47" s="20">
        <f t="shared" si="3"/>
        <v>-0.1560010615</v>
      </c>
      <c r="M47" s="20">
        <f t="shared" si="4"/>
        <v>-0.109791374</v>
      </c>
      <c r="N47" s="20">
        <f t="shared" si="5"/>
        <v>94.70944225</v>
      </c>
      <c r="Q47" s="20">
        <f t="shared" si="6"/>
        <v>-0.04334326516</v>
      </c>
      <c r="R47" s="20">
        <f t="shared" si="9"/>
        <v>90.67283111</v>
      </c>
      <c r="S47" s="20">
        <f t="shared" si="8"/>
        <v>-4.036611144</v>
      </c>
      <c r="U47" s="20">
        <f>IFERROR(__xludf.DUMMYFUNCTION("iferror(PERCENTRANK.INC(FILTER($Q$3:$Q$432, $P$3:$P$432&lt;3.75), $Q47), 1)"),0.537)</f>
        <v>0.537</v>
      </c>
      <c r="V47" s="20">
        <f>IFERROR(__xludf.DUMMYFUNCTION("iferror(PERCENTRANK.INC(FILTER($Q$3:$Q$432, $P$3:$P$432&lt;4.25), $Q47), 1)"),0.453)</f>
        <v>0.453</v>
      </c>
      <c r="W47" s="20">
        <f>IFERROR(__xludf.DUMMYFUNCTION("iferror(PERCENTRANK.INC(FILTER($Q$3:$Q$432, $P$3:$P$432&gt;=4.1), $Q47), 0)"),0.0)</f>
        <v>0</v>
      </c>
    </row>
    <row r="48" ht="14.25" customHeight="1">
      <c r="A48" s="14" t="s">
        <v>1498</v>
      </c>
      <c r="B48" s="14" t="s">
        <v>1233</v>
      </c>
      <c r="C48" s="14">
        <v>52.0</v>
      </c>
      <c r="D48" s="14" t="s">
        <v>1446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0.6133798498</v>
      </c>
      <c r="L48" s="20">
        <f t="shared" si="3"/>
        <v>-0.7423959216</v>
      </c>
      <c r="M48" s="20">
        <f t="shared" si="4"/>
        <v>-0.200085613</v>
      </c>
      <c r="N48" s="20">
        <f t="shared" si="5"/>
        <v>94.5409344</v>
      </c>
      <c r="Q48" s="20">
        <f t="shared" si="6"/>
        <v>0.03553477064</v>
      </c>
      <c r="R48" s="20">
        <f t="shared" si="9"/>
        <v>90.85936893</v>
      </c>
      <c r="S48" s="20">
        <f t="shared" si="8"/>
        <v>-3.681565476</v>
      </c>
      <c r="U48" s="20">
        <f>IFERROR(__xludf.DUMMYFUNCTION("iferror(PERCENTRANK.INC(FILTER($Q$3:$Q$432, $P$3:$P$432&lt;3.75), $Q48), 1)"),0.63)</f>
        <v>0.63</v>
      </c>
      <c r="V48" s="20">
        <f>IFERROR(__xludf.DUMMYFUNCTION("iferror(PERCENTRANK.INC(FILTER($Q$3:$Q$432, $P$3:$P$432&lt;4.25), $Q48), 1)"),0.531)</f>
        <v>0.531</v>
      </c>
      <c r="W48" s="20">
        <f>IFERROR(__xludf.DUMMYFUNCTION("iferror(PERCENTRANK.INC(FILTER($Q$3:$Q$432, $P$3:$P$432&gt;=4.1), $Q48), 0)"),0.0)</f>
        <v>0</v>
      </c>
    </row>
    <row r="49" ht="14.25" customHeight="1">
      <c r="A49" s="14" t="s">
        <v>1499</v>
      </c>
      <c r="B49" s="14" t="s">
        <v>1384</v>
      </c>
      <c r="C49" s="14">
        <v>50.0</v>
      </c>
      <c r="D49" s="14" t="s">
        <v>1446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-1.21741889</v>
      </c>
      <c r="L49" s="20">
        <f t="shared" si="3"/>
        <v>0.4493097619</v>
      </c>
      <c r="M49" s="20">
        <f t="shared" si="4"/>
        <v>-0.2173816988</v>
      </c>
      <c r="N49" s="20">
        <f t="shared" si="5"/>
        <v>94.50865631</v>
      </c>
      <c r="Q49" s="20">
        <f t="shared" si="6"/>
        <v>-0.2753637146</v>
      </c>
      <c r="R49" s="20">
        <f t="shared" si="9"/>
        <v>90.12412845</v>
      </c>
      <c r="S49" s="20">
        <f t="shared" si="8"/>
        <v>-4.384527856</v>
      </c>
      <c r="U49" s="20">
        <f>IFERROR(__xludf.DUMMYFUNCTION("iferror(PERCENTRANK.INC(FILTER($Q$3:$Q$432, $P$3:$P$432&lt;3.75), $Q49), 1)"),0.296)</f>
        <v>0.296</v>
      </c>
      <c r="V49" s="20">
        <f>IFERROR(__xludf.DUMMYFUNCTION("iferror(PERCENTRANK.INC(FILTER($Q$3:$Q$432, $P$3:$P$432&lt;4.25), $Q49), 1)"),0.25)</f>
        <v>0.25</v>
      </c>
      <c r="W49" s="20">
        <f>IFERROR(__xludf.DUMMYFUNCTION("iferror(PERCENTRANK.INC(FILTER($Q$3:$Q$432, $P$3:$P$432&gt;=4.1), $Q49), 0)"),0.0)</f>
        <v>0</v>
      </c>
    </row>
    <row r="50" ht="14.25" customHeight="1">
      <c r="A50" s="14" t="s">
        <v>1500</v>
      </c>
      <c r="B50" s="14" t="s">
        <v>1343</v>
      </c>
      <c r="C50" s="14">
        <v>72.0</v>
      </c>
      <c r="D50" s="14" t="s">
        <v>1446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-0.04047684288</v>
      </c>
      <c r="L50" s="20">
        <f t="shared" si="3"/>
        <v>-0.4019085834</v>
      </c>
      <c r="M50" s="20">
        <f t="shared" si="4"/>
        <v>-0.2573358872</v>
      </c>
      <c r="N50" s="20">
        <f t="shared" si="5"/>
        <v>94.43409347</v>
      </c>
      <c r="Q50" s="20">
        <f t="shared" si="6"/>
        <v>-0.09252476955</v>
      </c>
      <c r="R50" s="20">
        <f t="shared" si="9"/>
        <v>90.5565223</v>
      </c>
      <c r="S50" s="20">
        <f t="shared" si="8"/>
        <v>-3.877571171</v>
      </c>
      <c r="U50" s="20">
        <f>IFERROR(__xludf.DUMMYFUNCTION("iferror(PERCENTRANK.INC(FILTER($Q$3:$Q$432, $P$3:$P$432&lt;3.75), $Q50), 1)"),0.5)</f>
        <v>0.5</v>
      </c>
      <c r="V50" s="20">
        <f>IFERROR(__xludf.DUMMYFUNCTION("iferror(PERCENTRANK.INC(FILTER($Q$3:$Q$432, $P$3:$P$432&lt;4.25), $Q50), 1)"),0.422)</f>
        <v>0.422</v>
      </c>
      <c r="W50" s="20">
        <f>IFERROR(__xludf.DUMMYFUNCTION("iferror(PERCENTRANK.INC(FILTER($Q$3:$Q$432, $P$3:$P$432&gt;=4.1), $Q50), 0)"),0.0)</f>
        <v>0</v>
      </c>
    </row>
    <row r="51" ht="14.25" customHeight="1">
      <c r="A51" s="14" t="s">
        <v>1501</v>
      </c>
      <c r="B51" s="14" t="s">
        <v>1404</v>
      </c>
      <c r="C51" s="14">
        <v>59.0</v>
      </c>
      <c r="D51" s="14" t="s">
        <v>1446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0.3518371727</v>
      </c>
      <c r="L51" s="20">
        <f t="shared" si="3"/>
        <v>-0.7423959216</v>
      </c>
      <c r="M51" s="20">
        <f t="shared" si="4"/>
        <v>-0.3047026838</v>
      </c>
      <c r="N51" s="20">
        <f t="shared" si="5"/>
        <v>94.34569717</v>
      </c>
      <c r="Q51" s="20">
        <f t="shared" si="6"/>
        <v>-0.04292803249</v>
      </c>
      <c r="R51" s="20">
        <f t="shared" si="9"/>
        <v>90.67381309</v>
      </c>
      <c r="S51" s="20">
        <f t="shared" si="8"/>
        <v>-3.671884076</v>
      </c>
      <c r="U51" s="20">
        <f>IFERROR(__xludf.DUMMYFUNCTION("iferror(PERCENTRANK.INC(FILTER($Q$3:$Q$432, $P$3:$P$432&lt;3.75), $Q51), 1)"),0.556)</f>
        <v>0.556</v>
      </c>
      <c r="V51" s="20">
        <f>IFERROR(__xludf.DUMMYFUNCTION("iferror(PERCENTRANK.INC(FILTER($Q$3:$Q$432, $P$3:$P$432&lt;4.25), $Q51), 1)"),0.469)</f>
        <v>0.469</v>
      </c>
      <c r="W51" s="20">
        <f>IFERROR(__xludf.DUMMYFUNCTION("iferror(PERCENTRANK.INC(FILTER($Q$3:$Q$432, $P$3:$P$432&gt;=4.1), $Q51), 0)"),0.0)</f>
        <v>0</v>
      </c>
    </row>
    <row r="52" ht="14.25" customHeight="1">
      <c r="A52" s="14" t="s">
        <v>1502</v>
      </c>
      <c r="B52" s="14" t="s">
        <v>1254</v>
      </c>
      <c r="C52" s="14">
        <v>60.0</v>
      </c>
      <c r="D52" s="14" t="s">
        <v>1446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-0.1712481814</v>
      </c>
      <c r="L52" s="20">
        <f t="shared" si="3"/>
        <v>-0.4208245467</v>
      </c>
      <c r="M52" s="20">
        <f t="shared" si="4"/>
        <v>-0.3209940006</v>
      </c>
      <c r="N52" s="20">
        <f t="shared" si="5"/>
        <v>94.31529418</v>
      </c>
      <c r="Q52" s="20">
        <f t="shared" si="6"/>
        <v>-0.1355393638</v>
      </c>
      <c r="R52" s="20">
        <f t="shared" si="9"/>
        <v>90.45479755</v>
      </c>
      <c r="S52" s="20">
        <f t="shared" si="8"/>
        <v>-3.860496627</v>
      </c>
      <c r="U52" s="20">
        <f>IFERROR(__xludf.DUMMYFUNCTION("iferror(PERCENTRANK.INC(FILTER($Q$3:$Q$432, $P$3:$P$432&lt;3.75), $Q52), 1)"),0.407)</f>
        <v>0.407</v>
      </c>
      <c r="V52" s="20">
        <f>IFERROR(__xludf.DUMMYFUNCTION("iferror(PERCENTRANK.INC(FILTER($Q$3:$Q$432, $P$3:$P$432&lt;4.25), $Q52), 1)"),0.344)</f>
        <v>0.344</v>
      </c>
      <c r="W52" s="20">
        <f>IFERROR(__xludf.DUMMYFUNCTION("iferror(PERCENTRANK.INC(FILTER($Q$3:$Q$432, $P$3:$P$432&gt;=4.1), $Q52), 0)"),0.0)</f>
        <v>0</v>
      </c>
    </row>
    <row r="53" ht="14.25" customHeight="1">
      <c r="A53" s="14" t="s">
        <v>1503</v>
      </c>
      <c r="B53" s="14" t="s">
        <v>1339</v>
      </c>
      <c r="C53" s="14">
        <v>55.0</v>
      </c>
      <c r="D53" s="14" t="s">
        <v>1446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-1.086647551</v>
      </c>
      <c r="L53" s="20">
        <f t="shared" si="3"/>
        <v>0.1655703134</v>
      </c>
      <c r="M53" s="20">
        <f t="shared" si="4"/>
        <v>-0.3353168324</v>
      </c>
      <c r="N53" s="20">
        <f t="shared" si="5"/>
        <v>94.28856479</v>
      </c>
      <c r="Q53" s="20">
        <f t="shared" si="6"/>
        <v>-0.2928802027</v>
      </c>
      <c r="R53" s="20">
        <f t="shared" si="9"/>
        <v>90.0827039</v>
      </c>
      <c r="S53" s="20">
        <f t="shared" si="8"/>
        <v>-4.205860895</v>
      </c>
      <c r="U53" s="20">
        <f>IFERROR(__xludf.DUMMYFUNCTION("iferror(PERCENTRANK.INC(FILTER($Q$3:$Q$432, $P$3:$P$432&lt;3.75), $Q53), 1)"),0.222)</f>
        <v>0.222</v>
      </c>
      <c r="V53" s="20">
        <f>IFERROR(__xludf.DUMMYFUNCTION("iferror(PERCENTRANK.INC(FILTER($Q$3:$Q$432, $P$3:$P$432&lt;4.25), $Q53), 1)"),0.188)</f>
        <v>0.188</v>
      </c>
      <c r="W53" s="20">
        <f>IFERROR(__xludf.DUMMYFUNCTION("iferror(PERCENTRANK.INC(FILTER($Q$3:$Q$432, $P$3:$P$432&gt;=4.1), $Q53), 0)"),0.0)</f>
        <v>0</v>
      </c>
    </row>
    <row r="54" ht="14.25" customHeight="1">
      <c r="A54" s="14" t="s">
        <v>1504</v>
      </c>
      <c r="B54" s="14" t="s">
        <v>1384</v>
      </c>
      <c r="C54" s="14">
        <v>60.0</v>
      </c>
      <c r="D54" s="14" t="s">
        <v>1446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-0.6943335356</v>
      </c>
      <c r="L54" s="20">
        <f t="shared" si="3"/>
        <v>-0.09925317177</v>
      </c>
      <c r="M54" s="20">
        <f t="shared" si="4"/>
        <v>-0.3372853173</v>
      </c>
      <c r="N54" s="20">
        <f t="shared" si="5"/>
        <v>94.28489119</v>
      </c>
      <c r="Q54" s="20">
        <f t="shared" si="6"/>
        <v>-0.228150695</v>
      </c>
      <c r="R54" s="20">
        <f t="shared" si="9"/>
        <v>90.23578201</v>
      </c>
      <c r="S54" s="20">
        <f t="shared" si="8"/>
        <v>-4.049109177</v>
      </c>
      <c r="U54" s="20">
        <f>IFERROR(__xludf.DUMMYFUNCTION("iferror(PERCENTRANK.INC(FILTER($Q$3:$Q$432, $P$3:$P$432&lt;3.75), $Q54), 1)"),0.389)</f>
        <v>0.389</v>
      </c>
      <c r="V54" s="20">
        <f>IFERROR(__xludf.DUMMYFUNCTION("iferror(PERCENTRANK.INC(FILTER($Q$3:$Q$432, $P$3:$P$432&lt;4.25), $Q54), 1)"),0.328)</f>
        <v>0.328</v>
      </c>
      <c r="W54" s="20">
        <f>IFERROR(__xludf.DUMMYFUNCTION("iferror(PERCENTRANK.INC(FILTER($Q$3:$Q$432, $P$3:$P$432&gt;=4.1), $Q54), 0)"),0.0)</f>
        <v>0</v>
      </c>
    </row>
    <row r="55" ht="14.25" customHeight="1">
      <c r="A55" s="14" t="s">
        <v>1505</v>
      </c>
      <c r="B55" s="14" t="s">
        <v>432</v>
      </c>
      <c r="C55" s="14">
        <v>71.0</v>
      </c>
      <c r="D55" s="14" t="s">
        <v>1446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0.09029449566</v>
      </c>
      <c r="L55" s="20">
        <f t="shared" si="3"/>
        <v>-0.6478161054</v>
      </c>
      <c r="M55" s="20">
        <f t="shared" si="4"/>
        <v>-0.352571865</v>
      </c>
      <c r="N55" s="20">
        <f t="shared" si="5"/>
        <v>94.25636331</v>
      </c>
      <c r="Q55" s="20">
        <f t="shared" si="6"/>
        <v>-0.1024748724</v>
      </c>
      <c r="R55" s="20">
        <f t="shared" si="9"/>
        <v>90.53299141</v>
      </c>
      <c r="S55" s="20">
        <f t="shared" si="8"/>
        <v>-3.723371897</v>
      </c>
      <c r="U55" s="20">
        <f>IFERROR(__xludf.DUMMYFUNCTION("iferror(PERCENTRANK.INC(FILTER($Q$3:$Q$432, $P$3:$P$432&lt;3.75), $Q55), 1)"),0.463)</f>
        <v>0.463</v>
      </c>
      <c r="V55" s="20">
        <f>IFERROR(__xludf.DUMMYFUNCTION("iferror(PERCENTRANK.INC(FILTER($Q$3:$Q$432, $P$3:$P$432&lt;4.25), $Q55), 1)"),0.391)</f>
        <v>0.391</v>
      </c>
      <c r="W55" s="20">
        <f>IFERROR(__xludf.DUMMYFUNCTION("iferror(PERCENTRANK.INC(FILTER($Q$3:$Q$432, $P$3:$P$432&gt;=4.1), $Q55), 0)"),0.0)</f>
        <v>0</v>
      </c>
    </row>
    <row r="56" ht="14.25" customHeight="1">
      <c r="A56" s="14" t="s">
        <v>1506</v>
      </c>
      <c r="B56" s="14" t="s">
        <v>1507</v>
      </c>
      <c r="C56" s="14">
        <v>54.0</v>
      </c>
      <c r="D56" s="14" t="s">
        <v>1446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-1.086647551</v>
      </c>
      <c r="L56" s="20">
        <f t="shared" si="3"/>
        <v>0.1088224238</v>
      </c>
      <c r="M56" s="20">
        <f t="shared" si="4"/>
        <v>-0.3693655662</v>
      </c>
      <c r="N56" s="20">
        <f t="shared" si="5"/>
        <v>94.22502276</v>
      </c>
      <c r="Q56" s="20">
        <f t="shared" si="6"/>
        <v>-0.3042297806</v>
      </c>
      <c r="R56" s="20">
        <f t="shared" si="9"/>
        <v>90.0558634</v>
      </c>
      <c r="S56" s="20">
        <f t="shared" si="8"/>
        <v>-4.169159362</v>
      </c>
      <c r="U56" s="20">
        <f>IFERROR(__xludf.DUMMYFUNCTION("iferror(PERCENTRANK.INC(FILTER($Q$3:$Q$432, $P$3:$P$432&lt;3.75), $Q56), 1)"),0.185)</f>
        <v>0.185</v>
      </c>
      <c r="V56" s="20">
        <f>IFERROR(__xludf.DUMMYFUNCTION("iferror(PERCENTRANK.INC(FILTER($Q$3:$Q$432, $P$3:$P$432&lt;4.25), $Q56), 1)"),0.156)</f>
        <v>0.156</v>
      </c>
      <c r="W56" s="20">
        <f>IFERROR(__xludf.DUMMYFUNCTION("iferror(PERCENTRANK.INC(FILTER($Q$3:$Q$432, $P$3:$P$432&gt;=4.1), $Q56), 0)"),0.0)</f>
        <v>0</v>
      </c>
    </row>
    <row r="57" ht="14.25" customHeight="1">
      <c r="A57" s="14" t="s">
        <v>1508</v>
      </c>
      <c r="B57" s="14" t="s">
        <v>1509</v>
      </c>
      <c r="C57" s="14">
        <v>76.0</v>
      </c>
      <c r="D57" s="14" t="s">
        <v>1446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-0.8251048741</v>
      </c>
      <c r="L57" s="20">
        <f t="shared" si="3"/>
        <v>-0.118169135</v>
      </c>
      <c r="M57" s="20">
        <f t="shared" si="4"/>
        <v>-0.4009434307</v>
      </c>
      <c r="N57" s="20">
        <f t="shared" si="5"/>
        <v>94.16609189</v>
      </c>
      <c r="Q57" s="20">
        <f t="shared" si="6"/>
        <v>-0.2711652892</v>
      </c>
      <c r="R57" s="20">
        <f t="shared" si="9"/>
        <v>90.13405726</v>
      </c>
      <c r="S57" s="20">
        <f t="shared" si="8"/>
        <v>-4.032034633</v>
      </c>
      <c r="U57" s="20">
        <f>IFERROR(__xludf.DUMMYFUNCTION("iferror(PERCENTRANK.INC(FILTER($Q$3:$Q$432, $P$3:$P$432&lt;3.75), $Q57), 1)"),0.352)</f>
        <v>0.352</v>
      </c>
      <c r="V57" s="20">
        <f>IFERROR(__xludf.DUMMYFUNCTION("iferror(PERCENTRANK.INC(FILTER($Q$3:$Q$432, $P$3:$P$432&lt;4.25), $Q57), 1)"),0.297)</f>
        <v>0.297</v>
      </c>
      <c r="W57" s="20">
        <f>IFERROR(__xludf.DUMMYFUNCTION("iferror(PERCENTRANK.INC(FILTER($Q$3:$Q$432, $P$3:$P$432&gt;=4.1), $Q57), 0)"),0.0)</f>
        <v>0</v>
      </c>
    </row>
    <row r="58" ht="14.25" customHeight="1">
      <c r="A58" s="14" t="s">
        <v>1510</v>
      </c>
      <c r="B58" s="14" t="s">
        <v>1511</v>
      </c>
      <c r="C58" s="14">
        <v>55.0</v>
      </c>
      <c r="D58" s="14" t="s">
        <v>1446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-0.6943335356</v>
      </c>
      <c r="L58" s="20">
        <f t="shared" si="3"/>
        <v>-0.2316649144</v>
      </c>
      <c r="M58" s="20">
        <f t="shared" si="4"/>
        <v>-0.4167323629</v>
      </c>
      <c r="N58" s="20">
        <f t="shared" si="5"/>
        <v>94.13662646</v>
      </c>
      <c r="P58" s="16">
        <v>4.56</v>
      </c>
      <c r="Q58" s="20">
        <f t="shared" si="6"/>
        <v>2.025366956</v>
      </c>
      <c r="R58" s="20">
        <f t="shared" si="9"/>
        <v>95.56510162</v>
      </c>
      <c r="S58" s="20">
        <f t="shared" si="8"/>
        <v>1.428475162</v>
      </c>
      <c r="U58" s="20">
        <f>IFERROR(__xludf.DUMMYFUNCTION("iferror(PERCENTRANK.INC(FILTER($Q$3:$Q$432, $P$3:$P$432&lt;3.75), $Q58), 1)"),0.982)</f>
        <v>0.982</v>
      </c>
      <c r="V58" s="20">
        <f>IFERROR(__xludf.DUMMYFUNCTION("iferror(PERCENTRANK.INC(FILTER($Q$3:$Q$432, $P$3:$P$432&lt;4.25), $Q58), 1)"),0.877)</f>
        <v>0.877</v>
      </c>
      <c r="W58" s="20">
        <f>IFERROR(__xludf.DUMMYFUNCTION("iferror(PERCENTRANK.INC(FILTER($Q$3:$Q$432, $P$3:$P$432&gt;=4.1), $Q58), 0)"),0.231)</f>
        <v>0.231</v>
      </c>
    </row>
    <row r="59" ht="14.25" customHeight="1">
      <c r="A59" s="14" t="s">
        <v>1512</v>
      </c>
      <c r="B59" s="14" t="s">
        <v>1274</v>
      </c>
      <c r="C59" s="14">
        <v>79.0</v>
      </c>
      <c r="D59" s="14" t="s">
        <v>1446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-0.8251048741</v>
      </c>
      <c r="L59" s="20">
        <f t="shared" si="3"/>
        <v>-0.1560010615</v>
      </c>
      <c r="M59" s="20">
        <f t="shared" si="4"/>
        <v>-0.4236425865</v>
      </c>
      <c r="N59" s="20">
        <f t="shared" si="5"/>
        <v>94.12373054</v>
      </c>
      <c r="Q59" s="20">
        <f t="shared" si="6"/>
        <v>-0.2787316745</v>
      </c>
      <c r="R59" s="20">
        <f t="shared" si="9"/>
        <v>90.1161636</v>
      </c>
      <c r="S59" s="20">
        <f t="shared" si="8"/>
        <v>-4.007566945</v>
      </c>
      <c r="U59" s="20">
        <f>IFERROR(__xludf.DUMMYFUNCTION("iferror(PERCENTRANK.INC(FILTER($Q$3:$Q$432, $P$3:$P$432&lt;3.75), $Q59), 1)"),0.259)</f>
        <v>0.259</v>
      </c>
      <c r="V59" s="20">
        <f>IFERROR(__xludf.DUMMYFUNCTION("iferror(PERCENTRANK.INC(FILTER($Q$3:$Q$432, $P$3:$P$432&lt;4.25), $Q59), 1)"),0.219)</f>
        <v>0.219</v>
      </c>
      <c r="W59" s="20">
        <f>IFERROR(__xludf.DUMMYFUNCTION("iferror(PERCENTRANK.INC(FILTER($Q$3:$Q$432, $P$3:$P$432&gt;=4.1), $Q59), 0)"),0.0)</f>
        <v>0</v>
      </c>
    </row>
    <row r="60" ht="14.25" customHeight="1">
      <c r="A60" s="14" t="s">
        <v>1513</v>
      </c>
      <c r="B60" s="14" t="s">
        <v>1254</v>
      </c>
      <c r="C60" s="14">
        <v>70.0</v>
      </c>
      <c r="D60" s="14" t="s">
        <v>1446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-0.6943335356</v>
      </c>
      <c r="L60" s="20">
        <f t="shared" si="3"/>
        <v>-0.2505808776</v>
      </c>
      <c r="M60" s="20">
        <f t="shared" si="4"/>
        <v>-0.4280819408</v>
      </c>
      <c r="N60" s="20">
        <f t="shared" si="5"/>
        <v>94.11544578</v>
      </c>
      <c r="Q60" s="20">
        <f t="shared" si="6"/>
        <v>-0.2584162362</v>
      </c>
      <c r="R60" s="20">
        <f t="shared" si="9"/>
        <v>90.16420736</v>
      </c>
      <c r="S60" s="20">
        <f t="shared" si="8"/>
        <v>-3.951238424</v>
      </c>
      <c r="U60" s="20">
        <f>IFERROR(__xludf.DUMMYFUNCTION("iferror(PERCENTRANK.INC(FILTER($Q$3:$Q$432, $P$3:$P$432&lt;3.75), $Q60), 1)"),0.37)</f>
        <v>0.37</v>
      </c>
      <c r="V60" s="20">
        <f>IFERROR(__xludf.DUMMYFUNCTION("iferror(PERCENTRANK.INC(FILTER($Q$3:$Q$432, $P$3:$P$432&lt;4.25), $Q60), 1)"),0.313)</f>
        <v>0.313</v>
      </c>
      <c r="W60" s="20">
        <f>IFERROR(__xludf.DUMMYFUNCTION("iferror(PERCENTRANK.INC(FILTER($Q$3:$Q$432, $P$3:$P$432&gt;=4.1), $Q60), 0)"),0.0)</f>
        <v>0</v>
      </c>
    </row>
    <row r="61" ht="14.25" customHeight="1">
      <c r="A61" s="14" t="s">
        <v>1514</v>
      </c>
      <c r="B61" s="14" t="s">
        <v>1353</v>
      </c>
      <c r="C61" s="14">
        <v>72.0</v>
      </c>
      <c r="D61" s="14" t="s">
        <v>1446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-2.13281826</v>
      </c>
      <c r="L61" s="20">
        <f t="shared" si="3"/>
        <v>0.6763013206</v>
      </c>
      <c r="M61" s="20">
        <f t="shared" si="4"/>
        <v>-0.4473465114</v>
      </c>
      <c r="N61" s="20">
        <f t="shared" si="5"/>
        <v>94.07949408</v>
      </c>
      <c r="Q61" s="20">
        <f t="shared" si="6"/>
        <v>-0.5045852137</v>
      </c>
      <c r="R61" s="20">
        <f t="shared" si="9"/>
        <v>89.582045</v>
      </c>
      <c r="S61" s="20">
        <f t="shared" si="8"/>
        <v>-4.497449086</v>
      </c>
      <c r="U61" s="20">
        <f>IFERROR(__xludf.DUMMYFUNCTION("iferror(PERCENTRANK.INC(FILTER($Q$3:$Q$432, $P$3:$P$432&lt;3.75), $Q61), 1)"),0.056)</f>
        <v>0.056</v>
      </c>
      <c r="V61" s="20">
        <f>IFERROR(__xludf.DUMMYFUNCTION("iferror(PERCENTRANK.INC(FILTER($Q$3:$Q$432, $P$3:$P$432&lt;4.25), $Q61), 1)"),0.047)</f>
        <v>0.047</v>
      </c>
      <c r="W61" s="20">
        <f>IFERROR(__xludf.DUMMYFUNCTION("iferror(PERCENTRANK.INC(FILTER($Q$3:$Q$432, $P$3:$P$432&gt;=4.1), $Q61), 0)"),0.0)</f>
        <v>0</v>
      </c>
    </row>
    <row r="62" ht="14.25" customHeight="1">
      <c r="A62" s="14" t="s">
        <v>1515</v>
      </c>
      <c r="B62" s="14" t="s">
        <v>1369</v>
      </c>
      <c r="C62" s="14">
        <v>74.0</v>
      </c>
      <c r="D62" s="14" t="s">
        <v>1446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0.09029449566</v>
      </c>
      <c r="L62" s="20">
        <f t="shared" si="3"/>
        <v>-0.7991438113</v>
      </c>
      <c r="M62" s="20">
        <f t="shared" si="4"/>
        <v>-0.4433684885</v>
      </c>
      <c r="N62" s="20">
        <f t="shared" si="5"/>
        <v>94.0869179</v>
      </c>
      <c r="Q62" s="20">
        <f t="shared" si="6"/>
        <v>-0.1327404136</v>
      </c>
      <c r="R62" s="20">
        <f t="shared" si="9"/>
        <v>90.46141676</v>
      </c>
      <c r="S62" s="20">
        <f t="shared" si="8"/>
        <v>-3.625501144</v>
      </c>
      <c r="U62" s="20">
        <f>IFERROR(__xludf.DUMMYFUNCTION("iferror(PERCENTRANK.INC(FILTER($Q$3:$Q$432, $P$3:$P$432&lt;3.75), $Q62), 1)"),0.426)</f>
        <v>0.426</v>
      </c>
      <c r="V62" s="20">
        <f>IFERROR(__xludf.DUMMYFUNCTION("iferror(PERCENTRANK.INC(FILTER($Q$3:$Q$432, $P$3:$P$432&lt;4.25), $Q62), 1)"),0.359)</f>
        <v>0.359</v>
      </c>
      <c r="W62" s="20">
        <f>IFERROR(__xludf.DUMMYFUNCTION("iferror(PERCENTRANK.INC(FILTER($Q$3:$Q$432, $P$3:$P$432&gt;=4.1), $Q62), 0)"),0.0)</f>
        <v>0</v>
      </c>
    </row>
    <row r="63" ht="14.25" customHeight="1">
      <c r="A63" s="14" t="s">
        <v>1516</v>
      </c>
      <c r="B63" s="14" t="s">
        <v>1450</v>
      </c>
      <c r="C63" s="14">
        <v>70.0</v>
      </c>
      <c r="D63" s="14" t="s">
        <v>1446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-2.002046921</v>
      </c>
      <c r="L63" s="20">
        <f t="shared" si="3"/>
        <v>0.5060576516</v>
      </c>
      <c r="M63" s="20">
        <f t="shared" si="4"/>
        <v>-0.4971841775</v>
      </c>
      <c r="N63" s="20">
        <f t="shared" si="5"/>
        <v>93.98648662</v>
      </c>
      <c r="Q63" s="20">
        <f t="shared" si="6"/>
        <v>-0.499402546</v>
      </c>
      <c r="R63" s="20">
        <f t="shared" si="9"/>
        <v>89.59430143</v>
      </c>
      <c r="S63" s="20">
        <f t="shared" si="8"/>
        <v>-4.392185189</v>
      </c>
      <c r="U63" s="20">
        <f>IFERROR(__xludf.DUMMYFUNCTION("iferror(PERCENTRANK.INC(FILTER($Q$3:$Q$432, $P$3:$P$432&lt;3.75), $Q63), 1)"),0.074)</f>
        <v>0.074</v>
      </c>
      <c r="V63" s="20">
        <f>IFERROR(__xludf.DUMMYFUNCTION("iferror(PERCENTRANK.INC(FILTER($Q$3:$Q$432, $P$3:$P$432&lt;4.25), $Q63), 1)"),0.063)</f>
        <v>0.063</v>
      </c>
      <c r="W63" s="20">
        <f>IFERROR(__xludf.DUMMYFUNCTION("iferror(PERCENTRANK.INC(FILTER($Q$3:$Q$432, $P$3:$P$432&gt;=4.1), $Q63), 0)"),0.0)</f>
        <v>0</v>
      </c>
    </row>
    <row r="64" ht="14.25" customHeight="1">
      <c r="A64" s="14" t="s">
        <v>1517</v>
      </c>
      <c r="B64" s="14" t="s">
        <v>1283</v>
      </c>
      <c r="C64" s="14">
        <v>72.0</v>
      </c>
      <c r="D64" s="14" t="s">
        <v>1446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0.2210658342</v>
      </c>
      <c r="L64" s="20">
        <f t="shared" si="3"/>
        <v>-0.9693874803</v>
      </c>
      <c r="M64" s="20">
        <f t="shared" si="4"/>
        <v>-0.4932061545</v>
      </c>
      <c r="N64" s="20">
        <f t="shared" si="5"/>
        <v>93.99391044</v>
      </c>
      <c r="Q64" s="20">
        <f t="shared" si="6"/>
        <v>-0.1275577458</v>
      </c>
      <c r="R64" s="20">
        <f t="shared" si="9"/>
        <v>90.47367319</v>
      </c>
      <c r="S64" s="20">
        <f t="shared" si="8"/>
        <v>-3.520237248</v>
      </c>
      <c r="U64" s="20">
        <f>IFERROR(__xludf.DUMMYFUNCTION("iferror(PERCENTRANK.INC(FILTER($Q$3:$Q$432, $P$3:$P$432&lt;3.75), $Q64), 1)"),0.444)</f>
        <v>0.444</v>
      </c>
      <c r="V64" s="20">
        <f>IFERROR(__xludf.DUMMYFUNCTION("iferror(PERCENTRANK.INC(FILTER($Q$3:$Q$432, $P$3:$P$432&lt;4.25), $Q64), 1)"),0.375)</f>
        <v>0.375</v>
      </c>
      <c r="W64" s="20">
        <f>IFERROR(__xludf.DUMMYFUNCTION("iferror(PERCENTRANK.INC(FILTER($Q$3:$Q$432, $P$3:$P$432&gt;=4.1), $Q64), 0)"),0.0)</f>
        <v>0</v>
      </c>
    </row>
    <row r="65" ht="14.25" customHeight="1">
      <c r="A65" s="14" t="s">
        <v>1518</v>
      </c>
      <c r="B65" s="14" t="s">
        <v>1384</v>
      </c>
      <c r="C65" s="14">
        <v>54.0</v>
      </c>
      <c r="D65" s="14" t="s">
        <v>1446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-0.5635621971</v>
      </c>
      <c r="L65" s="20">
        <f t="shared" si="3"/>
        <v>-0.5154043628</v>
      </c>
      <c r="M65" s="20">
        <f t="shared" si="4"/>
        <v>-0.5346674965</v>
      </c>
      <c r="N65" s="20">
        <f t="shared" si="5"/>
        <v>93.91653494</v>
      </c>
      <c r="Q65" s="20">
        <f t="shared" si="6"/>
        <v>-0.2721495317</v>
      </c>
      <c r="R65" s="20">
        <f t="shared" si="9"/>
        <v>90.13172964</v>
      </c>
      <c r="S65" s="20">
        <f t="shared" si="8"/>
        <v>-3.784805307</v>
      </c>
      <c r="U65" s="20">
        <f>IFERROR(__xludf.DUMMYFUNCTION("iferror(PERCENTRANK.INC(FILTER($Q$3:$Q$432, $P$3:$P$432&lt;3.75), $Q65), 1)"),0.315)</f>
        <v>0.315</v>
      </c>
      <c r="V65" s="20">
        <f>IFERROR(__xludf.DUMMYFUNCTION("iferror(PERCENTRANK.INC(FILTER($Q$3:$Q$432, $P$3:$P$432&lt;4.25), $Q65), 1)"),0.266)</f>
        <v>0.266</v>
      </c>
      <c r="W65" s="20">
        <f>IFERROR(__xludf.DUMMYFUNCTION("iferror(PERCENTRANK.INC(FILTER($Q$3:$Q$432, $P$3:$P$432&gt;=4.1), $Q65), 0)"),0.0)</f>
        <v>0</v>
      </c>
    </row>
    <row r="66" ht="14.25" customHeight="1">
      <c r="A66" s="16" t="s">
        <v>1519</v>
      </c>
      <c r="B66" s="14" t="s">
        <v>1520</v>
      </c>
      <c r="C66" s="14">
        <v>71.0</v>
      </c>
      <c r="D66" s="14" t="s">
        <v>1446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-0.5635621971</v>
      </c>
      <c r="L66" s="20">
        <f t="shared" si="3"/>
        <v>-0.5154043628</v>
      </c>
      <c r="M66" s="20">
        <f t="shared" si="4"/>
        <v>-0.5346674965</v>
      </c>
      <c r="N66" s="20">
        <f t="shared" si="5"/>
        <v>93.91653494</v>
      </c>
      <c r="Q66" s="20">
        <f t="shared" si="6"/>
        <v>-0.2721495317</v>
      </c>
      <c r="R66" s="20">
        <f t="shared" si="9"/>
        <v>90.13172964</v>
      </c>
      <c r="S66" s="20">
        <f t="shared" si="8"/>
        <v>-3.784805307</v>
      </c>
      <c r="U66" s="20">
        <f>IFERROR(__xludf.DUMMYFUNCTION("iferror(PERCENTRANK.INC(FILTER($Q$3:$Q$432, $P$3:$P$432&lt;3.75), $Q66), 1)"),0.315)</f>
        <v>0.315</v>
      </c>
      <c r="V66" s="20">
        <f>IFERROR(__xludf.DUMMYFUNCTION("iferror(PERCENTRANK.INC(FILTER($Q$3:$Q$432, $P$3:$P$432&lt;4.25), $Q66), 1)"),0.266)</f>
        <v>0.266</v>
      </c>
      <c r="W66" s="20">
        <f>IFERROR(__xludf.DUMMYFUNCTION("iferror(PERCENTRANK.INC(FILTER($Q$3:$Q$432, $P$3:$P$432&gt;=4.1), $Q66), 0)"),0.0)</f>
        <v>0</v>
      </c>
    </row>
    <row r="67" ht="14.25" customHeight="1">
      <c r="A67" s="14" t="s">
        <v>1521</v>
      </c>
      <c r="B67" s="14" t="s">
        <v>1329</v>
      </c>
      <c r="C67" s="14">
        <v>50.0</v>
      </c>
      <c r="D67" s="14" t="s">
        <v>1446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-1.348190228</v>
      </c>
      <c r="L67" s="20">
        <f t="shared" si="3"/>
        <v>-0.004673355621</v>
      </c>
      <c r="M67" s="20">
        <f t="shared" si="4"/>
        <v>-0.5420801047</v>
      </c>
      <c r="N67" s="20">
        <f t="shared" si="5"/>
        <v>93.90270147</v>
      </c>
      <c r="Q67" s="20">
        <f t="shared" si="6"/>
        <v>-0.4053917396</v>
      </c>
      <c r="R67" s="20">
        <f t="shared" si="9"/>
        <v>89.81662657</v>
      </c>
      <c r="S67" s="20">
        <f t="shared" si="8"/>
        <v>-4.086074898</v>
      </c>
      <c r="U67" s="20">
        <f>IFERROR(__xludf.DUMMYFUNCTION("iferror(PERCENTRANK.INC(FILTER($Q$3:$Q$432, $P$3:$P$432&lt;3.75), $Q67), 1)"),0.111)</f>
        <v>0.111</v>
      </c>
      <c r="V67" s="20">
        <f>IFERROR(__xludf.DUMMYFUNCTION("iferror(PERCENTRANK.INC(FILTER($Q$3:$Q$432, $P$3:$P$432&lt;4.25), $Q67), 1)"),0.094)</f>
        <v>0.094</v>
      </c>
      <c r="W67" s="20">
        <f>IFERROR(__xludf.DUMMYFUNCTION("iferror(PERCENTRANK.INC(FILTER($Q$3:$Q$432, $P$3:$P$432&gt;=4.1), $Q67), 0)"),0.0)</f>
        <v>0</v>
      </c>
    </row>
    <row r="68" ht="14.25" customHeight="1">
      <c r="A68" s="14" t="s">
        <v>1522</v>
      </c>
      <c r="B68" s="14" t="s">
        <v>1487</v>
      </c>
      <c r="C68" s="14">
        <v>72.0</v>
      </c>
      <c r="D68" s="14" t="s">
        <v>1446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-1.086647551</v>
      </c>
      <c r="L68" s="20">
        <f t="shared" si="3"/>
        <v>-0.1938329879</v>
      </c>
      <c r="M68" s="20">
        <f t="shared" si="4"/>
        <v>-0.5509588132</v>
      </c>
      <c r="N68" s="20">
        <f t="shared" si="5"/>
        <v>93.88613195</v>
      </c>
      <c r="Q68" s="20">
        <f t="shared" si="6"/>
        <v>-0.364760863</v>
      </c>
      <c r="R68" s="20">
        <f t="shared" si="9"/>
        <v>89.9127141</v>
      </c>
      <c r="S68" s="20">
        <f t="shared" si="8"/>
        <v>-3.973417857</v>
      </c>
      <c r="U68" s="20">
        <f>IFERROR(__xludf.DUMMYFUNCTION("iferror(PERCENTRANK.INC(FILTER($Q$3:$Q$432, $P$3:$P$432&lt;3.75), $Q68), 1)"),0.13)</f>
        <v>0.13</v>
      </c>
      <c r="V68" s="20">
        <f>IFERROR(__xludf.DUMMYFUNCTION("iferror(PERCENTRANK.INC(FILTER($Q$3:$Q$432, $P$3:$P$432&lt;4.25), $Q68), 1)"),0.109)</f>
        <v>0.109</v>
      </c>
      <c r="W68" s="20">
        <f>IFERROR(__xludf.DUMMYFUNCTION("iferror(PERCENTRANK.INC(FILTER($Q$3:$Q$432, $P$3:$P$432&gt;=4.1), $Q68), 0)"),0.0)</f>
        <v>0</v>
      </c>
    </row>
    <row r="69" ht="14.25" customHeight="1">
      <c r="A69" s="14" t="s">
        <v>1523</v>
      </c>
      <c r="B69" s="14" t="s">
        <v>1524</v>
      </c>
      <c r="C69" s="14">
        <v>73.0</v>
      </c>
      <c r="D69" s="14" t="s">
        <v>1446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-0.9558762127</v>
      </c>
      <c r="L69" s="20">
        <f t="shared" si="3"/>
        <v>-0.3451606938</v>
      </c>
      <c r="M69" s="20">
        <f t="shared" si="4"/>
        <v>-0.5894469013</v>
      </c>
      <c r="N69" s="20">
        <f t="shared" si="5"/>
        <v>93.81430517</v>
      </c>
      <c r="Q69" s="20">
        <f t="shared" si="6"/>
        <v>-0.3557950026</v>
      </c>
      <c r="R69" s="20">
        <f t="shared" si="9"/>
        <v>89.93391736</v>
      </c>
      <c r="S69" s="20">
        <f t="shared" si="8"/>
        <v>-3.880387804</v>
      </c>
      <c r="U69" s="20">
        <f>IFERROR(__xludf.DUMMYFUNCTION("iferror(PERCENTRANK.INC(FILTER($Q$3:$Q$432, $P$3:$P$432&lt;3.75), $Q69), 1)"),0.148)</f>
        <v>0.148</v>
      </c>
      <c r="V69" s="20">
        <f>IFERROR(__xludf.DUMMYFUNCTION("iferror(PERCENTRANK.INC(FILTER($Q$3:$Q$432, $P$3:$P$432&lt;4.25), $Q69), 1)"),0.125)</f>
        <v>0.125</v>
      </c>
      <c r="W69" s="20">
        <f>IFERROR(__xludf.DUMMYFUNCTION("iferror(PERCENTRANK.INC(FILTER($Q$3:$Q$432, $P$3:$P$432&gt;=4.1), $Q69), 0)"),0.0)</f>
        <v>0</v>
      </c>
    </row>
    <row r="70" ht="14.25" customHeight="1">
      <c r="A70" s="14" t="s">
        <v>1525</v>
      </c>
      <c r="B70" s="14" t="s">
        <v>1524</v>
      </c>
      <c r="C70" s="14">
        <v>56.0</v>
      </c>
      <c r="D70" s="14" t="s">
        <v>1446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0.6133798498</v>
      </c>
      <c r="L70" s="20">
        <f t="shared" si="3"/>
        <v>-1.423370598</v>
      </c>
      <c r="M70" s="20">
        <f t="shared" si="4"/>
        <v>-0.6086704188</v>
      </c>
      <c r="N70" s="20">
        <f t="shared" si="5"/>
        <v>93.77843008</v>
      </c>
      <c r="Q70" s="20">
        <f t="shared" si="6"/>
        <v>-0.1006601646</v>
      </c>
      <c r="R70" s="20">
        <f t="shared" si="9"/>
        <v>90.53728299</v>
      </c>
      <c r="S70" s="20">
        <f t="shared" si="8"/>
        <v>-3.241147089</v>
      </c>
      <c r="U70" s="20">
        <f>IFERROR(__xludf.DUMMYFUNCTION("iferror(PERCENTRANK.INC(FILTER($Q$3:$Q$432, $P$3:$P$432&lt;3.75), $Q70), 1)"),0.481)</f>
        <v>0.481</v>
      </c>
      <c r="V70" s="20">
        <f>IFERROR(__xludf.DUMMYFUNCTION("iferror(PERCENTRANK.INC(FILTER($Q$3:$Q$432, $P$3:$P$432&lt;4.25), $Q70), 1)"),0.406)</f>
        <v>0.406</v>
      </c>
      <c r="W70" s="20">
        <f>IFERROR(__xludf.DUMMYFUNCTION("iferror(PERCENTRANK.INC(FILTER($Q$3:$Q$432, $P$3:$P$432&gt;=4.1), $Q70), 0)"),0.0)</f>
        <v>0</v>
      </c>
    </row>
    <row r="71" ht="14.25" customHeight="1">
      <c r="A71" s="16" t="s">
        <v>1526</v>
      </c>
      <c r="B71" s="14" t="s">
        <v>1382</v>
      </c>
      <c r="C71" s="16">
        <v>56.0</v>
      </c>
      <c r="D71" s="14" t="s">
        <v>1446</v>
      </c>
      <c r="E71" s="14" t="s">
        <v>148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-0.8251048741</v>
      </c>
      <c r="L71" s="20">
        <f t="shared" si="3"/>
        <v>-0.5910682157</v>
      </c>
      <c r="M71" s="20">
        <f t="shared" si="4"/>
        <v>-0.6846828791</v>
      </c>
      <c r="N71" s="20">
        <f t="shared" si="5"/>
        <v>93.636575</v>
      </c>
      <c r="P71" s="16">
        <v>4.49</v>
      </c>
      <c r="Q71" s="20">
        <f t="shared" si="6"/>
        <v>1.879254895</v>
      </c>
      <c r="R71" s="20">
        <f t="shared" si="9"/>
        <v>95.21956278</v>
      </c>
      <c r="S71" s="20">
        <f t="shared" si="8"/>
        <v>1.582987777</v>
      </c>
      <c r="U71" s="20">
        <f>IFERROR(__xludf.DUMMYFUNCTION("iferror(PERCENTRANK.INC(FILTER($Q$3:$Q$432, $P$3:$P$432&lt;3.75), $Q71), 1)"),0.922)</f>
        <v>0.922</v>
      </c>
      <c r="V71" s="20">
        <f>IFERROR(__xludf.DUMMYFUNCTION("iferror(PERCENTRANK.INC(FILTER($Q$3:$Q$432, $P$3:$P$432&lt;4.25), $Q71), 1)"),0.809)</f>
        <v>0.809</v>
      </c>
      <c r="W71" s="20">
        <f>IFERROR(__xludf.DUMMYFUNCTION("iferror(PERCENTRANK.INC(FILTER($Q$3:$Q$432, $P$3:$P$432&gt;=4.1), $Q71), 0)"),0.154)</f>
        <v>0.154</v>
      </c>
    </row>
    <row r="72" ht="14.25" customHeight="1">
      <c r="A72" s="14" t="s">
        <v>1527</v>
      </c>
      <c r="B72" s="14" t="s">
        <v>1496</v>
      </c>
      <c r="C72" s="14">
        <v>56.0</v>
      </c>
      <c r="D72" s="14" t="s">
        <v>1446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-0.1712481814</v>
      </c>
      <c r="L72" s="20">
        <f t="shared" si="3"/>
        <v>-1.120715186</v>
      </c>
      <c r="M72" s="20">
        <f t="shared" si="4"/>
        <v>-0.7409283843</v>
      </c>
      <c r="N72" s="20">
        <f t="shared" si="5"/>
        <v>93.53160918</v>
      </c>
      <c r="Q72" s="20">
        <f t="shared" si="6"/>
        <v>-0.2755174917</v>
      </c>
      <c r="R72" s="20">
        <f t="shared" si="9"/>
        <v>90.12376478</v>
      </c>
      <c r="S72" s="20">
        <f t="shared" si="8"/>
        <v>-3.407844395</v>
      </c>
      <c r="U72" s="20">
        <f>IFERROR(__xludf.DUMMYFUNCTION("iferror(PERCENTRANK.INC(FILTER($Q$3:$Q$432, $P$3:$P$432&lt;3.75), $Q72), 1)"),0.278)</f>
        <v>0.278</v>
      </c>
      <c r="V72" s="20">
        <f>IFERROR(__xludf.DUMMYFUNCTION("iferror(PERCENTRANK.INC(FILTER($Q$3:$Q$432, $P$3:$P$432&lt;4.25), $Q72), 1)"),0.234)</f>
        <v>0.234</v>
      </c>
      <c r="W72" s="20">
        <f>IFERROR(__xludf.DUMMYFUNCTION("iferror(PERCENTRANK.INC(FILTER($Q$3:$Q$432, $P$3:$P$432&gt;=4.1), $Q72), 0)"),0.0)</f>
        <v>0</v>
      </c>
    </row>
    <row r="73" ht="14.25" customHeight="1">
      <c r="A73" s="14" t="s">
        <v>1528</v>
      </c>
      <c r="B73" s="14" t="s">
        <v>1291</v>
      </c>
      <c r="C73" s="14">
        <v>67.0</v>
      </c>
      <c r="D73" s="14" t="s">
        <v>1446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-2.002046921</v>
      </c>
      <c r="L73" s="20">
        <f t="shared" si="3"/>
        <v>0.08990646053</v>
      </c>
      <c r="M73" s="20">
        <f t="shared" si="4"/>
        <v>-0.7468748921</v>
      </c>
      <c r="N73" s="20">
        <f t="shared" si="5"/>
        <v>93.52051176</v>
      </c>
      <c r="Q73" s="20">
        <f t="shared" si="6"/>
        <v>-0.5826327842</v>
      </c>
      <c r="R73" s="20">
        <f t="shared" si="9"/>
        <v>89.39747114</v>
      </c>
      <c r="S73" s="20">
        <f t="shared" si="8"/>
        <v>-4.123040619</v>
      </c>
      <c r="U73" s="20">
        <f>IFERROR(__xludf.DUMMYFUNCTION("iferror(PERCENTRANK.INC(FILTER($Q$3:$Q$432, $P$3:$P$432&lt;3.75), $Q73), 1)"),0.019)</f>
        <v>0.019</v>
      </c>
      <c r="V73" s="20">
        <f>IFERROR(__xludf.DUMMYFUNCTION("iferror(PERCENTRANK.INC(FILTER($Q$3:$Q$432, $P$3:$P$432&lt;4.25), $Q73), 1)"),0.016)</f>
        <v>0.016</v>
      </c>
      <c r="W73" s="20">
        <f>IFERROR(__xludf.DUMMYFUNCTION("iferror(PERCENTRANK.INC(FILTER($Q$3:$Q$432, $P$3:$P$432&gt;=4.1), $Q73), 0)"),0.0)</f>
        <v>0</v>
      </c>
    </row>
    <row r="74" ht="14.25" customHeight="1">
      <c r="A74" s="14" t="s">
        <v>1529</v>
      </c>
      <c r="B74" s="14" t="s">
        <v>1378</v>
      </c>
      <c r="C74" s="14">
        <v>50.0</v>
      </c>
      <c r="D74" s="14" t="s">
        <v>1446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-0.9558762127</v>
      </c>
      <c r="L74" s="20">
        <f t="shared" si="3"/>
        <v>-0.6856480319</v>
      </c>
      <c r="M74" s="20">
        <f t="shared" si="4"/>
        <v>-0.7937393042</v>
      </c>
      <c r="N74" s="20">
        <f t="shared" si="5"/>
        <v>93.43305301</v>
      </c>
      <c r="Q74" s="20">
        <f t="shared" si="6"/>
        <v>-0.4238924702</v>
      </c>
      <c r="R74" s="20">
        <f t="shared" si="9"/>
        <v>89.7728744</v>
      </c>
      <c r="S74" s="20">
        <f t="shared" si="8"/>
        <v>-3.66017861</v>
      </c>
      <c r="U74" s="20">
        <f>IFERROR(__xludf.DUMMYFUNCTION("iferror(PERCENTRANK.INC(FILTER($Q$3:$Q$432, $P$3:$P$432&lt;3.75), $Q74), 1)"),0.093)</f>
        <v>0.093</v>
      </c>
      <c r="V74" s="20">
        <f>IFERROR(__xludf.DUMMYFUNCTION("iferror(PERCENTRANK.INC(FILTER($Q$3:$Q$432, $P$3:$P$432&lt;4.25), $Q74), 1)"),0.078)</f>
        <v>0.078</v>
      </c>
      <c r="W74" s="20">
        <f>IFERROR(__xludf.DUMMYFUNCTION("iferror(PERCENTRANK.INC(FILTER($Q$3:$Q$432, $P$3:$P$432&gt;=4.1), $Q74), 0)"),0.0)</f>
        <v>0</v>
      </c>
    </row>
    <row r="75" ht="14.25" customHeight="1">
      <c r="A75" s="14" t="s">
        <v>1530</v>
      </c>
      <c r="B75" s="14" t="s">
        <v>1487</v>
      </c>
      <c r="C75" s="14">
        <v>65.0</v>
      </c>
      <c r="D75" s="14" t="s">
        <v>1446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-0.4327908585</v>
      </c>
      <c r="L75" s="20">
        <f t="shared" si="3"/>
        <v>-1.08288326</v>
      </c>
      <c r="M75" s="20">
        <f t="shared" si="4"/>
        <v>-0.8228462992</v>
      </c>
      <c r="N75" s="20">
        <f t="shared" si="5"/>
        <v>93.37873329</v>
      </c>
      <c r="Q75" s="20">
        <f t="shared" si="6"/>
        <v>-0.3464139095</v>
      </c>
      <c r="R75" s="20">
        <f t="shared" si="9"/>
        <v>89.95610261</v>
      </c>
      <c r="S75" s="20">
        <f t="shared" si="8"/>
        <v>-3.422630684</v>
      </c>
      <c r="U75" s="20">
        <f>IFERROR(__xludf.DUMMYFUNCTION("iferror(PERCENTRANK.INC(FILTER($Q$3:$Q$432, $P$3:$P$432&lt;3.75), $Q75), 1)"),0.167)</f>
        <v>0.167</v>
      </c>
      <c r="V75" s="20">
        <f>IFERROR(__xludf.DUMMYFUNCTION("iferror(PERCENTRANK.INC(FILTER($Q$3:$Q$432, $P$3:$P$432&lt;4.25), $Q75), 1)"),0.141)</f>
        <v>0.141</v>
      </c>
      <c r="W75" s="20">
        <f>IFERROR(__xludf.DUMMYFUNCTION("iferror(PERCENTRANK.INC(FILTER($Q$3:$Q$432, $P$3:$P$432&gt;=4.1), $Q75), 0)"),0.0)</f>
        <v>0</v>
      </c>
    </row>
    <row r="76" ht="14.25" customHeight="1">
      <c r="A76" s="16" t="s">
        <v>1531</v>
      </c>
      <c r="B76" s="16" t="s">
        <v>1532</v>
      </c>
      <c r="C76" s="16">
        <v>79.0</v>
      </c>
      <c r="D76" s="16" t="s">
        <v>1446</v>
      </c>
      <c r="E76" s="16" t="s">
        <v>183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-0.9558762127</v>
      </c>
      <c r="L76" s="20">
        <f t="shared" si="3"/>
        <v>-1.177463076</v>
      </c>
      <c r="M76" s="20">
        <f t="shared" si="4"/>
        <v>-1.088828331</v>
      </c>
      <c r="N76" s="20">
        <f t="shared" si="5"/>
        <v>92.88235544</v>
      </c>
      <c r="P76" s="16">
        <v>4.56</v>
      </c>
      <c r="Q76" s="20">
        <f t="shared" si="6"/>
        <v>1.757744521</v>
      </c>
      <c r="R76" s="20">
        <f t="shared" si="9"/>
        <v>94.93220421</v>
      </c>
      <c r="S76" s="20">
        <f t="shared" si="8"/>
        <v>2.049848766</v>
      </c>
      <c r="U76" s="20">
        <f>IFERROR(__xludf.DUMMYFUNCTION("iferror(PERCENTRANK.INC(FILTER($Q$3:$Q$432, $P$3:$P$432&lt;3.75), $Q76), 1)"),0.885)</f>
        <v>0.885</v>
      </c>
      <c r="V76" s="20">
        <f>IFERROR(__xludf.DUMMYFUNCTION("iferror(PERCENTRANK.INC(FILTER($Q$3:$Q$432, $P$3:$P$432&lt;4.25), $Q76), 1)"),0.763)</f>
        <v>0.763</v>
      </c>
      <c r="W76" s="20">
        <f>IFERROR(__xludf.DUMMYFUNCTION("iferror(PERCENTRANK.INC(FILTER($Q$3:$Q$432, $P$3:$P$432&gt;=4.1), $Q76), 0)"),0.077)</f>
        <v>0.077</v>
      </c>
    </row>
    <row r="77" ht="14.25" customHeight="1">
      <c r="A77" s="14" t="s">
        <v>1533</v>
      </c>
      <c r="B77" s="14" t="s">
        <v>1371</v>
      </c>
      <c r="C77" s="14">
        <v>55.0</v>
      </c>
      <c r="D77" s="14" t="s">
        <v>1446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-1.348190228</v>
      </c>
      <c r="L77" s="20">
        <f t="shared" si="3"/>
        <v>-0.5721522525</v>
      </c>
      <c r="M77" s="20">
        <f t="shared" si="4"/>
        <v>-0.8825674428</v>
      </c>
      <c r="N77" s="20">
        <f t="shared" si="5"/>
        <v>93.2672812</v>
      </c>
      <c r="Q77" s="20">
        <f t="shared" si="6"/>
        <v>-0.518887519</v>
      </c>
      <c r="R77" s="20">
        <f t="shared" si="9"/>
        <v>89.54822163</v>
      </c>
      <c r="S77" s="20">
        <f t="shared" si="8"/>
        <v>-3.719059575</v>
      </c>
      <c r="U77" s="20">
        <f>IFERROR(__xludf.DUMMYFUNCTION("iferror(PERCENTRANK.INC(FILTER($Q$3:$Q$432, $P$3:$P$432&lt;3.75), $Q77), 1)"),0.037)</f>
        <v>0.037</v>
      </c>
      <c r="V77" s="20">
        <f>IFERROR(__xludf.DUMMYFUNCTION("iferror(PERCENTRANK.INC(FILTER($Q$3:$Q$432, $P$3:$P$432&lt;4.25), $Q77), 1)"),0.031)</f>
        <v>0.031</v>
      </c>
      <c r="W77" s="20">
        <f>IFERROR(__xludf.DUMMYFUNCTION("iferror(PERCENTRANK.INC(FILTER($Q$3:$Q$432, $P$3:$P$432&gt;=4.1), $Q77), 0)"),0.0)</f>
        <v>0</v>
      </c>
    </row>
    <row r="78" ht="14.25" customHeight="1">
      <c r="A78" s="16" t="s">
        <v>1534</v>
      </c>
      <c r="B78" s="16" t="s">
        <v>1535</v>
      </c>
      <c r="C78" s="16">
        <v>70.0</v>
      </c>
      <c r="D78" s="16" t="s">
        <v>1446</v>
      </c>
      <c r="E78" s="16" t="s">
        <v>1245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-0.9558762127</v>
      </c>
      <c r="L78" s="20">
        <f t="shared" si="3"/>
        <v>-0.004673355621</v>
      </c>
      <c r="M78" s="20">
        <f t="shared" si="4"/>
        <v>-0.3851544984</v>
      </c>
      <c r="N78" s="20">
        <f t="shared" si="5"/>
        <v>94.19555733</v>
      </c>
      <c r="Q78" s="20">
        <f t="shared" si="6"/>
        <v>-0.2876975349</v>
      </c>
      <c r="R78" s="20">
        <f t="shared" si="9"/>
        <v>90.09496033</v>
      </c>
      <c r="S78" s="20">
        <f t="shared" si="8"/>
        <v>-4.100596998</v>
      </c>
      <c r="U78" s="20">
        <f>IFERROR(__xludf.DUMMYFUNCTION("iferror(PERCENTRANK.INC(FILTER($Q$3:$Q$432, $P$3:$P$432&lt;3.75), $Q78), 1)"),0.241)</f>
        <v>0.241</v>
      </c>
      <c r="V78" s="20">
        <f>IFERROR(__xludf.DUMMYFUNCTION("iferror(PERCENTRANK.INC(FILTER($Q$3:$Q$432, $P$3:$P$432&lt;4.25), $Q78), 1)"),0.203)</f>
        <v>0.203</v>
      </c>
      <c r="W78" s="20">
        <f>IFERROR(__xludf.DUMMYFUNCTION("iferror(PERCENTRANK.INC(FILTER($Q$3:$Q$432, $P$3:$P$432&gt;=4.1), $Q78), 0)"),0.0)</f>
        <v>0</v>
      </c>
    </row>
    <row r="79" ht="14.25" customHeight="1">
      <c r="A79" s="16" t="s">
        <v>1536</v>
      </c>
      <c r="B79" s="16" t="s">
        <v>1347</v>
      </c>
      <c r="C79" s="16">
        <v>56.0</v>
      </c>
      <c r="D79" s="16" t="s">
        <v>1446</v>
      </c>
      <c r="E79" s="16" t="s">
        <v>1348</v>
      </c>
      <c r="F79" s="38">
        <v>0.986</v>
      </c>
      <c r="G79" s="53">
        <v>-0.34</v>
      </c>
      <c r="H79" s="53">
        <v>-0.47</v>
      </c>
      <c r="I79" s="53">
        <v>-0.31</v>
      </c>
      <c r="J79" s="20">
        <f t="shared" si="1"/>
        <v>-0.374</v>
      </c>
      <c r="K79" s="20">
        <f t="shared" si="2"/>
        <v>0.3518371727</v>
      </c>
      <c r="L79" s="20">
        <f t="shared" si="3"/>
        <v>-2.577244355</v>
      </c>
      <c r="M79" s="20">
        <f t="shared" si="4"/>
        <v>-1.405611744</v>
      </c>
      <c r="N79" s="20">
        <f t="shared" si="5"/>
        <v>92.29117163</v>
      </c>
      <c r="P79" s="16">
        <v>4.8</v>
      </c>
      <c r="Q79" s="20">
        <f t="shared" si="6"/>
        <v>1.990102281</v>
      </c>
      <c r="R79" s="20">
        <f t="shared" si="9"/>
        <v>95.48170457</v>
      </c>
      <c r="S79" s="20">
        <f t="shared" si="8"/>
        <v>3.190532937</v>
      </c>
      <c r="U79" s="20">
        <f>IFERROR(__xludf.DUMMYFUNCTION("iferror(PERCENTRANK.INC(FILTER($Q$3:$Q$432, $P$3:$P$432&lt;3.75), $Q79), 1)"),0.963)</f>
        <v>0.963</v>
      </c>
      <c r="V79" s="20">
        <f>IFERROR(__xludf.DUMMYFUNCTION("iferror(PERCENTRANK.INC(FILTER($Q$3:$Q$432, $P$3:$P$432&lt;4.25), $Q79), 1)"),0.859)</f>
        <v>0.859</v>
      </c>
      <c r="W79" s="20">
        <f>IFERROR(__xludf.DUMMYFUNCTION("iferror(PERCENTRANK.INC(FILTER($Q$3:$Q$432, $P$3:$P$432&gt;=4.1), $Q79), 0)"),0.192)</f>
        <v>0.192</v>
      </c>
    </row>
    <row r="80" ht="14.25" customHeight="1">
      <c r="A80" s="14" t="s">
        <v>1537</v>
      </c>
      <c r="B80" s="14" t="s">
        <v>1289</v>
      </c>
      <c r="C80" s="14">
        <v>62.0</v>
      </c>
      <c r="D80" s="14" t="s">
        <v>1446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0.09029449566</v>
      </c>
      <c r="L80" s="20">
        <f t="shared" si="3"/>
        <v>-1.61253023</v>
      </c>
      <c r="M80" s="20">
        <f t="shared" si="4"/>
        <v>-0.9314003398</v>
      </c>
      <c r="N80" s="20">
        <f t="shared" si="5"/>
        <v>93.17614885</v>
      </c>
      <c r="Q80" s="20">
        <f t="shared" si="6"/>
        <v>-0.2954176973</v>
      </c>
      <c r="R80" s="20">
        <f t="shared" si="9"/>
        <v>90.076703</v>
      </c>
      <c r="S80" s="20">
        <f t="shared" si="8"/>
        <v>-3.099445849</v>
      </c>
      <c r="U80" s="20">
        <f>IFERROR(__xludf.DUMMYFUNCTION("iferror(PERCENTRANK.INC(FILTER($Q$3:$Q$432, $P$3:$P$432&lt;3.75), $Q80), 1)"),0.204)</f>
        <v>0.204</v>
      </c>
      <c r="V80" s="20">
        <f>IFERROR(__xludf.DUMMYFUNCTION("iferror(PERCENTRANK.INC(FILTER($Q$3:$Q$432, $P$3:$P$432&lt;4.25), $Q80), 1)"),0.172)</f>
        <v>0.172</v>
      </c>
      <c r="W80" s="20">
        <f>IFERROR(__xludf.DUMMYFUNCTION("iferror(PERCENTRANK.INC(FILTER($Q$3:$Q$432, $P$3:$P$432&gt;=4.1), $Q80), 0)"),0.0)</f>
        <v>0</v>
      </c>
    </row>
    <row r="81" ht="14.25" customHeight="1">
      <c r="A81" s="16" t="s">
        <v>1538</v>
      </c>
      <c r="B81" s="16" t="s">
        <v>1266</v>
      </c>
      <c r="C81" s="16">
        <v>72.0</v>
      </c>
      <c r="D81" s="16" t="s">
        <v>1446</v>
      </c>
      <c r="E81" s="16" t="s">
        <v>180</v>
      </c>
      <c r="F81" s="54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-1.478961567</v>
      </c>
      <c r="L81" s="20">
        <f t="shared" si="3"/>
        <v>0.1466543502</v>
      </c>
      <c r="M81" s="20">
        <f t="shared" si="4"/>
        <v>-0.5035920166</v>
      </c>
      <c r="N81" s="20">
        <f t="shared" si="5"/>
        <v>93.97452826</v>
      </c>
      <c r="P81" s="16">
        <v>3.3</v>
      </c>
      <c r="Q81" s="20">
        <f t="shared" si="6"/>
        <v>1.2356424</v>
      </c>
      <c r="R81" s="20">
        <f t="shared" si="9"/>
        <v>93.69749053</v>
      </c>
      <c r="S81" s="20">
        <f t="shared" si="8"/>
        <v>-0.2770377317</v>
      </c>
      <c r="U81" s="20">
        <f>IFERROR(__xludf.DUMMYFUNCTION("iferror(PERCENTRANK.INC(FILTER($Q$3:$Q$432, $P$3:$P$432&lt;3.75), $Q81), 1)"),0.852)</f>
        <v>0.852</v>
      </c>
      <c r="V81" s="20">
        <f>IFERROR(__xludf.DUMMYFUNCTION("iferror(PERCENTRANK.INC(FILTER($Q$3:$Q$432, $P$3:$P$432&lt;4.25), $Q81), 1)"),0.734)</f>
        <v>0.734</v>
      </c>
      <c r="W81" s="20">
        <f>IFERROR(__xludf.DUMMYFUNCTION("iferror(PERCENTRANK.INC(FILTER($Q$3:$Q$432, $P$3:$P$432&gt;=4.1), $Q81), 0)"),0.002)</f>
        <v>0.002</v>
      </c>
    </row>
    <row r="82" ht="14.25" customHeight="1">
      <c r="A82" s="16" t="s">
        <v>1539</v>
      </c>
      <c r="B82" s="16" t="s">
        <v>1540</v>
      </c>
      <c r="C82" s="16">
        <v>70.0</v>
      </c>
      <c r="D82" s="16" t="s">
        <v>1446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96.58525628</v>
      </c>
      <c r="S82" s="20">
        <f t="shared" si="8"/>
        <v>54.59489681</v>
      </c>
      <c r="T82" s="20"/>
      <c r="U82" s="20">
        <f>IFERROR(__xludf.DUMMYFUNCTION("iferror(PERCENTRANK.INC(FILTER($Q$3:$Q$432, $P$3:$P$432&lt;3.75), $Q82), 1)"),1.0)</f>
        <v>1</v>
      </c>
      <c r="V82" s="20">
        <f>IFERROR(__xludf.DUMMYFUNCTION("iferror(PERCENTRANK.INC(FILTER($Q$3:$Q$432, $P$3:$P$432&lt;4.25), $Q82), 1)"),0.972)</f>
        <v>0.972</v>
      </c>
      <c r="W82" s="20">
        <f>IFERROR(__xludf.DUMMYFUNCTION("iferror(PERCENTRANK.INC(FILTER($Q$3:$Q$432, $P$3:$P$432&gt;=4.1), $Q82), 0)"),0.5)</f>
        <v>0.5</v>
      </c>
    </row>
    <row r="83" ht="14.25" customHeight="1">
      <c r="A83" s="14" t="s">
        <v>1541</v>
      </c>
      <c r="B83" s="14" t="s">
        <v>1417</v>
      </c>
      <c r="C83" s="14">
        <v>69.0</v>
      </c>
      <c r="D83" s="14" t="s">
        <v>1446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 t="shared" ref="K83:K87" si="10">(F83 - AVERAGE($F$3:$F$87))/_xlfn.STDEV.P($F$3:$F$87)</f>
        <v>0.3518371727</v>
      </c>
      <c r="L83" s="20">
        <f t="shared" ref="L83:L87" si="11">(J83 - AVERAGE($J$3:$J$87))/_xlfn.STDEV.P($J$3:$J$87)</f>
        <v>-1.934101605</v>
      </c>
      <c r="M83" s="20">
        <f t="shared" ref="M83:M87" si="12">K83*0.4+L83*0.6</f>
        <v>-1.019726094</v>
      </c>
      <c r="N83" s="20">
        <f t="shared" ref="N83:N84" si="13">100*(M83-MIN($M$3:$M$87))/(MAX($M$3:$M$87) - MIN($M$3:$M$87))</f>
        <v>93.0113146</v>
      </c>
      <c r="P83" s="16">
        <v>4.14</v>
      </c>
      <c r="Q83" s="20">
        <f t="shared" si="6"/>
        <v>1.788730831</v>
      </c>
      <c r="R83" s="20">
        <f t="shared" si="9"/>
        <v>95.0054834</v>
      </c>
      <c r="S83" s="20">
        <f t="shared" si="8"/>
        <v>1.994168794</v>
      </c>
      <c r="U83" s="20">
        <f>IFERROR(__xludf.DUMMYFUNCTION("iferror(PERCENTRANK.INC(FILTER($Q$3:$Q$432, $P$3:$P$432&lt;3.75), $Q83), 1)"),0.889)</f>
        <v>0.889</v>
      </c>
      <c r="V83" s="20">
        <f>IFERROR(__xludf.DUMMYFUNCTION("iferror(PERCENTRANK.INC(FILTER($Q$3:$Q$432, $P$3:$P$432&lt;4.25), $Q83), 1)"),0.766)</f>
        <v>0.766</v>
      </c>
      <c r="W83" s="20">
        <f>IFERROR(__xludf.DUMMYFUNCTION("iferror(PERCENTRANK.INC(FILTER($Q$3:$Q$432, $P$3:$P$432&gt;=4.1), $Q83), 0)"),0.115)</f>
        <v>0.115</v>
      </c>
    </row>
    <row r="84" ht="14.25" customHeight="1">
      <c r="A84" s="16" t="s">
        <v>1542</v>
      </c>
      <c r="B84" s="16" t="s">
        <v>1543</v>
      </c>
      <c r="C84" s="16">
        <v>69.0</v>
      </c>
      <c r="D84" s="16" t="s">
        <v>1446</v>
      </c>
      <c r="E84" s="16" t="s">
        <v>183</v>
      </c>
      <c r="F84" s="20"/>
      <c r="J84" s="20">
        <f t="shared" si="1"/>
        <v>0</v>
      </c>
      <c r="K84" s="20">
        <f t="shared" si="10"/>
        <v>-128.5887026</v>
      </c>
      <c r="L84" s="20">
        <f t="shared" si="11"/>
        <v>0.9600407691</v>
      </c>
      <c r="M84" s="20">
        <f t="shared" si="12"/>
        <v>-50.85945659</v>
      </c>
      <c r="N84" s="20">
        <f t="shared" si="13"/>
        <v>0</v>
      </c>
      <c r="P84" s="16"/>
      <c r="Q84" s="20">
        <f t="shared" si="6"/>
        <v>-38.38460264</v>
      </c>
      <c r="R84" s="20">
        <f t="shared" si="9"/>
        <v>0</v>
      </c>
      <c r="S84" s="20">
        <f t="shared" si="8"/>
        <v>0</v>
      </c>
      <c r="U84" s="20">
        <f>IFERROR(__xludf.DUMMYFUNCTION("iferror(PERCENTRANK.INC(FILTER($Q$3:$Q$432, $P$3:$P$432&lt;3.75), $Q84), 1)"),0.0)</f>
        <v>0</v>
      </c>
      <c r="V84" s="20">
        <f>IFERROR(__xludf.DUMMYFUNCTION("iferror(PERCENTRANK.INC(FILTER($Q$3:$Q$432, $P$3:$P$432&lt;4.25), $Q84), 1)"),0.0)</f>
        <v>0</v>
      </c>
      <c r="W84" s="20">
        <f>IFERROR(__xludf.DUMMYFUNCTION("iferror(PERCENTRANK.INC(FILTER($Q$3:$Q$432, $P$3:$P$432&gt;=4.1), $Q84), 0)"),0.0)</f>
        <v>0</v>
      </c>
    </row>
    <row r="85" ht="14.25" customHeight="1">
      <c r="A85" s="16" t="s">
        <v>1544</v>
      </c>
      <c r="B85" s="16" t="s">
        <v>1545</v>
      </c>
      <c r="C85" s="16">
        <v>72.0</v>
      </c>
      <c r="D85" s="16" t="s">
        <v>1446</v>
      </c>
      <c r="E85" s="16" t="s">
        <v>244</v>
      </c>
      <c r="F85" s="38">
        <v>0.969</v>
      </c>
      <c r="G85" s="16">
        <v>-0.06</v>
      </c>
      <c r="H85" s="16">
        <v>-0.27</v>
      </c>
      <c r="I85" s="16">
        <v>0.07</v>
      </c>
      <c r="J85" s="52">
        <f t="shared" si="1"/>
        <v>-0.066</v>
      </c>
      <c r="K85" s="52">
        <f t="shared" si="10"/>
        <v>-1.871275582</v>
      </c>
      <c r="L85" s="52">
        <f t="shared" si="11"/>
        <v>0.3358139825</v>
      </c>
      <c r="M85" s="52">
        <f t="shared" si="12"/>
        <v>-0.5470218435</v>
      </c>
      <c r="N85" s="52">
        <f t="shared" ref="N85:N86" si="14">100*(M85-MIN($M$3:$M$87))/(MAX($M$3:$M$87) - MIN($M$3:$M$87))</f>
        <v>93.89347916</v>
      </c>
      <c r="O85" s="48"/>
      <c r="P85" s="55">
        <v>4.35</v>
      </c>
      <c r="Q85" s="52">
        <f t="shared" si="6"/>
        <v>1.680780122</v>
      </c>
      <c r="R85" s="52">
        <f t="shared" ref="R85:R86" si="15">100*(Q85-MIN($Q$3:$Q$480))/(MAX($Q$3:$Q$480) - MIN($Q$3:$Q$480))</f>
        <v>94.75019193</v>
      </c>
      <c r="S85" s="52">
        <f t="shared" si="8"/>
        <v>0.8567127694</v>
      </c>
      <c r="T85" s="48"/>
      <c r="U85" s="52">
        <f>IFERROR(__xludf.DUMMYFUNCTION("iferror(PERCENTRANK.INC(FILTER($Q$3:$Q$432, $P$3:$P$432&lt;3.75), $Q85), 1)"),0.878)</f>
        <v>0.878</v>
      </c>
      <c r="V85" s="52">
        <f>IFERROR(__xludf.DUMMYFUNCTION("iferror(PERCENTRANK.INC(FILTER($Q$3:$Q$432, $P$3:$P$432&lt;4.25), $Q85), 1)"),0.756)</f>
        <v>0.756</v>
      </c>
      <c r="W85" s="52">
        <f>IFERROR(__xludf.DUMMYFUNCTION("iferror(PERCENTRANK.INC(FILTER($Q$3:$Q$432, $P$3:$P$432&gt;=4.1), $Q85), 0)"),0.038)</f>
        <v>0.038</v>
      </c>
    </row>
    <row r="86" ht="14.25" customHeight="1">
      <c r="A86" s="16" t="s">
        <v>1546</v>
      </c>
      <c r="B86" s="16" t="s">
        <v>1547</v>
      </c>
      <c r="C86" s="16">
        <v>58.0</v>
      </c>
      <c r="D86" s="16" t="s">
        <v>1446</v>
      </c>
      <c r="E86" s="16" t="s">
        <v>1245</v>
      </c>
      <c r="F86" s="38">
        <v>0.979</v>
      </c>
      <c r="G86" s="16">
        <v>-0.05</v>
      </c>
      <c r="H86" s="16">
        <v>-0.08</v>
      </c>
      <c r="I86" s="16">
        <v>-0.03</v>
      </c>
      <c r="J86" s="52">
        <f t="shared" si="1"/>
        <v>-0.05</v>
      </c>
      <c r="K86" s="52">
        <f t="shared" si="10"/>
        <v>-0.5635621971</v>
      </c>
      <c r="L86" s="52">
        <f t="shared" si="11"/>
        <v>0.4871416884</v>
      </c>
      <c r="M86" s="52">
        <f t="shared" si="12"/>
        <v>0.06686013419</v>
      </c>
      <c r="N86" s="52">
        <f t="shared" si="14"/>
        <v>95.03911075</v>
      </c>
      <c r="O86" s="48"/>
      <c r="P86" s="55">
        <v>4.27</v>
      </c>
      <c r="Q86" s="52">
        <f t="shared" si="6"/>
        <v>2.063359679</v>
      </c>
      <c r="R86" s="52">
        <f t="shared" si="15"/>
        <v>95.6549502</v>
      </c>
      <c r="S86" s="52">
        <f t="shared" si="8"/>
        <v>0.6158394493</v>
      </c>
      <c r="T86" s="48"/>
      <c r="U86" s="52">
        <f>IFERROR(__xludf.DUMMYFUNCTION("iferror(PERCENTRANK.INC(FILTER($Q$3:$Q$432, $P$3:$P$432&lt;3.75), $Q86), 1)"),0.985)</f>
        <v>0.985</v>
      </c>
      <c r="V86" s="52">
        <f>IFERROR(__xludf.DUMMYFUNCTION("iferror(PERCENTRANK.INC(FILTER($Q$3:$Q$432, $P$3:$P$432&lt;4.25), $Q86), 1)"),0.882)</f>
        <v>0.882</v>
      </c>
      <c r="W86" s="52">
        <f>IFERROR(__xludf.DUMMYFUNCTION("iferror(PERCENTRANK.INC(FILTER($Q$3:$Q$432, $P$3:$P$432&gt;=4.1), $Q86), 0)"),0.269)</f>
        <v>0.269</v>
      </c>
    </row>
    <row r="87" ht="14.25" customHeight="1">
      <c r="A87" s="14" t="s">
        <v>1548</v>
      </c>
      <c r="B87" s="14" t="s">
        <v>1549</v>
      </c>
      <c r="C87" s="14">
        <v>72.0</v>
      </c>
      <c r="D87" s="14" t="s">
        <v>1446</v>
      </c>
      <c r="E87" s="14" t="s">
        <v>180</v>
      </c>
      <c r="F87" s="20">
        <v>0.989</v>
      </c>
      <c r="G87" s="14">
        <v>0.07</v>
      </c>
      <c r="H87" s="14">
        <v>-0.08</v>
      </c>
      <c r="I87" s="14">
        <v>0.09</v>
      </c>
      <c r="J87" s="20">
        <f t="shared" si="1"/>
        <v>0.022</v>
      </c>
      <c r="K87" s="20">
        <f t="shared" si="10"/>
        <v>0.7441511884</v>
      </c>
      <c r="L87" s="20">
        <f t="shared" si="11"/>
        <v>1.168116365</v>
      </c>
      <c r="M87" s="20">
        <f t="shared" si="12"/>
        <v>0.9985302941</v>
      </c>
      <c r="N87" s="20">
        <f>100*(M87-MIN($M$3:$M$87))/(MAX($M$3:$M$87) - MIN($M$3:$M$87))</f>
        <v>96.77780126</v>
      </c>
      <c r="P87" s="14">
        <v>4.7</v>
      </c>
      <c r="Q87" s="20">
        <f t="shared" si="6"/>
        <v>2.806868629</v>
      </c>
      <c r="R87" s="20">
        <f>100*(Q87-MIN($Q$3:$Q$480))/(MAX($Q$3:$Q$480) - MIN($Q$3:$Q$480))</f>
        <v>97.41326651</v>
      </c>
      <c r="S87" s="20">
        <f t="shared" si="8"/>
        <v>0.6354652467</v>
      </c>
      <c r="U87" s="20">
        <f>IFERROR(__xludf.DUMMYFUNCTION("iferror(PERCENTRANK.INC(FILTER($Q$3:$Q$432, $P$3:$P$432&lt;3.75), $Q87), 1)"),1.0)</f>
        <v>1</v>
      </c>
      <c r="V87" s="20">
        <f>IFERROR(__xludf.DUMMYFUNCTION("iferror(PERCENTRANK.INC(FILTER($Q$3:$Q$432, $P$3:$P$432&lt;4.25), $Q87), 1)"),1.0)</f>
        <v>1</v>
      </c>
      <c r="W87" s="20">
        <f>IFERROR(__xludf.DUMMYFUNCTION("iferror(PERCENTRANK.INC(FILTER($Q$3:$Q$432, $P$3:$P$432&gt;=4.1), $Q87), 0)"),0.731)</f>
        <v>0.731</v>
      </c>
    </row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</sheetData>
  <autoFilter ref="$A$2:$W$87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1550</v>
      </c>
      <c r="G1" s="14" t="s">
        <v>1551</v>
      </c>
      <c r="H1" s="14" t="s">
        <v>1552</v>
      </c>
      <c r="I1" s="14" t="s">
        <v>79</v>
      </c>
      <c r="J1" s="14" t="s">
        <v>83</v>
      </c>
      <c r="K1" s="14" t="s">
        <v>1553</v>
      </c>
      <c r="L1" s="14" t="s">
        <v>1554</v>
      </c>
      <c r="M1" s="14" t="s">
        <v>1555</v>
      </c>
      <c r="N1" s="14" t="s">
        <v>1556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1557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1088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1558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1559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1560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6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1561</v>
      </c>
      <c r="B6" s="16" t="s">
        <v>1562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1563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1564</v>
      </c>
      <c r="B8" s="17" t="s">
        <v>1565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1566</v>
      </c>
      <c r="B9" s="14" t="s">
        <v>578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6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1567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1568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1569</v>
      </c>
      <c r="B12" s="16" t="s">
        <v>1337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1570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1571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1572</v>
      </c>
      <c r="B15" s="17" t="s">
        <v>1565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1573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1574</v>
      </c>
      <c r="B17" s="16" t="s">
        <v>1575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1576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1577</v>
      </c>
      <c r="B19" s="14" t="s">
        <v>332</v>
      </c>
      <c r="C19" s="14">
        <v>21.0</v>
      </c>
      <c r="D19" s="14" t="s">
        <v>38</v>
      </c>
      <c r="E19" s="14" t="s">
        <v>183</v>
      </c>
      <c r="I19" s="56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1578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1579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6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1580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1581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1582</v>
      </c>
      <c r="B24" s="17" t="s">
        <v>602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1583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1584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6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1585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6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1586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1587</v>
      </c>
      <c r="B29" s="17" t="s">
        <v>687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1588</v>
      </c>
      <c r="B30" s="17" t="s">
        <v>687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1589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6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1590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6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1591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6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1592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6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1593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6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1594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6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1595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6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1596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6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1597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6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1598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6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1599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6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1600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6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1601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6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1602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6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1603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6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1604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6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1605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6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1606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6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1607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6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1608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6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1609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6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1610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6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1611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6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1612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6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0"/>
    </row>
    <row r="56" ht="14.25" customHeight="1">
      <c r="A56" s="14" t="s">
        <v>1613</v>
      </c>
      <c r="B56" s="14" t="s">
        <v>933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6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1614</v>
      </c>
      <c r="B57" s="14" t="s">
        <v>933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6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1615</v>
      </c>
      <c r="B58" s="14" t="s">
        <v>933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6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1616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6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1617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6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1618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0"/>
    </row>
    <row r="63" ht="14.25" customHeight="1">
      <c r="A63" s="14" t="s">
        <v>1619</v>
      </c>
      <c r="B63" s="14" t="s">
        <v>858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6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1620</v>
      </c>
      <c r="B64" s="14" t="s">
        <v>858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6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1621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6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1622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6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1623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6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1624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6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1625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6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1626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6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1627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6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1628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6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1629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6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1630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6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1631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6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1632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6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1633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6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1634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6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1635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6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1636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6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1637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6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1638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6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1639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6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1640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6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1641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6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1642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6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1643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6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1644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6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1645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6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1646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6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1647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6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1648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6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1649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6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1650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6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1651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6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1652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6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1653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6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1654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6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1655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6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1656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6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1657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6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1658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6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1659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6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1660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6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1661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7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1662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1663</v>
      </c>
      <c r="B108" s="17" t="s">
        <v>416</v>
      </c>
      <c r="C108" s="18">
        <v>24.0</v>
      </c>
      <c r="D108" s="17" t="s">
        <v>38</v>
      </c>
      <c r="E108" s="17" t="s">
        <v>139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1550</v>
      </c>
      <c r="G1" s="14" t="s">
        <v>1551</v>
      </c>
      <c r="H1" s="14" t="s">
        <v>1552</v>
      </c>
      <c r="I1" s="14" t="s">
        <v>79</v>
      </c>
      <c r="J1" s="14" t="s">
        <v>83</v>
      </c>
      <c r="K1" s="14" t="s">
        <v>1553</v>
      </c>
      <c r="L1" s="14" t="s">
        <v>1554</v>
      </c>
      <c r="M1" s="14" t="s">
        <v>1555</v>
      </c>
      <c r="N1" s="14" t="s">
        <v>1556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1664</v>
      </c>
      <c r="B2" s="17" t="s">
        <v>542</v>
      </c>
      <c r="C2" s="18">
        <v>7.0</v>
      </c>
      <c r="D2" s="17" t="s">
        <v>1665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1666</v>
      </c>
      <c r="B3" s="17" t="s">
        <v>170</v>
      </c>
      <c r="C3" s="18">
        <v>17.0</v>
      </c>
      <c r="D3" s="17" t="s">
        <v>1665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1667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1668</v>
      </c>
      <c r="B5" s="17" t="s">
        <v>432</v>
      </c>
      <c r="C5" s="18">
        <v>23.0</v>
      </c>
      <c r="D5" s="17" t="s">
        <v>1665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1669</v>
      </c>
      <c r="B6" s="17" t="s">
        <v>422</v>
      </c>
      <c r="C6" s="18">
        <v>4.0</v>
      </c>
      <c r="D6" s="17" t="s">
        <v>1665</v>
      </c>
      <c r="E6" s="17" t="s">
        <v>190</v>
      </c>
      <c r="F6" s="18">
        <v>9.0</v>
      </c>
      <c r="G6" s="18">
        <v>26.0</v>
      </c>
      <c r="H6" s="18">
        <v>15.0</v>
      </c>
      <c r="I6" s="5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1670</v>
      </c>
      <c r="B7" s="17" t="s">
        <v>524</v>
      </c>
      <c r="C7" s="18">
        <v>1.0</v>
      </c>
      <c r="D7" s="17" t="s">
        <v>1665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1671</v>
      </c>
      <c r="B8" s="17" t="s">
        <v>656</v>
      </c>
      <c r="C8" s="18">
        <v>2.0</v>
      </c>
      <c r="D8" s="23" t="s">
        <v>1665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1672</v>
      </c>
      <c r="B9" s="17" t="s">
        <v>98</v>
      </c>
      <c r="C9" s="18">
        <v>5.0</v>
      </c>
      <c r="D9" s="17" t="s">
        <v>1665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1673</v>
      </c>
      <c r="B10" s="17" t="s">
        <v>1303</v>
      </c>
      <c r="C10" s="18">
        <v>3.0</v>
      </c>
      <c r="D10" s="17" t="s">
        <v>1665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1674</v>
      </c>
      <c r="B11" s="17" t="s">
        <v>302</v>
      </c>
      <c r="C11" s="18">
        <v>16.0</v>
      </c>
      <c r="D11" s="17" t="s">
        <v>1665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1675</v>
      </c>
      <c r="B12" s="17" t="s">
        <v>727</v>
      </c>
      <c r="C12" s="18">
        <v>14.0</v>
      </c>
      <c r="D12" s="17" t="s">
        <v>1665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1676</v>
      </c>
      <c r="B13" s="17" t="s">
        <v>322</v>
      </c>
      <c r="C13" s="18">
        <v>6.0</v>
      </c>
      <c r="D13" s="17" t="s">
        <v>1665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1677</v>
      </c>
      <c r="B14" s="14" t="s">
        <v>332</v>
      </c>
      <c r="C14" s="14">
        <v>16.0</v>
      </c>
      <c r="D14" s="14" t="s">
        <v>1665</v>
      </c>
      <c r="E14" s="14" t="s">
        <v>183</v>
      </c>
      <c r="F14" s="14">
        <v>2.0</v>
      </c>
      <c r="G14" s="14">
        <v>11.0</v>
      </c>
      <c r="H14" s="14">
        <v>10.0</v>
      </c>
      <c r="I14" s="5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1678</v>
      </c>
      <c r="B15" s="14" t="s">
        <v>332</v>
      </c>
      <c r="C15" s="14">
        <v>3.0</v>
      </c>
      <c r="D15" s="14" t="s">
        <v>1665</v>
      </c>
      <c r="E15" s="14" t="s">
        <v>183</v>
      </c>
      <c r="F15" s="14">
        <v>2.0</v>
      </c>
      <c r="G15" s="14">
        <v>15.0</v>
      </c>
      <c r="H15" s="14">
        <v>9.0</v>
      </c>
      <c r="I15" s="5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1679</v>
      </c>
      <c r="B16" s="14" t="s">
        <v>352</v>
      </c>
      <c r="C16" s="14">
        <v>0.0</v>
      </c>
      <c r="D16" s="14" t="s">
        <v>1665</v>
      </c>
      <c r="E16" s="14" t="s">
        <v>136</v>
      </c>
      <c r="F16" s="14">
        <v>10.0</v>
      </c>
      <c r="G16" s="14">
        <v>23.0</v>
      </c>
      <c r="H16" s="14">
        <v>19.0</v>
      </c>
      <c r="I16" s="5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1680</v>
      </c>
      <c r="B17" s="14" t="s">
        <v>352</v>
      </c>
      <c r="C17" s="14">
        <v>20.0</v>
      </c>
      <c r="D17" s="14" t="s">
        <v>1665</v>
      </c>
      <c r="E17" s="14" t="s">
        <v>136</v>
      </c>
      <c r="F17" s="14">
        <v>0.0</v>
      </c>
      <c r="G17" s="14">
        <v>4.0</v>
      </c>
      <c r="H17" s="14">
        <v>2.0</v>
      </c>
      <c r="I17" s="5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1681</v>
      </c>
      <c r="B18" s="14" t="s">
        <v>352</v>
      </c>
      <c r="C18" s="14">
        <v>27.0</v>
      </c>
      <c r="D18" s="14" t="s">
        <v>1665</v>
      </c>
      <c r="E18" s="14" t="s">
        <v>136</v>
      </c>
      <c r="F18" s="14">
        <v>1.0</v>
      </c>
      <c r="G18" s="14">
        <v>8.0</v>
      </c>
      <c r="H18" s="14">
        <v>6.0</v>
      </c>
      <c r="I18" s="5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1682</v>
      </c>
      <c r="B19" s="14" t="s">
        <v>411</v>
      </c>
      <c r="C19" s="14">
        <v>6.0</v>
      </c>
      <c r="D19" s="14" t="s">
        <v>1665</v>
      </c>
      <c r="E19" s="14" t="s">
        <v>148</v>
      </c>
      <c r="F19" s="14">
        <v>4.0</v>
      </c>
      <c r="G19" s="14">
        <v>19.0</v>
      </c>
      <c r="H19" s="14">
        <v>9.0</v>
      </c>
      <c r="I19" s="5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1683</v>
      </c>
      <c r="B20" s="14" t="s">
        <v>132</v>
      </c>
      <c r="C20" s="14">
        <v>12.0</v>
      </c>
      <c r="D20" s="14" t="s">
        <v>1665</v>
      </c>
      <c r="E20" s="14" t="s">
        <v>133</v>
      </c>
      <c r="F20" s="14">
        <v>1.0</v>
      </c>
      <c r="G20" s="14">
        <v>14.0</v>
      </c>
      <c r="H20" s="14">
        <v>9.0</v>
      </c>
      <c r="I20" s="5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1684</v>
      </c>
      <c r="B21" s="14" t="s">
        <v>132</v>
      </c>
      <c r="C21" s="14">
        <v>18.0</v>
      </c>
      <c r="D21" s="14" t="s">
        <v>1665</v>
      </c>
      <c r="E21" s="14" t="s">
        <v>133</v>
      </c>
      <c r="F21" s="14">
        <v>18.0</v>
      </c>
      <c r="G21" s="14">
        <v>19.0</v>
      </c>
      <c r="H21" s="14">
        <v>13.0</v>
      </c>
      <c r="I21" s="5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1685</v>
      </c>
      <c r="B22" s="14" t="s">
        <v>510</v>
      </c>
      <c r="C22" s="14">
        <v>7.0</v>
      </c>
      <c r="D22" s="14" t="s">
        <v>1665</v>
      </c>
      <c r="E22" s="14" t="s">
        <v>100</v>
      </c>
      <c r="F22" s="14">
        <v>5.0</v>
      </c>
      <c r="G22" s="14">
        <v>27.0</v>
      </c>
      <c r="H22" s="14">
        <v>19.0</v>
      </c>
      <c r="I22" s="5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1686</v>
      </c>
      <c r="B23" s="14" t="s">
        <v>510</v>
      </c>
      <c r="C23" s="14">
        <v>23.0</v>
      </c>
      <c r="D23" s="14" t="s">
        <v>1665</v>
      </c>
      <c r="E23" s="14" t="s">
        <v>100</v>
      </c>
      <c r="F23" s="14">
        <v>4.0</v>
      </c>
      <c r="G23" s="14">
        <v>10.0</v>
      </c>
      <c r="H23" s="14">
        <v>5.0</v>
      </c>
      <c r="I23" s="5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1687</v>
      </c>
      <c r="B24" s="14" t="s">
        <v>510</v>
      </c>
      <c r="C24" s="14">
        <v>13.0</v>
      </c>
      <c r="D24" s="14" t="s">
        <v>1665</v>
      </c>
      <c r="E24" s="14" t="s">
        <v>100</v>
      </c>
      <c r="F24" s="14">
        <v>0.0</v>
      </c>
      <c r="G24" s="14">
        <v>2.0</v>
      </c>
      <c r="H24" s="14">
        <v>1.0</v>
      </c>
      <c r="I24" s="5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1688</v>
      </c>
      <c r="B25" s="14" t="s">
        <v>166</v>
      </c>
      <c r="C25" s="14">
        <v>35.0</v>
      </c>
      <c r="D25" s="14" t="s">
        <v>1665</v>
      </c>
      <c r="E25" s="14" t="s">
        <v>136</v>
      </c>
      <c r="F25" s="14">
        <v>3.0</v>
      </c>
      <c r="G25" s="14">
        <v>7.0</v>
      </c>
      <c r="H25" s="14">
        <v>6.0</v>
      </c>
      <c r="I25" s="5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1689</v>
      </c>
      <c r="B26" s="14" t="s">
        <v>166</v>
      </c>
      <c r="C26" s="14">
        <v>8.0</v>
      </c>
      <c r="D26" s="14" t="s">
        <v>1665</v>
      </c>
      <c r="E26" s="14" t="s">
        <v>136</v>
      </c>
      <c r="F26" s="14">
        <v>3.0</v>
      </c>
      <c r="G26" s="14">
        <v>35.0</v>
      </c>
      <c r="H26" s="14">
        <v>22.0</v>
      </c>
      <c r="I26" s="5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1690</v>
      </c>
      <c r="B27" s="14" t="s">
        <v>166</v>
      </c>
      <c r="C27" s="14">
        <v>26.0</v>
      </c>
      <c r="D27" s="14" t="s">
        <v>1665</v>
      </c>
      <c r="E27" s="14" t="s">
        <v>136</v>
      </c>
      <c r="F27" s="14">
        <v>2.0</v>
      </c>
      <c r="G27" s="14">
        <v>5.0</v>
      </c>
      <c r="H27" s="14">
        <v>5.0</v>
      </c>
      <c r="I27" s="5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1691</v>
      </c>
      <c r="B28" s="14" t="s">
        <v>334</v>
      </c>
      <c r="C28" s="14">
        <v>4.0</v>
      </c>
      <c r="D28" s="14" t="s">
        <v>1665</v>
      </c>
      <c r="E28" s="14" t="s">
        <v>148</v>
      </c>
      <c r="F28" s="14">
        <v>0.0</v>
      </c>
      <c r="G28" s="14">
        <v>10.0</v>
      </c>
      <c r="H28" s="14">
        <v>8.0</v>
      </c>
      <c r="I28" s="5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1692</v>
      </c>
      <c r="B29" s="14" t="s">
        <v>933</v>
      </c>
      <c r="C29" s="14">
        <v>7.0</v>
      </c>
      <c r="D29" s="14" t="s">
        <v>1665</v>
      </c>
      <c r="E29" s="14" t="s">
        <v>109</v>
      </c>
      <c r="F29" s="14">
        <v>7.0</v>
      </c>
      <c r="G29" s="14">
        <v>20.0</v>
      </c>
      <c r="H29" s="14">
        <v>15.0</v>
      </c>
      <c r="I29" s="5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1693</v>
      </c>
      <c r="B30" s="14" t="s">
        <v>933</v>
      </c>
      <c r="C30" s="14">
        <v>0.0</v>
      </c>
      <c r="D30" s="14" t="s">
        <v>1665</v>
      </c>
      <c r="E30" s="14" t="s">
        <v>109</v>
      </c>
      <c r="F30" s="14">
        <v>0.0</v>
      </c>
      <c r="G30" s="14">
        <v>4.0</v>
      </c>
      <c r="H30" s="14">
        <v>2.0</v>
      </c>
      <c r="I30" s="5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1694</v>
      </c>
      <c r="B31" s="14" t="s">
        <v>933</v>
      </c>
      <c r="C31" s="14">
        <v>2.0</v>
      </c>
      <c r="D31" s="14" t="s">
        <v>1665</v>
      </c>
      <c r="E31" s="14" t="s">
        <v>109</v>
      </c>
      <c r="F31" s="14">
        <v>2.0</v>
      </c>
      <c r="G31" s="14">
        <v>6.0</v>
      </c>
      <c r="H31" s="14">
        <v>5.0</v>
      </c>
      <c r="I31" s="5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1695</v>
      </c>
      <c r="B32" s="14" t="s">
        <v>288</v>
      </c>
      <c r="C32" s="14">
        <v>13.0</v>
      </c>
      <c r="D32" s="14" t="s">
        <v>1665</v>
      </c>
      <c r="E32" s="14" t="s">
        <v>118</v>
      </c>
      <c r="F32" s="14">
        <v>1.0</v>
      </c>
      <c r="G32" s="14">
        <v>16.0</v>
      </c>
      <c r="H32" s="14">
        <v>7.0</v>
      </c>
      <c r="I32" s="5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1696</v>
      </c>
      <c r="B33" s="14" t="s">
        <v>578</v>
      </c>
      <c r="C33" s="14">
        <v>7.0</v>
      </c>
      <c r="D33" s="14" t="s">
        <v>1665</v>
      </c>
      <c r="E33" s="14" t="s">
        <v>145</v>
      </c>
      <c r="F33" s="14">
        <v>2.0</v>
      </c>
      <c r="G33" s="14">
        <v>9.0</v>
      </c>
      <c r="H33" s="14">
        <v>5.0</v>
      </c>
      <c r="I33" s="5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1697</v>
      </c>
      <c r="B34" s="14" t="s">
        <v>858</v>
      </c>
      <c r="C34" s="14">
        <v>0.0</v>
      </c>
      <c r="D34" s="14" t="s">
        <v>1665</v>
      </c>
      <c r="E34" s="14" t="s">
        <v>183</v>
      </c>
      <c r="F34" s="14">
        <v>6.0</v>
      </c>
      <c r="G34" s="14">
        <v>30.0</v>
      </c>
      <c r="H34" s="14">
        <v>21.0</v>
      </c>
      <c r="I34" s="5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1698</v>
      </c>
      <c r="B35" s="14" t="s">
        <v>858</v>
      </c>
      <c r="C35" s="14">
        <v>10.0</v>
      </c>
      <c r="D35" s="14" t="s">
        <v>1665</v>
      </c>
      <c r="E35" s="14" t="s">
        <v>183</v>
      </c>
      <c r="F35" s="14">
        <v>2.0</v>
      </c>
      <c r="G35" s="14">
        <v>8.0</v>
      </c>
      <c r="H35" s="14">
        <v>5.0</v>
      </c>
      <c r="I35" s="5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1699</v>
      </c>
      <c r="B36" s="14" t="s">
        <v>312</v>
      </c>
      <c r="C36" s="14">
        <v>13.0</v>
      </c>
      <c r="D36" s="14" t="s">
        <v>1665</v>
      </c>
      <c r="E36" s="14" t="s">
        <v>109</v>
      </c>
      <c r="F36" s="14">
        <v>4.0</v>
      </c>
      <c r="G36" s="14">
        <v>14.0</v>
      </c>
      <c r="H36" s="14">
        <v>10.0</v>
      </c>
      <c r="I36" s="5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1700</v>
      </c>
      <c r="B37" s="14" t="s">
        <v>312</v>
      </c>
      <c r="C37" s="14">
        <v>33.0</v>
      </c>
      <c r="D37" s="14" t="s">
        <v>1665</v>
      </c>
      <c r="E37" s="14" t="s">
        <v>109</v>
      </c>
      <c r="F37" s="14">
        <v>5.0</v>
      </c>
      <c r="G37" s="14">
        <v>26.0</v>
      </c>
      <c r="H37" s="14">
        <v>18.0</v>
      </c>
      <c r="I37" s="5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1701</v>
      </c>
      <c r="B38" s="14" t="s">
        <v>312</v>
      </c>
      <c r="C38" s="14">
        <v>7.0</v>
      </c>
      <c r="D38" s="14" t="s">
        <v>1665</v>
      </c>
      <c r="E38" s="14" t="s">
        <v>109</v>
      </c>
      <c r="F38" s="14">
        <v>3.0</v>
      </c>
      <c r="G38" s="14">
        <v>5.0</v>
      </c>
      <c r="H38" s="14">
        <v>3.0</v>
      </c>
      <c r="I38" s="5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1702</v>
      </c>
      <c r="B39" s="14" t="s">
        <v>346</v>
      </c>
      <c r="C39" s="14">
        <v>39.0</v>
      </c>
      <c r="D39" s="14" t="s">
        <v>1665</v>
      </c>
      <c r="E39" s="14" t="s">
        <v>145</v>
      </c>
      <c r="F39" s="14">
        <v>0.0</v>
      </c>
      <c r="G39" s="14">
        <v>8.0</v>
      </c>
      <c r="H39" s="14">
        <v>6.0</v>
      </c>
      <c r="I39" s="5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1703</v>
      </c>
      <c r="B40" s="14" t="s">
        <v>346</v>
      </c>
      <c r="C40" s="14">
        <v>18.0</v>
      </c>
      <c r="D40" s="14" t="s">
        <v>1665</v>
      </c>
      <c r="E40" s="14" t="s">
        <v>145</v>
      </c>
      <c r="F40" s="14">
        <v>1.0</v>
      </c>
      <c r="G40" s="14">
        <v>11.0</v>
      </c>
      <c r="H40" s="14">
        <v>8.0</v>
      </c>
      <c r="I40" s="5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1704</v>
      </c>
      <c r="B41" s="14" t="s">
        <v>350</v>
      </c>
      <c r="C41" s="14">
        <v>14.0</v>
      </c>
      <c r="D41" s="14" t="s">
        <v>1665</v>
      </c>
      <c r="E41" s="14" t="s">
        <v>109</v>
      </c>
      <c r="F41" s="14">
        <v>22.0</v>
      </c>
      <c r="G41" s="14">
        <v>28.0</v>
      </c>
      <c r="H41" s="14">
        <v>19.0</v>
      </c>
      <c r="I41" s="5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1705</v>
      </c>
      <c r="B42" s="14" t="s">
        <v>350</v>
      </c>
      <c r="C42" s="14">
        <v>3.0</v>
      </c>
      <c r="D42" s="14" t="s">
        <v>1665</v>
      </c>
      <c r="E42" s="14" t="s">
        <v>109</v>
      </c>
      <c r="F42" s="14">
        <v>1.0</v>
      </c>
      <c r="G42" s="14">
        <v>25.0</v>
      </c>
      <c r="H42" s="14">
        <v>21.0</v>
      </c>
      <c r="I42" s="5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1706</v>
      </c>
      <c r="B43" s="14" t="s">
        <v>350</v>
      </c>
      <c r="C43" s="14">
        <v>7.0</v>
      </c>
      <c r="D43" s="14" t="s">
        <v>1665</v>
      </c>
      <c r="E43" s="14" t="s">
        <v>109</v>
      </c>
      <c r="F43" s="14">
        <v>0.0</v>
      </c>
      <c r="G43" s="14">
        <v>10.0</v>
      </c>
      <c r="H43" s="14">
        <v>6.0</v>
      </c>
      <c r="I43" s="5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1707</v>
      </c>
      <c r="B44" s="17" t="s">
        <v>1708</v>
      </c>
      <c r="C44" s="18">
        <v>9.0</v>
      </c>
      <c r="D44" s="17" t="s">
        <v>1665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1709</v>
      </c>
      <c r="B45" s="14" t="s">
        <v>442</v>
      </c>
      <c r="C45" s="14">
        <v>16.0</v>
      </c>
      <c r="D45" s="14" t="s">
        <v>1665</v>
      </c>
      <c r="E45" s="14" t="s">
        <v>136</v>
      </c>
      <c r="F45" s="14">
        <v>2.0</v>
      </c>
      <c r="G45" s="14">
        <v>11.0</v>
      </c>
      <c r="H45" s="14">
        <v>6.0</v>
      </c>
      <c r="I45" s="5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1710</v>
      </c>
      <c r="B46" s="14" t="s">
        <v>442</v>
      </c>
      <c r="C46" s="14">
        <v>12.0</v>
      </c>
      <c r="D46" s="14" t="s">
        <v>1665</v>
      </c>
      <c r="E46" s="14" t="s">
        <v>136</v>
      </c>
      <c r="F46" s="14">
        <v>3.0</v>
      </c>
      <c r="G46" s="14">
        <v>12.0</v>
      </c>
      <c r="H46" s="14">
        <v>7.0</v>
      </c>
      <c r="I46" s="5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1711</v>
      </c>
      <c r="B47" s="14" t="s">
        <v>108</v>
      </c>
      <c r="C47" s="14">
        <v>21.0</v>
      </c>
      <c r="D47" s="14" t="s">
        <v>1665</v>
      </c>
      <c r="E47" s="14" t="s">
        <v>109</v>
      </c>
      <c r="F47" s="14">
        <v>2.0</v>
      </c>
      <c r="G47" s="14">
        <v>24.0</v>
      </c>
      <c r="H47" s="14">
        <v>18.0</v>
      </c>
      <c r="I47" s="5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1712</v>
      </c>
      <c r="B48" s="14" t="s">
        <v>220</v>
      </c>
      <c r="C48" s="14">
        <v>9.0</v>
      </c>
      <c r="D48" s="14" t="s">
        <v>1665</v>
      </c>
      <c r="E48" s="14" t="s">
        <v>221</v>
      </c>
      <c r="F48" s="14">
        <v>1.0</v>
      </c>
      <c r="G48" s="14">
        <v>20.0</v>
      </c>
      <c r="H48" s="14">
        <v>13.0</v>
      </c>
      <c r="I48" s="5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1713</v>
      </c>
      <c r="B49" s="14" t="s">
        <v>220</v>
      </c>
      <c r="C49" s="14">
        <v>8.0</v>
      </c>
      <c r="D49" s="14" t="s">
        <v>1665</v>
      </c>
      <c r="E49" s="14" t="s">
        <v>221</v>
      </c>
      <c r="F49" s="14">
        <v>4.0</v>
      </c>
      <c r="G49" s="14">
        <v>23.0</v>
      </c>
      <c r="H49" s="14">
        <v>15.0</v>
      </c>
      <c r="I49" s="5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1714</v>
      </c>
      <c r="B50" s="14" t="s">
        <v>220</v>
      </c>
      <c r="C50" s="14">
        <v>28.0</v>
      </c>
      <c r="D50" s="14" t="s">
        <v>1665</v>
      </c>
      <c r="E50" s="14" t="s">
        <v>221</v>
      </c>
      <c r="F50" s="14">
        <v>6.0</v>
      </c>
      <c r="G50" s="14">
        <v>12.0</v>
      </c>
      <c r="H50" s="14">
        <v>4.0</v>
      </c>
      <c r="I50" s="5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1715</v>
      </c>
      <c r="B51" s="14" t="s">
        <v>370</v>
      </c>
      <c r="C51" s="14">
        <v>0.0</v>
      </c>
      <c r="D51" s="14" t="s">
        <v>1665</v>
      </c>
      <c r="E51" s="14" t="s">
        <v>136</v>
      </c>
      <c r="F51" s="14">
        <v>6.0</v>
      </c>
      <c r="G51" s="14">
        <v>21.0</v>
      </c>
      <c r="H51" s="14">
        <v>15.0</v>
      </c>
      <c r="I51" s="5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1716</v>
      </c>
      <c r="B52" s="14" t="s">
        <v>370</v>
      </c>
      <c r="C52" s="14">
        <v>19.0</v>
      </c>
      <c r="D52" s="14" t="s">
        <v>1665</v>
      </c>
      <c r="E52" s="14" t="s">
        <v>136</v>
      </c>
      <c r="F52" s="14">
        <v>13.0</v>
      </c>
      <c r="G52" s="14">
        <v>17.0</v>
      </c>
      <c r="H52" s="14">
        <v>9.0</v>
      </c>
      <c r="I52" s="5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1717</v>
      </c>
      <c r="B53" s="14" t="s">
        <v>268</v>
      </c>
      <c r="C53" s="14">
        <v>22.0</v>
      </c>
      <c r="D53" s="14" t="s">
        <v>1665</v>
      </c>
      <c r="E53" s="14" t="s">
        <v>118</v>
      </c>
      <c r="F53" s="14">
        <v>5.0</v>
      </c>
      <c r="G53" s="14">
        <v>16.0</v>
      </c>
      <c r="H53" s="14">
        <v>9.0</v>
      </c>
      <c r="I53" s="5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1718</v>
      </c>
      <c r="B54" s="14" t="s">
        <v>268</v>
      </c>
      <c r="C54" s="14">
        <v>7.0</v>
      </c>
      <c r="D54" s="14" t="s">
        <v>1665</v>
      </c>
      <c r="E54" s="14" t="s">
        <v>118</v>
      </c>
      <c r="F54" s="14">
        <v>2.0</v>
      </c>
      <c r="G54" s="14">
        <v>24.0</v>
      </c>
      <c r="H54" s="14">
        <v>20.0</v>
      </c>
      <c r="I54" s="5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1719</v>
      </c>
      <c r="B55" s="14" t="s">
        <v>268</v>
      </c>
      <c r="C55" s="14">
        <v>10.0</v>
      </c>
      <c r="D55" s="14" t="s">
        <v>1665</v>
      </c>
      <c r="E55" s="14" t="s">
        <v>118</v>
      </c>
      <c r="F55" s="14">
        <v>2.0</v>
      </c>
      <c r="G55" s="14">
        <v>4.0</v>
      </c>
      <c r="H55" s="14">
        <v>1.0</v>
      </c>
      <c r="I55" s="5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1720</v>
      </c>
      <c r="B56" s="14" t="s">
        <v>448</v>
      </c>
      <c r="C56" s="14">
        <v>8.0</v>
      </c>
      <c r="D56" s="14" t="s">
        <v>1665</v>
      </c>
      <c r="E56" s="14" t="s">
        <v>100</v>
      </c>
      <c r="F56" s="14">
        <v>0.0</v>
      </c>
      <c r="G56" s="14">
        <v>19.0</v>
      </c>
      <c r="H56" s="14">
        <v>14.0</v>
      </c>
      <c r="I56" s="5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1721</v>
      </c>
      <c r="B57" s="14" t="s">
        <v>418</v>
      </c>
      <c r="C57" s="14">
        <v>21.0</v>
      </c>
      <c r="D57" s="14" t="s">
        <v>1665</v>
      </c>
      <c r="E57" s="14" t="s">
        <v>109</v>
      </c>
      <c r="F57" s="14">
        <v>11.0</v>
      </c>
      <c r="G57" s="14">
        <v>27.0</v>
      </c>
      <c r="H57" s="14">
        <v>18.0</v>
      </c>
      <c r="I57" s="5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1722</v>
      </c>
      <c r="B58" s="14" t="s">
        <v>241</v>
      </c>
      <c r="C58" s="14">
        <v>12.0</v>
      </c>
      <c r="D58" s="14" t="s">
        <v>1665</v>
      </c>
      <c r="E58" s="14" t="s">
        <v>109</v>
      </c>
      <c r="F58" s="14">
        <v>2.0</v>
      </c>
      <c r="G58" s="14">
        <v>34.0</v>
      </c>
      <c r="H58" s="14">
        <v>22.0</v>
      </c>
      <c r="I58" s="5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1723</v>
      </c>
      <c r="B59" s="14" t="s">
        <v>241</v>
      </c>
      <c r="C59" s="14">
        <v>18.0</v>
      </c>
      <c r="D59" s="14" t="s">
        <v>1665</v>
      </c>
      <c r="E59" s="14" t="s">
        <v>109</v>
      </c>
      <c r="F59" s="14">
        <v>0.0</v>
      </c>
      <c r="G59" s="14">
        <v>6.0</v>
      </c>
      <c r="H59" s="14">
        <v>5.0</v>
      </c>
      <c r="I59" s="5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1724</v>
      </c>
      <c r="B60" s="14" t="s">
        <v>528</v>
      </c>
      <c r="C60" s="14">
        <v>4.0</v>
      </c>
      <c r="D60" s="14" t="s">
        <v>1665</v>
      </c>
      <c r="E60" s="14" t="s">
        <v>133</v>
      </c>
      <c r="F60" s="14">
        <v>0.0</v>
      </c>
      <c r="G60" s="14">
        <v>10.0</v>
      </c>
      <c r="H60" s="14">
        <v>4.0</v>
      </c>
      <c r="I60" s="5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1725</v>
      </c>
      <c r="B61" s="14" t="s">
        <v>528</v>
      </c>
      <c r="C61" s="14">
        <v>23.0</v>
      </c>
      <c r="D61" s="14" t="s">
        <v>1665</v>
      </c>
      <c r="E61" s="14" t="s">
        <v>133</v>
      </c>
      <c r="F61" s="14">
        <v>1.0</v>
      </c>
      <c r="G61" s="14">
        <v>21.0</v>
      </c>
      <c r="H61" s="14">
        <v>12.0</v>
      </c>
      <c r="I61" s="5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1726</v>
      </c>
      <c r="B62" s="14" t="s">
        <v>528</v>
      </c>
      <c r="C62" s="14">
        <v>25.0</v>
      </c>
      <c r="D62" s="14" t="s">
        <v>1665</v>
      </c>
      <c r="E62" s="14" t="s">
        <v>133</v>
      </c>
      <c r="F62" s="14">
        <v>0.0</v>
      </c>
      <c r="G62" s="14">
        <v>6.0</v>
      </c>
      <c r="H62" s="14">
        <v>2.0</v>
      </c>
      <c r="I62" s="5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1727</v>
      </c>
      <c r="B63" s="17" t="s">
        <v>420</v>
      </c>
      <c r="C63" s="18">
        <v>1.0</v>
      </c>
      <c r="D63" s="17" t="s">
        <v>1665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1728</v>
      </c>
      <c r="B64" s="17" t="s">
        <v>432</v>
      </c>
      <c r="C64" s="18">
        <v>27.0</v>
      </c>
      <c r="D64" s="23" t="s">
        <v>1665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1729</v>
      </c>
      <c r="B65" s="14" t="s">
        <v>578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6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1730</v>
      </c>
      <c r="B66" s="17" t="s">
        <v>530</v>
      </c>
      <c r="C66" s="18">
        <v>1.0</v>
      </c>
      <c r="D66" s="17" t="s">
        <v>1665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1731</v>
      </c>
      <c r="B67" s="17" t="s">
        <v>618</v>
      </c>
      <c r="C67" s="18">
        <v>1.0</v>
      </c>
      <c r="D67" s="17" t="s">
        <v>38</v>
      </c>
      <c r="E67" s="17" t="s">
        <v>180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1223</v>
      </c>
      <c r="B1" s="14" t="s">
        <v>1732</v>
      </c>
      <c r="C1" s="14" t="s">
        <v>1733</v>
      </c>
    </row>
    <row r="2" ht="14.25" customHeight="1">
      <c r="A2" s="14" t="s">
        <v>133</v>
      </c>
      <c r="B2" s="14" t="s">
        <v>1734</v>
      </c>
      <c r="C2" s="14">
        <v>0.95</v>
      </c>
    </row>
    <row r="3" ht="14.25" customHeight="1">
      <c r="A3" s="14" t="s">
        <v>148</v>
      </c>
      <c r="B3" s="14" t="s">
        <v>1734</v>
      </c>
      <c r="C3" s="14">
        <v>0.95</v>
      </c>
    </row>
    <row r="4" ht="14.25" customHeight="1">
      <c r="A4" s="14" t="s">
        <v>118</v>
      </c>
      <c r="B4" s="14" t="s">
        <v>1734</v>
      </c>
      <c r="C4" s="14">
        <v>0.95</v>
      </c>
    </row>
    <row r="5" ht="14.25" customHeight="1">
      <c r="A5" s="14" t="s">
        <v>159</v>
      </c>
      <c r="B5" s="14" t="s">
        <v>1734</v>
      </c>
      <c r="C5" s="14">
        <v>0.95</v>
      </c>
    </row>
    <row r="6" ht="14.25" customHeight="1">
      <c r="A6" s="14" t="s">
        <v>145</v>
      </c>
      <c r="B6" s="14" t="s">
        <v>1734</v>
      </c>
      <c r="C6" s="14">
        <v>0.95</v>
      </c>
    </row>
    <row r="7" ht="14.25" customHeight="1">
      <c r="A7" s="14" t="s">
        <v>507</v>
      </c>
      <c r="B7" s="14" t="s">
        <v>1734</v>
      </c>
      <c r="C7" s="14">
        <v>0.95</v>
      </c>
    </row>
    <row r="8" ht="14.25" customHeight="1">
      <c r="A8" s="14" t="s">
        <v>173</v>
      </c>
      <c r="B8" s="14" t="s">
        <v>1735</v>
      </c>
      <c r="C8" s="14">
        <v>0.9</v>
      </c>
    </row>
    <row r="9" ht="14.25" customHeight="1">
      <c r="A9" s="14" t="s">
        <v>180</v>
      </c>
      <c r="B9" s="14" t="s">
        <v>1735</v>
      </c>
      <c r="C9" s="14">
        <v>0.9</v>
      </c>
    </row>
    <row r="10" ht="14.25" customHeight="1">
      <c r="A10" s="14" t="s">
        <v>106</v>
      </c>
      <c r="B10" s="14" t="s">
        <v>1735</v>
      </c>
      <c r="C10" s="14">
        <v>0.9</v>
      </c>
    </row>
    <row r="11" ht="14.25" customHeight="1">
      <c r="A11" s="14" t="s">
        <v>190</v>
      </c>
      <c r="B11" s="14" t="s">
        <v>1735</v>
      </c>
      <c r="C11" s="14">
        <v>0.9</v>
      </c>
    </row>
    <row r="12" ht="14.25" customHeight="1">
      <c r="A12" s="14" t="s">
        <v>128</v>
      </c>
      <c r="B12" s="14" t="s">
        <v>1735</v>
      </c>
      <c r="C12" s="14">
        <v>0.9</v>
      </c>
    </row>
    <row r="13" ht="14.25" customHeight="1">
      <c r="A13" s="14" t="s">
        <v>156</v>
      </c>
      <c r="B13" s="14" t="s">
        <v>1735</v>
      </c>
      <c r="C13" s="14">
        <v>0.9</v>
      </c>
    </row>
    <row r="14" ht="14.25" customHeight="1">
      <c r="A14" s="14" t="s">
        <v>122</v>
      </c>
      <c r="B14" s="14" t="s">
        <v>1735</v>
      </c>
      <c r="C14" s="14">
        <v>0.9</v>
      </c>
    </row>
    <row r="15" ht="14.25" customHeight="1">
      <c r="A15" s="14" t="s">
        <v>125</v>
      </c>
      <c r="B15" s="14" t="s">
        <v>1735</v>
      </c>
      <c r="C15" s="14">
        <v>0.9</v>
      </c>
    </row>
    <row r="16" ht="14.25" customHeight="1">
      <c r="A16" s="14" t="s">
        <v>115</v>
      </c>
      <c r="B16" s="14" t="s">
        <v>1735</v>
      </c>
      <c r="C16" s="14">
        <v>0.9</v>
      </c>
    </row>
    <row r="17" ht="14.25" customHeight="1">
      <c r="A17" s="14" t="s">
        <v>103</v>
      </c>
      <c r="B17" s="14" t="s">
        <v>1735</v>
      </c>
      <c r="C17" s="14">
        <v>0.9</v>
      </c>
    </row>
    <row r="18" ht="14.25" customHeight="1">
      <c r="A18" s="14" t="s">
        <v>139</v>
      </c>
      <c r="B18" s="14" t="s">
        <v>1735</v>
      </c>
      <c r="C18" s="14">
        <v>0.9</v>
      </c>
    </row>
    <row r="19" ht="14.25" customHeight="1">
      <c r="A19" s="14" t="s">
        <v>211</v>
      </c>
      <c r="B19" s="14" t="s">
        <v>1735</v>
      </c>
      <c r="C19" s="14">
        <v>0.9</v>
      </c>
    </row>
    <row r="20" ht="14.25" customHeight="1">
      <c r="A20" s="14" t="s">
        <v>244</v>
      </c>
      <c r="B20" s="14" t="s">
        <v>1735</v>
      </c>
      <c r="C20" s="14">
        <v>0.9</v>
      </c>
    </row>
    <row r="21" ht="14.25" customHeight="1">
      <c r="A21" s="14" t="s">
        <v>221</v>
      </c>
      <c r="B21" s="14" t="s">
        <v>1736</v>
      </c>
      <c r="C21" s="14">
        <v>1.0</v>
      </c>
    </row>
    <row r="22" ht="14.25" customHeight="1">
      <c r="A22" s="14" t="s">
        <v>136</v>
      </c>
      <c r="B22" s="14" t="s">
        <v>1736</v>
      </c>
      <c r="C22" s="14">
        <v>1.0</v>
      </c>
    </row>
    <row r="23" ht="14.25" customHeight="1">
      <c r="A23" s="14" t="s">
        <v>100</v>
      </c>
      <c r="B23" s="14" t="s">
        <v>1736</v>
      </c>
      <c r="C23" s="14">
        <v>1.0</v>
      </c>
    </row>
    <row r="24" ht="14.25" customHeight="1">
      <c r="A24" s="14" t="s">
        <v>109</v>
      </c>
      <c r="B24" s="14" t="s">
        <v>1736</v>
      </c>
      <c r="C24" s="14">
        <v>1.0</v>
      </c>
    </row>
    <row r="25" ht="14.25" customHeight="1">
      <c r="A25" s="14" t="s">
        <v>183</v>
      </c>
      <c r="B25" s="14" t="s">
        <v>1736</v>
      </c>
      <c r="C25" s="14">
        <v>1.0</v>
      </c>
    </row>
    <row r="26" ht="14.25" customHeight="1">
      <c r="A26" s="16" t="s">
        <v>112</v>
      </c>
      <c r="B26" s="16" t="s">
        <v>1737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